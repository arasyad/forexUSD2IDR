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L:\Aidan\"/>
    </mc:Choice>
  </mc:AlternateContent>
  <xr:revisionPtr revIDLastSave="0" documentId="13_ncr:1_{A61F950E-BD62-47D3-8B8D-8491455F844D}" xr6:coauthVersionLast="47" xr6:coauthVersionMax="47" xr10:uidLastSave="{00000000-0000-0000-0000-000000000000}"/>
  <bookViews>
    <workbookView xWindow="28680" yWindow="-120" windowWidth="29040" windowHeight="15840" firstSheet="4" activeTab="5" xr2:uid="{00000000-000D-0000-FFFF-FFFF00000000}"/>
  </bookViews>
  <sheets>
    <sheet name="USDIDR" sheetId="2" r:id="rId1"/>
    <sheet name="USD IDR 3m FWD" sheetId="13" r:id="rId2"/>
    <sheet name="Current Account ID - A" sheetId="6" r:id="rId3"/>
    <sheet name="Current account ID - B" sheetId="7" r:id="rId4"/>
    <sheet name="US Current Account" sheetId="9" r:id="rId5"/>
    <sheet name="Trade Balance ID - US" sheetId="14" r:id="rId6"/>
    <sheet name="US CPI" sheetId="3" r:id="rId7"/>
    <sheet name="Indonesia CPI" sheetId="4" r:id="rId8"/>
    <sheet name="BI 7 days Repo Rate" sheetId="5" r:id="rId9"/>
    <sheet name="Fed Fund Target rate" sheetId="8" r:id="rId10"/>
    <sheet name="FX Reserve ID" sheetId="10" r:id="rId11"/>
    <sheet name="REER IDR" sheetId="11" r:id="rId12"/>
    <sheet name="Bond Yield" sheetId="12" r:id="rId13"/>
  </sheets>
  <definedNames>
    <definedName name="ASK">USDIDR!$C$31:$C$3547</definedName>
    <definedName name="BAR">USDIDR!$G$31:$G$3547</definedName>
    <definedName name="BDN">USDIDR!$H$31:$H$3547</definedName>
    <definedName name="BID">USDIDR!$B$31:$B$3547</definedName>
    <definedName name="chartTableData">USDIDR!$A$11:$E$19</definedName>
    <definedName name="chartTableHeader">USDIDR!$A$10:$E$10</definedName>
    <definedName name="chartTableName">USDIDR!$A$9:$A$9</definedName>
    <definedName name="chartTableTotal">USDIDR!$B$9:$B$9</definedName>
    <definedName name="DAT">USDIDR!$A$31:$A$3547</definedName>
    <definedName name="filterValues">USDIDR!$A$4:$A$6</definedName>
    <definedName name="HIG">USDIDR!$D$31:$D$3547</definedName>
    <definedName name="LOW">USDIDR!$E$31:$E$3547</definedName>
    <definedName name="OPN">USDIDR!$F$31:$F$3547</definedName>
    <definedName name="phTableData">USDIDR!$A$31:$H$3547</definedName>
    <definedName name="phTableHeader">USDIDR!$A$30:$H$30</definedName>
    <definedName name="phTableName">USDIDR!$A$29:$A$29</definedName>
    <definedName name="sheetHeader">USDIDR!$A$1:$A$1</definedName>
    <definedName name="statPriceChangeTableData">USDIDR!$K$24:$M$26</definedName>
    <definedName name="statPriceChangeTableHeader">USDIDR!$K$23:$M$23</definedName>
    <definedName name="statPriceTableData">USDIDR!$A$24:$C$26</definedName>
    <definedName name="statPriceTableHeader">USDIDR!$A$23:$C$23</definedName>
    <definedName name="statTableName">USDIDR!$A$22:$A$22</definedName>
    <definedName name="statUpDownTableData">USDIDR!$I$24:$J$26</definedName>
    <definedName name="statUpDownTableHeader">USDIDR!$I$23:$J$23</definedName>
    <definedName name="statVolumeTableData">USDIDR!$D$24:$H$26</definedName>
    <definedName name="statVolumeTableHeader">USDIDR!$D$23:$H$23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8" l="1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20" i="8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20" i="3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3171" i="2"/>
  <c r="I3172" i="2"/>
  <c r="I3173" i="2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I3203" i="2"/>
  <c r="I3204" i="2"/>
  <c r="I3205" i="2"/>
  <c r="I3206" i="2"/>
  <c r="I3207" i="2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3231" i="2"/>
  <c r="I3232" i="2"/>
  <c r="I3233" i="2"/>
  <c r="I3234" i="2"/>
  <c r="I3235" i="2"/>
  <c r="I3236" i="2"/>
  <c r="I3237" i="2"/>
  <c r="I3238" i="2"/>
  <c r="I3239" i="2"/>
  <c r="I3240" i="2"/>
  <c r="I3241" i="2"/>
  <c r="I3242" i="2"/>
  <c r="I3243" i="2"/>
  <c r="I3244" i="2"/>
  <c r="I3245" i="2"/>
  <c r="I3246" i="2"/>
  <c r="I3247" i="2"/>
  <c r="I3248" i="2"/>
  <c r="I3249" i="2"/>
  <c r="I3250" i="2"/>
  <c r="I3251" i="2"/>
  <c r="I3252" i="2"/>
  <c r="I3253" i="2"/>
  <c r="I3254" i="2"/>
  <c r="I3255" i="2"/>
  <c r="I3256" i="2"/>
  <c r="I3257" i="2"/>
  <c r="I3258" i="2"/>
  <c r="I3259" i="2"/>
  <c r="I3260" i="2"/>
  <c r="I3261" i="2"/>
  <c r="I3262" i="2"/>
  <c r="I3263" i="2"/>
  <c r="I3264" i="2"/>
  <c r="I3265" i="2"/>
  <c r="I3266" i="2"/>
  <c r="I3267" i="2"/>
  <c r="I3268" i="2"/>
  <c r="I3269" i="2"/>
  <c r="I3270" i="2"/>
  <c r="I3271" i="2"/>
  <c r="I3272" i="2"/>
  <c r="I3273" i="2"/>
  <c r="I3274" i="2"/>
  <c r="I3275" i="2"/>
  <c r="I3276" i="2"/>
  <c r="I3277" i="2"/>
  <c r="I3278" i="2"/>
  <c r="I3279" i="2"/>
  <c r="I3280" i="2"/>
  <c r="I3281" i="2"/>
  <c r="I3282" i="2"/>
  <c r="I3283" i="2"/>
  <c r="I3284" i="2"/>
  <c r="I3285" i="2"/>
  <c r="I3286" i="2"/>
  <c r="I3287" i="2"/>
  <c r="I3288" i="2"/>
  <c r="I3289" i="2"/>
  <c r="I3290" i="2"/>
  <c r="I3291" i="2"/>
  <c r="I3292" i="2"/>
  <c r="I3293" i="2"/>
  <c r="I3294" i="2"/>
  <c r="I3295" i="2"/>
  <c r="I3296" i="2"/>
  <c r="I3297" i="2"/>
  <c r="I3298" i="2"/>
  <c r="I3299" i="2"/>
  <c r="I3300" i="2"/>
  <c r="I3301" i="2"/>
  <c r="I3302" i="2"/>
  <c r="I3303" i="2"/>
  <c r="I3304" i="2"/>
  <c r="I3305" i="2"/>
  <c r="I3306" i="2"/>
  <c r="I3307" i="2"/>
  <c r="I3308" i="2"/>
  <c r="I3309" i="2"/>
  <c r="I3310" i="2"/>
  <c r="I3311" i="2"/>
  <c r="I3312" i="2"/>
  <c r="I3313" i="2"/>
  <c r="I3314" i="2"/>
  <c r="I3315" i="2"/>
  <c r="I3316" i="2"/>
  <c r="I3317" i="2"/>
  <c r="I3318" i="2"/>
  <c r="I3319" i="2"/>
  <c r="I3320" i="2"/>
  <c r="I3321" i="2"/>
  <c r="I3322" i="2"/>
  <c r="I3323" i="2"/>
  <c r="I3324" i="2"/>
  <c r="I3325" i="2"/>
  <c r="I3326" i="2"/>
  <c r="I3327" i="2"/>
  <c r="I3328" i="2"/>
  <c r="I3329" i="2"/>
  <c r="I3330" i="2"/>
  <c r="I3331" i="2"/>
  <c r="I3332" i="2"/>
  <c r="I3333" i="2"/>
  <c r="I3334" i="2"/>
  <c r="I3335" i="2"/>
  <c r="I3336" i="2"/>
  <c r="I3337" i="2"/>
  <c r="I3338" i="2"/>
  <c r="I3339" i="2"/>
  <c r="I3340" i="2"/>
  <c r="I3341" i="2"/>
  <c r="I3342" i="2"/>
  <c r="I3343" i="2"/>
  <c r="I3344" i="2"/>
  <c r="I3345" i="2"/>
  <c r="I3346" i="2"/>
  <c r="I3347" i="2"/>
  <c r="I3348" i="2"/>
  <c r="I3349" i="2"/>
  <c r="I3350" i="2"/>
  <c r="I3351" i="2"/>
  <c r="I3352" i="2"/>
  <c r="I3353" i="2"/>
  <c r="I3354" i="2"/>
  <c r="I3355" i="2"/>
  <c r="I3356" i="2"/>
  <c r="I3357" i="2"/>
  <c r="I3358" i="2"/>
  <c r="I3359" i="2"/>
  <c r="I3360" i="2"/>
  <c r="I3361" i="2"/>
  <c r="I3362" i="2"/>
  <c r="I3363" i="2"/>
  <c r="I3364" i="2"/>
  <c r="I3365" i="2"/>
  <c r="I3366" i="2"/>
  <c r="I3367" i="2"/>
  <c r="I3368" i="2"/>
  <c r="I3369" i="2"/>
  <c r="I3370" i="2"/>
  <c r="I3371" i="2"/>
  <c r="I3372" i="2"/>
  <c r="I3373" i="2"/>
  <c r="I3374" i="2"/>
  <c r="I3375" i="2"/>
  <c r="I3376" i="2"/>
  <c r="I3377" i="2"/>
  <c r="I3378" i="2"/>
  <c r="I3379" i="2"/>
  <c r="I3380" i="2"/>
  <c r="I3381" i="2"/>
  <c r="I3382" i="2"/>
  <c r="I3383" i="2"/>
  <c r="I3384" i="2"/>
  <c r="I3385" i="2"/>
  <c r="I3386" i="2"/>
  <c r="I3387" i="2"/>
  <c r="I3388" i="2"/>
  <c r="I3389" i="2"/>
  <c r="I3390" i="2"/>
  <c r="I3391" i="2"/>
  <c r="I3392" i="2"/>
  <c r="I3393" i="2"/>
  <c r="I3394" i="2"/>
  <c r="I3395" i="2"/>
  <c r="I3396" i="2"/>
  <c r="I3397" i="2"/>
  <c r="I3398" i="2"/>
  <c r="I3399" i="2"/>
  <c r="I3400" i="2"/>
  <c r="I3401" i="2"/>
  <c r="I3402" i="2"/>
  <c r="I3403" i="2"/>
  <c r="I3404" i="2"/>
  <c r="I3405" i="2"/>
  <c r="I3406" i="2"/>
  <c r="I3407" i="2"/>
  <c r="I3408" i="2"/>
  <c r="I3409" i="2"/>
  <c r="I3410" i="2"/>
  <c r="I3411" i="2"/>
  <c r="I3412" i="2"/>
  <c r="I3413" i="2"/>
  <c r="I3414" i="2"/>
  <c r="I3415" i="2"/>
  <c r="I3416" i="2"/>
  <c r="I3417" i="2"/>
  <c r="I3418" i="2"/>
  <c r="I3419" i="2"/>
  <c r="I3420" i="2"/>
  <c r="I3421" i="2"/>
  <c r="I3422" i="2"/>
  <c r="I3423" i="2"/>
  <c r="I3424" i="2"/>
  <c r="I3425" i="2"/>
  <c r="I3426" i="2"/>
  <c r="I3427" i="2"/>
  <c r="I3428" i="2"/>
  <c r="I3429" i="2"/>
  <c r="I3430" i="2"/>
  <c r="I3431" i="2"/>
  <c r="I3432" i="2"/>
  <c r="I3433" i="2"/>
  <c r="I3434" i="2"/>
  <c r="I3435" i="2"/>
  <c r="I3436" i="2"/>
  <c r="I3437" i="2"/>
  <c r="I3438" i="2"/>
  <c r="I3439" i="2"/>
  <c r="I3440" i="2"/>
  <c r="I3441" i="2"/>
  <c r="I3442" i="2"/>
  <c r="I3443" i="2"/>
  <c r="I3444" i="2"/>
  <c r="I3445" i="2"/>
  <c r="I3446" i="2"/>
  <c r="I3447" i="2"/>
  <c r="I3448" i="2"/>
  <c r="I3449" i="2"/>
  <c r="I3450" i="2"/>
  <c r="I3451" i="2"/>
  <c r="I3452" i="2"/>
  <c r="I3453" i="2"/>
  <c r="I3454" i="2"/>
  <c r="I3455" i="2"/>
  <c r="I3456" i="2"/>
  <c r="I3457" i="2"/>
  <c r="I3458" i="2"/>
  <c r="I3459" i="2"/>
  <c r="I3460" i="2"/>
  <c r="I3461" i="2"/>
  <c r="I3462" i="2"/>
  <c r="I3463" i="2"/>
  <c r="I3464" i="2"/>
  <c r="I3465" i="2"/>
  <c r="I3466" i="2"/>
  <c r="I3467" i="2"/>
  <c r="I3468" i="2"/>
  <c r="I3469" i="2"/>
  <c r="I3470" i="2"/>
  <c r="I3471" i="2"/>
  <c r="I3472" i="2"/>
  <c r="I3473" i="2"/>
  <c r="I3474" i="2"/>
  <c r="I3475" i="2"/>
  <c r="I3476" i="2"/>
  <c r="I3477" i="2"/>
  <c r="I3478" i="2"/>
  <c r="I3479" i="2"/>
  <c r="I3480" i="2"/>
  <c r="I3481" i="2"/>
  <c r="I3482" i="2"/>
  <c r="I3483" i="2"/>
  <c r="I3484" i="2"/>
  <c r="I3485" i="2"/>
  <c r="I3486" i="2"/>
  <c r="I3487" i="2"/>
  <c r="I3488" i="2"/>
  <c r="I3489" i="2"/>
  <c r="I3490" i="2"/>
  <c r="I3491" i="2"/>
  <c r="I3492" i="2"/>
  <c r="I3493" i="2"/>
  <c r="I3494" i="2"/>
  <c r="I3495" i="2"/>
  <c r="I3496" i="2"/>
  <c r="I3497" i="2"/>
  <c r="I3498" i="2"/>
  <c r="I3499" i="2"/>
  <c r="I3500" i="2"/>
  <c r="I3501" i="2"/>
  <c r="I3502" i="2"/>
  <c r="I3503" i="2"/>
  <c r="I3504" i="2"/>
  <c r="I3505" i="2"/>
  <c r="I3506" i="2"/>
  <c r="I3507" i="2"/>
  <c r="I3508" i="2"/>
  <c r="I3509" i="2"/>
  <c r="I3510" i="2"/>
  <c r="I3511" i="2"/>
  <c r="I3512" i="2"/>
  <c r="I3513" i="2"/>
  <c r="I3514" i="2"/>
  <c r="I3515" i="2"/>
  <c r="I3516" i="2"/>
  <c r="I3517" i="2"/>
  <c r="I3518" i="2"/>
  <c r="I3519" i="2"/>
  <c r="I3520" i="2"/>
  <c r="I3521" i="2"/>
  <c r="I3522" i="2"/>
  <c r="I3523" i="2"/>
  <c r="I3524" i="2"/>
  <c r="I3525" i="2"/>
  <c r="I3526" i="2"/>
  <c r="I3527" i="2"/>
  <c r="I3528" i="2"/>
  <c r="I3529" i="2"/>
  <c r="I3530" i="2"/>
  <c r="I3531" i="2"/>
  <c r="I3532" i="2"/>
  <c r="I3533" i="2"/>
  <c r="I3534" i="2"/>
  <c r="I3535" i="2"/>
  <c r="I3536" i="2"/>
  <c r="I3537" i="2"/>
  <c r="I3538" i="2"/>
  <c r="I3539" i="2"/>
  <c r="I3540" i="2"/>
  <c r="I3541" i="2"/>
  <c r="I3542" i="2"/>
  <c r="I3543" i="2"/>
  <c r="I3544" i="2"/>
  <c r="I3545" i="2"/>
  <c r="I3546" i="2"/>
  <c r="I3547" i="2"/>
  <c r="I31" i="2"/>
  <c r="I13" i="14"/>
  <c r="C13" i="14"/>
  <c r="C10" i="11"/>
  <c r="C10" i="10"/>
  <c r="C13" i="9"/>
  <c r="C13" i="3"/>
  <c r="C13" i="8"/>
</calcChain>
</file>

<file path=xl/sharedStrings.xml><?xml version="1.0" encoding="utf-8"?>
<sst xmlns="http://schemas.openxmlformats.org/spreadsheetml/2006/main" count="2788" uniqueCount="1235">
  <si>
    <t>US Dollar/Indonesian Rupiah FX Spot Rate | Price History                                          26-Jun-2023 13:41</t>
  </si>
  <si>
    <t>IDR=</t>
  </si>
  <si>
    <t>Interval: Daily</t>
  </si>
  <si>
    <t>History Period: 01-Jan-2010 - 26-Jun-2023</t>
  </si>
  <si>
    <t>Refresh at Price: Total</t>
  </si>
  <si>
    <t>Price</t>
  </si>
  <si>
    <t>Refresh Rate</t>
  </si>
  <si>
    <t>%Refresh Rate</t>
  </si>
  <si>
    <t>Count</t>
  </si>
  <si>
    <t>%Count</t>
  </si>
  <si>
    <t>16,000 - 17,000</t>
  </si>
  <si>
    <t>15,000 - 16,000</t>
  </si>
  <si>
    <t>14,000 - 15,000</t>
  </si>
  <si>
    <t>13,000 - 14,000</t>
  </si>
  <si>
    <t>12,000 - 13,000</t>
  </si>
  <si>
    <t>11,000 - 12,000</t>
  </si>
  <si>
    <t>10,000 - 11,000</t>
  </si>
  <si>
    <t>9,000 - 10,000</t>
  </si>
  <si>
    <t>8,000 - 9,000</t>
  </si>
  <si>
    <t>IDR= Statistics     Daily     01-Jan-2010 - 26-Jun-2023</t>
  </si>
  <si>
    <t>Up/Down</t>
  </si>
  <si>
    <t>Price Change (Close-Close)</t>
  </si>
  <si>
    <t>High</t>
  </si>
  <si>
    <t>Max</t>
  </si>
  <si>
    <t>Advancing</t>
  </si>
  <si>
    <t>Up</t>
  </si>
  <si>
    <t>Low</t>
  </si>
  <si>
    <t>Min</t>
  </si>
  <si>
    <t>Declining</t>
  </si>
  <si>
    <t>Down</t>
  </si>
  <si>
    <t>Avg</t>
  </si>
  <si>
    <t>Total</t>
  </si>
  <si>
    <t>Unch</t>
  </si>
  <si>
    <t>Period</t>
  </si>
  <si>
    <t>01-Jan-2010 - 26-Jun-2023</t>
  </si>
  <si>
    <t>IDR= History     Daily     01-Jan-2010 - 26-Jun-2023</t>
  </si>
  <si>
    <t>Exchange Date</t>
  </si>
  <si>
    <t>Bid</t>
  </si>
  <si>
    <t>Ask</t>
  </si>
  <si>
    <t>Open</t>
  </si>
  <si>
    <t>BidNet</t>
  </si>
  <si>
    <t>Mid</t>
  </si>
  <si>
    <t>Economic Indicator</t>
  </si>
  <si>
    <t>United StatesCPI YY, NSA*(Jun 2023)</t>
  </si>
  <si>
    <t>CPI - All Urban Samples: All Items, Chg Y/Y</t>
  </si>
  <si>
    <t>Time Span:</t>
  </si>
  <si>
    <t>Jan 1914 to May 2023, Monthly</t>
  </si>
  <si>
    <t>Adjustment:</t>
  </si>
  <si>
    <t>Not seasonally adjusted</t>
  </si>
  <si>
    <t>Source:</t>
  </si>
  <si>
    <t>Bureau of Labor Statistics, U.S. Department of Labor</t>
  </si>
  <si>
    <t>Reference Period:</t>
  </si>
  <si>
    <t>Jun 2023</t>
  </si>
  <si>
    <t>Actual(Jun 2023):</t>
  </si>
  <si>
    <t>Expected Soon</t>
  </si>
  <si>
    <t>Reuters Poll:</t>
  </si>
  <si>
    <t/>
  </si>
  <si>
    <t>SmartEconomics®:</t>
  </si>
  <si>
    <t>Predicted Surprise:</t>
  </si>
  <si>
    <t>Scheduled Date:</t>
  </si>
  <si>
    <t>12 Jul 2023</t>
  </si>
  <si>
    <t>Actual Revised:</t>
  </si>
  <si>
    <t>Min:</t>
  </si>
  <si>
    <t>Median:</t>
  </si>
  <si>
    <t>Std. Dev:</t>
  </si>
  <si>
    <t>Scheduled Time:</t>
  </si>
  <si>
    <t>19:30</t>
  </si>
  <si>
    <t>Prior:</t>
  </si>
  <si>
    <t>4 %</t>
  </si>
  <si>
    <t>Max:</t>
  </si>
  <si>
    <t>Mean:</t>
  </si>
  <si>
    <t>% Chng:</t>
  </si>
  <si>
    <t>4.048</t>
  </si>
  <si>
    <t>Last Updated:</t>
  </si>
  <si>
    <t>13 Jun 2023</t>
  </si>
  <si>
    <t>Prior Revised:</t>
  </si>
  <si>
    <t># Forcasters:</t>
  </si>
  <si>
    <t>Mode:</t>
  </si>
  <si>
    <t>Press Release:</t>
  </si>
  <si>
    <t>http://www.bls.gov/news.release/cpi.htm</t>
  </si>
  <si>
    <t>Indicator</t>
  </si>
  <si>
    <t>United States CPI YY, NSA*</t>
  </si>
  <si>
    <t>Download Date</t>
  </si>
  <si>
    <t>26 Jun 2023</t>
  </si>
  <si>
    <t>Unit</t>
  </si>
  <si>
    <t>Percent</t>
  </si>
  <si>
    <t>Actual (First Release)</t>
  </si>
  <si>
    <t>Reuters Poll</t>
  </si>
  <si>
    <t>Poll</t>
  </si>
  <si>
    <t>aUSCPNYAR</t>
  </si>
  <si>
    <t>pUSCPNY=M</t>
  </si>
  <si>
    <t>pUSCPNY=L</t>
  </si>
  <si>
    <t>pUSCPNY=H</t>
  </si>
  <si>
    <t>First Release Data</t>
  </si>
  <si>
    <t>Actual</t>
  </si>
  <si>
    <t>Original Release Date</t>
  </si>
  <si>
    <t>First Release</t>
  </si>
  <si>
    <t>May 2023</t>
  </si>
  <si>
    <t>13 Jun 2023 19:30</t>
  </si>
  <si>
    <t>4.0%</t>
  </si>
  <si>
    <t>Apr 2023</t>
  </si>
  <si>
    <t>10 May 2023 19:30</t>
  </si>
  <si>
    <t>4.9%</t>
  </si>
  <si>
    <t>Mar 2023</t>
  </si>
  <si>
    <t>12 Apr 2023 19:30</t>
  </si>
  <si>
    <t>5.0%</t>
  </si>
  <si>
    <t>Feb 2023</t>
  </si>
  <si>
    <t>14 Mar 2023 19:30</t>
  </si>
  <si>
    <t>6.0%</t>
  </si>
  <si>
    <t>Jan 2023</t>
  </si>
  <si>
    <t>14 Feb 2023 20:30</t>
  </si>
  <si>
    <t>6.4%</t>
  </si>
  <si>
    <t>Dec 2022</t>
  </si>
  <si>
    <t>12 Jan 2023 20:30</t>
  </si>
  <si>
    <t>6.5%</t>
  </si>
  <si>
    <t>Nov 2022</t>
  </si>
  <si>
    <t>13 Dec 2022 20:30</t>
  </si>
  <si>
    <t>7.1%</t>
  </si>
  <si>
    <t>Oct 2022</t>
  </si>
  <si>
    <t>10 Nov 2022 20:30</t>
  </si>
  <si>
    <t>7.7%</t>
  </si>
  <si>
    <t>Sep 2022</t>
  </si>
  <si>
    <t>13 Oct 2022 19:30</t>
  </si>
  <si>
    <t>8.2%</t>
  </si>
  <si>
    <t>Aug 2022</t>
  </si>
  <si>
    <t>13 Sep 2022 19:30</t>
  </si>
  <si>
    <t>8.3%</t>
  </si>
  <si>
    <t>Jul 2022</t>
  </si>
  <si>
    <t>10 Aug 2022 19:30</t>
  </si>
  <si>
    <t>8.5%</t>
  </si>
  <si>
    <t>Jun 2022</t>
  </si>
  <si>
    <t>13 Jul 2022 19:30</t>
  </si>
  <si>
    <t>9.1%</t>
  </si>
  <si>
    <t>May 2022</t>
  </si>
  <si>
    <t>10 Jun 2022 19:30</t>
  </si>
  <si>
    <t>8.6%</t>
  </si>
  <si>
    <t>Apr 2022</t>
  </si>
  <si>
    <t>11 May 2022 19:30</t>
  </si>
  <si>
    <t>Mar 2022</t>
  </si>
  <si>
    <t>12 Apr 2022 19:30</t>
  </si>
  <si>
    <t>Feb 2022</t>
  </si>
  <si>
    <t>10 Mar 2022 20:30</t>
  </si>
  <si>
    <t>7.9%</t>
  </si>
  <si>
    <t>Jan 2022</t>
  </si>
  <si>
    <t>10 Feb 2022 20:30</t>
  </si>
  <si>
    <t>7.5%</t>
  </si>
  <si>
    <t>Dec 2021</t>
  </si>
  <si>
    <t>12 Jan 2022 20:30</t>
  </si>
  <si>
    <t>7.0%</t>
  </si>
  <si>
    <t>Nov 2021</t>
  </si>
  <si>
    <t>10 Dec 2021 20:30</t>
  </si>
  <si>
    <t>6.8%</t>
  </si>
  <si>
    <t>Oct 2021</t>
  </si>
  <si>
    <t>10 Nov 2021 20:30</t>
  </si>
  <si>
    <t>6.2%</t>
  </si>
  <si>
    <t>Sep 2021</t>
  </si>
  <si>
    <t>13 Oct 2021 19:30</t>
  </si>
  <si>
    <t>5.4%</t>
  </si>
  <si>
    <t>Aug 2021</t>
  </si>
  <si>
    <t>14 Sep 2021 19:30</t>
  </si>
  <si>
    <t>5.3%</t>
  </si>
  <si>
    <t>Jul 2021</t>
  </si>
  <si>
    <t>11 Aug 2021 19:30</t>
  </si>
  <si>
    <t>Jun 2021</t>
  </si>
  <si>
    <t>13 Jul 2021 19:30</t>
  </si>
  <si>
    <t>May 2021</t>
  </si>
  <si>
    <t>10 Jun 2021 19:30</t>
  </si>
  <si>
    <t>Apr 2021</t>
  </si>
  <si>
    <t>12 May 2021 19:30</t>
  </si>
  <si>
    <t>4.2%</t>
  </si>
  <si>
    <t>Mar 2021</t>
  </si>
  <si>
    <t>13 Apr 2021 19:30</t>
  </si>
  <si>
    <t>2.6%</t>
  </si>
  <si>
    <t>Feb 2021</t>
  </si>
  <si>
    <t>10 Mar 2021 20:30</t>
  </si>
  <si>
    <t>1.7%</t>
  </si>
  <si>
    <t>Jan 2021</t>
  </si>
  <si>
    <t>10 Feb 2021 20:30</t>
  </si>
  <si>
    <t>1.4%</t>
  </si>
  <si>
    <t>Dec 2020</t>
  </si>
  <si>
    <t>13 Jan 2021 20:30</t>
  </si>
  <si>
    <t>Nov 2020</t>
  </si>
  <si>
    <t>10 Dec 2020 20:30</t>
  </si>
  <si>
    <t>1.2%</t>
  </si>
  <si>
    <t>Oct 2020</t>
  </si>
  <si>
    <t>12 Nov 2020 20:30</t>
  </si>
  <si>
    <t>Sep 2020</t>
  </si>
  <si>
    <t>13 Oct 2020 19:30</t>
  </si>
  <si>
    <t>Aug 2020</t>
  </si>
  <si>
    <t>11 Sep 2020 19:30</t>
  </si>
  <si>
    <t>1.3%</t>
  </si>
  <si>
    <t>Jul 2020</t>
  </si>
  <si>
    <t>12 Aug 2020 19:30</t>
  </si>
  <si>
    <t>1.0%</t>
  </si>
  <si>
    <t>Jun 2020</t>
  </si>
  <si>
    <t>14 Jul 2020 19:30</t>
  </si>
  <si>
    <t>0.6%</t>
  </si>
  <si>
    <t>May 2020</t>
  </si>
  <si>
    <t>10 Jun 2020 19:30</t>
  </si>
  <si>
    <t>0.1%</t>
  </si>
  <si>
    <t>Apr 2020</t>
  </si>
  <si>
    <t>12 May 2020 19:30</t>
  </si>
  <si>
    <t>0.3%</t>
  </si>
  <si>
    <t>Mar 2020</t>
  </si>
  <si>
    <t>10 Apr 2020 19:30</t>
  </si>
  <si>
    <t>1.5%</t>
  </si>
  <si>
    <t>Feb 2020</t>
  </si>
  <si>
    <t>11 Mar 2020 19:30</t>
  </si>
  <si>
    <t>2.3%</t>
  </si>
  <si>
    <t>Jan 2020</t>
  </si>
  <si>
    <t>13 Feb 2020 20:30</t>
  </si>
  <si>
    <t>2.5%</t>
  </si>
  <si>
    <t>Dec 2019</t>
  </si>
  <si>
    <t>14 Jan 2020 20:30</t>
  </si>
  <si>
    <t>Nov 2019</t>
  </si>
  <si>
    <t>11 Dec 2019 20:30</t>
  </si>
  <si>
    <t>2.1%</t>
  </si>
  <si>
    <t>Oct 2019</t>
  </si>
  <si>
    <t>13 Nov 2019 20:30</t>
  </si>
  <si>
    <t>1.8%</t>
  </si>
  <si>
    <t>Sep 2019</t>
  </si>
  <si>
    <t>10 Oct 2019 19:30</t>
  </si>
  <si>
    <t>Aug 2019</t>
  </si>
  <si>
    <t>12 Sep 2019 19:30</t>
  </si>
  <si>
    <t>Jul 2019</t>
  </si>
  <si>
    <t>13 Aug 2019 19:30</t>
  </si>
  <si>
    <t>Jun 2019</t>
  </si>
  <si>
    <t>11 Jul 2019 19:30</t>
  </si>
  <si>
    <t>1.6%</t>
  </si>
  <si>
    <t>May 2019</t>
  </si>
  <si>
    <t>12 Jun 2019 19:30</t>
  </si>
  <si>
    <t>Apr 2019</t>
  </si>
  <si>
    <t>10 May 2019 19:30</t>
  </si>
  <si>
    <t>2.0%</t>
  </si>
  <si>
    <t>Mar 2019</t>
  </si>
  <si>
    <t>10 Apr 2019 19:30</t>
  </si>
  <si>
    <t>1.9%</t>
  </si>
  <si>
    <t>Feb 2019</t>
  </si>
  <si>
    <t>12 Mar 2019 19:30</t>
  </si>
  <si>
    <t>Jan 2019</t>
  </si>
  <si>
    <t>13 Feb 2019 20:30</t>
  </si>
  <si>
    <t>Dec 2018</t>
  </si>
  <si>
    <t>11 Jan 2019 20:30</t>
  </si>
  <si>
    <t>Nov 2018</t>
  </si>
  <si>
    <t>12 Dec 2018 20:30</t>
  </si>
  <si>
    <t>2.2%</t>
  </si>
  <si>
    <t>Oct 2018</t>
  </si>
  <si>
    <t>14 Nov 2018 20:30</t>
  </si>
  <si>
    <t>Sep 2018</t>
  </si>
  <si>
    <t>11 Oct 2018 19:30</t>
  </si>
  <si>
    <t>Aug 2018</t>
  </si>
  <si>
    <t>13 Sep 2018 19:30</t>
  </si>
  <si>
    <t>2.7%</t>
  </si>
  <si>
    <t>Jul 2018</t>
  </si>
  <si>
    <t>10 Aug 2018 19:30</t>
  </si>
  <si>
    <t>2.9%</t>
  </si>
  <si>
    <t>Jun 2018</t>
  </si>
  <si>
    <t>12 Jul 2018 19:30</t>
  </si>
  <si>
    <t>May 2018</t>
  </si>
  <si>
    <t>12 Jun 2018 19:30</t>
  </si>
  <si>
    <t>2.8%</t>
  </si>
  <si>
    <t>Apr 2018</t>
  </si>
  <si>
    <t>10 May 2018 19:30</t>
  </si>
  <si>
    <t>Mar 2018</t>
  </si>
  <si>
    <t>11 Apr 2018 19:30</t>
  </si>
  <si>
    <t>2.4%</t>
  </si>
  <si>
    <t>Feb 2018</t>
  </si>
  <si>
    <t>13 Mar 2018 19:30</t>
  </si>
  <si>
    <t>Jan 2018</t>
  </si>
  <si>
    <t>14 Feb 2018 20:30</t>
  </si>
  <si>
    <t>Dec 2017</t>
  </si>
  <si>
    <t>12 Jan 2018 20:30</t>
  </si>
  <si>
    <t>Nov 2017</t>
  </si>
  <si>
    <t>13 Dec 2017 20:30</t>
  </si>
  <si>
    <t>Oct 2017</t>
  </si>
  <si>
    <t>15 Nov 2017 20:30</t>
  </si>
  <si>
    <t>Sep 2017</t>
  </si>
  <si>
    <t>13 Oct 2017 19:30</t>
  </si>
  <si>
    <t>Aug 2017</t>
  </si>
  <si>
    <t>14 Sep 2017 19:30</t>
  </si>
  <si>
    <t>Jul 2017</t>
  </si>
  <si>
    <t>11 Aug 2017 19:30</t>
  </si>
  <si>
    <t>Jun 2017</t>
  </si>
  <si>
    <t>14 Jul 2017 19:30</t>
  </si>
  <si>
    <t>May 2017</t>
  </si>
  <si>
    <t>14 Jun 2017 19:30</t>
  </si>
  <si>
    <t>Apr 2017</t>
  </si>
  <si>
    <t>12 May 2017 19:30</t>
  </si>
  <si>
    <t>Mar 2017</t>
  </si>
  <si>
    <t>14 Apr 2017 19:30</t>
  </si>
  <si>
    <t>Feb 2017</t>
  </si>
  <si>
    <t>15 Mar 2017 19:30</t>
  </si>
  <si>
    <t>Jan 2017</t>
  </si>
  <si>
    <t>15 Feb 2017 20:31</t>
  </si>
  <si>
    <t>Dec 2016</t>
  </si>
  <si>
    <t>18 Jan 2017 20:30</t>
  </si>
  <si>
    <t>Nov 2016</t>
  </si>
  <si>
    <t>15 Dec 2016 20:30</t>
  </si>
  <si>
    <t>Oct 2016</t>
  </si>
  <si>
    <t>17 Nov 2016 20:30</t>
  </si>
  <si>
    <t>Sep 2016</t>
  </si>
  <si>
    <t>18 Oct 2016 19:36</t>
  </si>
  <si>
    <t>Aug 2016</t>
  </si>
  <si>
    <t>16 Sep 2016 19:30</t>
  </si>
  <si>
    <t>1.1%</t>
  </si>
  <si>
    <t>Jul 2016</t>
  </si>
  <si>
    <t>16 Aug 2016 19:32</t>
  </si>
  <si>
    <t>0.8%</t>
  </si>
  <si>
    <t>Jun 2016</t>
  </si>
  <si>
    <t>15 Jul 2016 19:30</t>
  </si>
  <si>
    <t>May 2016</t>
  </si>
  <si>
    <t>16 Jun 2016 19:33</t>
  </si>
  <si>
    <t>Apr 2016</t>
  </si>
  <si>
    <t>17 May 2016 19:31</t>
  </si>
  <si>
    <t>Mar 2016</t>
  </si>
  <si>
    <t>14 Apr 2016 19:31</t>
  </si>
  <si>
    <t>0.9%</t>
  </si>
  <si>
    <t>Feb 2016</t>
  </si>
  <si>
    <t>16 Mar 2016 19:35</t>
  </si>
  <si>
    <t>Jan 2016</t>
  </si>
  <si>
    <t>19 Feb 2016 20:31</t>
  </si>
  <si>
    <t>Dec 2015</t>
  </si>
  <si>
    <t>20 Jan 2016 20:31</t>
  </si>
  <si>
    <t>0.7%</t>
  </si>
  <si>
    <t>Nov 2015</t>
  </si>
  <si>
    <t>15 Dec 2015 20:31</t>
  </si>
  <si>
    <t>0.5%</t>
  </si>
  <si>
    <t>Oct 2015</t>
  </si>
  <si>
    <t>17 Nov 2015 20:32</t>
  </si>
  <si>
    <t>0.2%</t>
  </si>
  <si>
    <t>Sep 2015</t>
  </si>
  <si>
    <t>15 Oct 2015 19:30</t>
  </si>
  <si>
    <t>0.0%</t>
  </si>
  <si>
    <t>Aug 2015</t>
  </si>
  <si>
    <t>16 Sep 2015 19:31</t>
  </si>
  <si>
    <t>Jul 2015</t>
  </si>
  <si>
    <t>19 Aug 2015 19:31</t>
  </si>
  <si>
    <t>Jun 2015</t>
  </si>
  <si>
    <t>17 Jul 2015 19:34</t>
  </si>
  <si>
    <t>May 2015</t>
  </si>
  <si>
    <t>18 Jun 2015 19:31</t>
  </si>
  <si>
    <t>Apr 2015</t>
  </si>
  <si>
    <t>22 May 2015 19:31</t>
  </si>
  <si>
    <t>-0.2%</t>
  </si>
  <si>
    <t>Mar 2015</t>
  </si>
  <si>
    <t>17 Apr 2015 19:31</t>
  </si>
  <si>
    <t>-0.1%</t>
  </si>
  <si>
    <t>Feb 2015</t>
  </si>
  <si>
    <t>24 Mar 2015 19:32</t>
  </si>
  <si>
    <t>Jan 2015</t>
  </si>
  <si>
    <t>26 Feb 2015 20:31</t>
  </si>
  <si>
    <t>Dec 2014</t>
  </si>
  <si>
    <t>16 Jan 2015 20:31</t>
  </si>
  <si>
    <t>Nov 2014</t>
  </si>
  <si>
    <t>17 Dec 2014 20:32</t>
  </si>
  <si>
    <t>Oct 2014</t>
  </si>
  <si>
    <t>20 Nov 2014 20:31</t>
  </si>
  <si>
    <t>Sep 2014</t>
  </si>
  <si>
    <t>22 Oct 2014 19:30</t>
  </si>
  <si>
    <t>Aug 2014</t>
  </si>
  <si>
    <t>17 Sep 2014 19:30</t>
  </si>
  <si>
    <t>Jul 2014</t>
  </si>
  <si>
    <t>19 Aug 2014 19:30</t>
  </si>
  <si>
    <t>Jun 2014</t>
  </si>
  <si>
    <t>22 Jul 2014 19:30</t>
  </si>
  <si>
    <t>May 2014</t>
  </si>
  <si>
    <t>17 Jun 2014 19:30</t>
  </si>
  <si>
    <t>Apr 2014</t>
  </si>
  <si>
    <t>15 May 2014 19:30</t>
  </si>
  <si>
    <t>Mar 2014</t>
  </si>
  <si>
    <t>15 Apr 2014 19:30</t>
  </si>
  <si>
    <t>Feb 2014</t>
  </si>
  <si>
    <t>18 Mar 2014 19:30</t>
  </si>
  <si>
    <t>Jan 2014</t>
  </si>
  <si>
    <t>20 Feb 2014 20:30</t>
  </si>
  <si>
    <t>Dec 2013</t>
  </si>
  <si>
    <t>16 Jan 2014 20:30</t>
  </si>
  <si>
    <t>Nov 2013</t>
  </si>
  <si>
    <t>17 Dec 2013 20:30</t>
  </si>
  <si>
    <t>Oct 2013</t>
  </si>
  <si>
    <t>20 Nov 2013 20:30</t>
  </si>
  <si>
    <t>Sep 2013</t>
  </si>
  <si>
    <t>30 Oct 2013 19:30</t>
  </si>
  <si>
    <t>Aug 2013</t>
  </si>
  <si>
    <t>17 Sep 2013 19:30</t>
  </si>
  <si>
    <t>Jul 2013</t>
  </si>
  <si>
    <t>15 Aug 2013 19:30</t>
  </si>
  <si>
    <t>Jun 2013</t>
  </si>
  <si>
    <t>16 Jul 2013 19:30</t>
  </si>
  <si>
    <t>5 Jun 2023 11:02</t>
  </si>
  <si>
    <t>4.00%</t>
  </si>
  <si>
    <t>2 May 2023 11:06</t>
  </si>
  <si>
    <t>4.33%</t>
  </si>
  <si>
    <t>3 Apr 2023 11:00</t>
  </si>
  <si>
    <t>4.97%</t>
  </si>
  <si>
    <t>1 Mar 2023 11:22</t>
  </si>
  <si>
    <t>5.47%</t>
  </si>
  <si>
    <t>1 Feb 2023 11:08</t>
  </si>
  <si>
    <t>5.28%</t>
  </si>
  <si>
    <t>2 Jan 2023 11:07</t>
  </si>
  <si>
    <t>5.51%</t>
  </si>
  <si>
    <t>1 Dec 2022 11:04</t>
  </si>
  <si>
    <t>5.42%</t>
  </si>
  <si>
    <t>1 Nov 2022 11:05</t>
  </si>
  <si>
    <t>5.71%</t>
  </si>
  <si>
    <t>3 Oct 2022 11:23</t>
  </si>
  <si>
    <t>5.95%</t>
  </si>
  <si>
    <t>1 Sep 2022 11:04</t>
  </si>
  <si>
    <t>4.69%</t>
  </si>
  <si>
    <t>1 Aug 2022 11:06</t>
  </si>
  <si>
    <t>4.94%</t>
  </si>
  <si>
    <t>1 Jul 2022 09:10</t>
  </si>
  <si>
    <t>4.35%</t>
  </si>
  <si>
    <t>2 Jun 2022 11:05</t>
  </si>
  <si>
    <t>3.55%</t>
  </si>
  <si>
    <t>9 May 2022 11:45</t>
  </si>
  <si>
    <t>3.47%</t>
  </si>
  <si>
    <t>1 Apr 2022 09:06</t>
  </si>
  <si>
    <t>2.64%</t>
  </si>
  <si>
    <t>1 Mar 2022 11:06</t>
  </si>
  <si>
    <t>2.06%</t>
  </si>
  <si>
    <t>2 Feb 2022 11:05</t>
  </si>
  <si>
    <t>2.18%</t>
  </si>
  <si>
    <t>3 Jan 2022 11:05</t>
  </si>
  <si>
    <t>1.87%</t>
  </si>
  <si>
    <t>1 Dec 2021 11:04</t>
  </si>
  <si>
    <t>1.75%</t>
  </si>
  <si>
    <t>1 Nov 2021 11:04</t>
  </si>
  <si>
    <t>1.66%</t>
  </si>
  <si>
    <t>1 Oct 2021 09:09</t>
  </si>
  <si>
    <t>1.60%</t>
  </si>
  <si>
    <t>1 Sep 2021 11:06</t>
  </si>
  <si>
    <t>1.59%</t>
  </si>
  <si>
    <t>2 Aug 2021 11:05</t>
  </si>
  <si>
    <t>1.52%</t>
  </si>
  <si>
    <t>1 Jul 2021 11:02</t>
  </si>
  <si>
    <t>1.33%</t>
  </si>
  <si>
    <t>2 Jun 2021 11:03</t>
  </si>
  <si>
    <t>1.68%</t>
  </si>
  <si>
    <t>3 May 2021 11:02</t>
  </si>
  <si>
    <t>1.42%</t>
  </si>
  <si>
    <t>1 Apr 2021 11:05</t>
  </si>
  <si>
    <t>1.37%</t>
  </si>
  <si>
    <t>1 Mar 2021 11:06</t>
  </si>
  <si>
    <t>1.38%</t>
  </si>
  <si>
    <t>1 Feb 2021 11:02</t>
  </si>
  <si>
    <t>1.55%</t>
  </si>
  <si>
    <t>4 Jan 2021 11:02</t>
  </si>
  <si>
    <t>1 Dec 2020 11:04</t>
  </si>
  <si>
    <t>2 Nov 2020 11:01</t>
  </si>
  <si>
    <t>1.44%</t>
  </si>
  <si>
    <t>1 Oct 2020 11:01</t>
  </si>
  <si>
    <t>1 Sep 2020 11:02</t>
  </si>
  <si>
    <t>1.32%</t>
  </si>
  <si>
    <t>3 Aug 2020 11:02</t>
  </si>
  <si>
    <t>1.54%</t>
  </si>
  <si>
    <t>1 Jul 2020 11:02</t>
  </si>
  <si>
    <t>1.96%</t>
  </si>
  <si>
    <t>2 Jun 2020 11:10</t>
  </si>
  <si>
    <t>2.19%</t>
  </si>
  <si>
    <t>4 May 2020 11:05</t>
  </si>
  <si>
    <t>2.67%</t>
  </si>
  <si>
    <t>1 Apr 2020 11:09</t>
  </si>
  <si>
    <t>2.96%</t>
  </si>
  <si>
    <t>2 Mar 2020 11:02</t>
  </si>
  <si>
    <t>2.98%</t>
  </si>
  <si>
    <t>3 Feb 2020 11:08</t>
  </si>
  <si>
    <t>2.68%</t>
  </si>
  <si>
    <t>2 Jan 2020 11:03</t>
  </si>
  <si>
    <t>2.72%</t>
  </si>
  <si>
    <t>2 Dec 2019 11:02</t>
  </si>
  <si>
    <t>3.00%</t>
  </si>
  <si>
    <t>1 Nov 2019 09:04</t>
  </si>
  <si>
    <t>3.13%</t>
  </si>
  <si>
    <t>1 Oct 2019 11:03</t>
  </si>
  <si>
    <t>3.39%</t>
  </si>
  <si>
    <t>2 Sep 2019 11:02</t>
  </si>
  <si>
    <t>3.49%</t>
  </si>
  <si>
    <t>1 Aug 2019 11:02</t>
  </si>
  <si>
    <t>3.32%</t>
  </si>
  <si>
    <t>1 Jul 2019 11:01</t>
  </si>
  <si>
    <t>3.28%</t>
  </si>
  <si>
    <t>10 Jun 2019 11:05</t>
  </si>
  <si>
    <t>2 May 2019 11:03</t>
  </si>
  <si>
    <t>2.83%</t>
  </si>
  <si>
    <t>1 Apr 2019 11:01</t>
  </si>
  <si>
    <t>2.48%</t>
  </si>
  <si>
    <t>1 Mar 2019 09:04</t>
  </si>
  <si>
    <t>2.57%</t>
  </si>
  <si>
    <t>1 Feb 2019 09:04</t>
  </si>
  <si>
    <t>2.82%</t>
  </si>
  <si>
    <t>2 Jan 2019 11:02</t>
  </si>
  <si>
    <t>3 Dec 2018 11:02</t>
  </si>
  <si>
    <t>3.23%</t>
  </si>
  <si>
    <t>1 Nov 2018 11:04</t>
  </si>
  <si>
    <t>3.16%</t>
  </si>
  <si>
    <t>1 Oct 2018 11:03</t>
  </si>
  <si>
    <t>2.88%</t>
  </si>
  <si>
    <t>3 Sep 2018 11:02</t>
  </si>
  <si>
    <t>3.20%</t>
  </si>
  <si>
    <t>1 Aug 2018 11:01</t>
  </si>
  <si>
    <t>3.18%</t>
  </si>
  <si>
    <t>2 Jul 2018 11:00</t>
  </si>
  <si>
    <t>3.12%</t>
  </si>
  <si>
    <t>4 Jun 2018 11:00</t>
  </si>
  <si>
    <t>2 May 2018 11:03</t>
  </si>
  <si>
    <t>3.41%</t>
  </si>
  <si>
    <t>2 Apr 2018 11:04</t>
  </si>
  <si>
    <t>3.40%</t>
  </si>
  <si>
    <t>1 Mar 2018 11:02</t>
  </si>
  <si>
    <t>1 Feb 2018 11:04</t>
  </si>
  <si>
    <t>3.25%</t>
  </si>
  <si>
    <t>2 Jan 2018 11:04</t>
  </si>
  <si>
    <t>3.61%</t>
  </si>
  <si>
    <t>4 Dec 2017 11:02</t>
  </si>
  <si>
    <t>3.30%</t>
  </si>
  <si>
    <t>1 Nov 2017 11:03</t>
  </si>
  <si>
    <t>3.58%</t>
  </si>
  <si>
    <t>2 Oct 2017 11:04</t>
  </si>
  <si>
    <t>3.72%</t>
  </si>
  <si>
    <t>4 Sep 2017 11:02</t>
  </si>
  <si>
    <t>3.82%</t>
  </si>
  <si>
    <t>1 Aug 2017 11:10</t>
  </si>
  <si>
    <t>3.88%</t>
  </si>
  <si>
    <t>3 Jul 2017 11:01</t>
  </si>
  <si>
    <t>4.37%</t>
  </si>
  <si>
    <t>2 Jun 2017 09:47</t>
  </si>
  <si>
    <t>2 May 2017 11:05</t>
  </si>
  <si>
    <t>4.17%</t>
  </si>
  <si>
    <t>3 Apr 2017 11:05</t>
  </si>
  <si>
    <t>1 Mar 2017 11:04</t>
  </si>
  <si>
    <t>3.83%</t>
  </si>
  <si>
    <t>1 Feb 2017 11:08</t>
  </si>
  <si>
    <t>3 Jan 2017 11:06</t>
  </si>
  <si>
    <t>3.02%</t>
  </si>
  <si>
    <t>1 Dec 2016 11:05</t>
  </si>
  <si>
    <t>1 Nov 2016 11:14</t>
  </si>
  <si>
    <t>3.31%</t>
  </si>
  <si>
    <t>3 Oct 2016 11:12</t>
  </si>
  <si>
    <t>3.07%</t>
  </si>
  <si>
    <t>1 Sep 2016 11:07</t>
  </si>
  <si>
    <t>2.79%</t>
  </si>
  <si>
    <t>1 Aug 2016 11:08</t>
  </si>
  <si>
    <t>3.21%</t>
  </si>
  <si>
    <t>1 Jul 2016 09:27</t>
  </si>
  <si>
    <t>3.45%</t>
  </si>
  <si>
    <t>1 Jun 2016 11:05</t>
  </si>
  <si>
    <t>3.33%</t>
  </si>
  <si>
    <t>2 May 2016 11:09</t>
  </si>
  <si>
    <t>3.60%</t>
  </si>
  <si>
    <t>1 Apr 2016 09:53</t>
  </si>
  <si>
    <t>4.45%</t>
  </si>
  <si>
    <t>1 Mar 2016 11:08</t>
  </si>
  <si>
    <t>4.42%</t>
  </si>
  <si>
    <t>1 Feb 2016 11:10</t>
  </si>
  <si>
    <t>4.14%</t>
  </si>
  <si>
    <t>4 Jan 2016 11:34</t>
  </si>
  <si>
    <t>3.35%</t>
  </si>
  <si>
    <t>1 Dec 2015 11:25</t>
  </si>
  <si>
    <t>4.90%</t>
  </si>
  <si>
    <t>2 Nov 2015 11:09</t>
  </si>
  <si>
    <t>6.25%</t>
  </si>
  <si>
    <t>1 Oct 2015 11:01</t>
  </si>
  <si>
    <t>6.83%</t>
  </si>
  <si>
    <t>1 Sep 2015 11:05</t>
  </si>
  <si>
    <t>7.18%</t>
  </si>
  <si>
    <t>3 Aug 2015 11:30</t>
  </si>
  <si>
    <t>7.26%</t>
  </si>
  <si>
    <t>1 Jul 2015 11:07</t>
  </si>
  <si>
    <t>1 Jun 2015 11:03</t>
  </si>
  <si>
    <t>7.15%</t>
  </si>
  <si>
    <t>4 May 2015 11:08</t>
  </si>
  <si>
    <t>6.79%</t>
  </si>
  <si>
    <t>1 Apr 2015 11:00</t>
  </si>
  <si>
    <t>6.38%</t>
  </si>
  <si>
    <t>2 Mar 2015 11:09</t>
  </si>
  <si>
    <t>6.29%</t>
  </si>
  <si>
    <t>2 Feb 2015 11:03</t>
  </si>
  <si>
    <t>6.96%</t>
  </si>
  <si>
    <t>2 Jan 2015 09:05</t>
  </si>
  <si>
    <t>8.36%</t>
  </si>
  <si>
    <t>1 Dec 2014 11:00</t>
  </si>
  <si>
    <t>6.23%</t>
  </si>
  <si>
    <t>3 Nov 2014 11:07</t>
  </si>
  <si>
    <t>4.83%</t>
  </si>
  <si>
    <t>1 Oct 2014 11:20</t>
  </si>
  <si>
    <t>4.53%</t>
  </si>
  <si>
    <t>1 Sep 2014 11:08</t>
  </si>
  <si>
    <t>3.99%</t>
  </si>
  <si>
    <t>4 Aug 2014 11:00</t>
  </si>
  <si>
    <t>1 Jul 2014 11:08</t>
  </si>
  <si>
    <t>6.70%</t>
  </si>
  <si>
    <t>2 Jun 2014 11:13</t>
  </si>
  <si>
    <t>7.32%</t>
  </si>
  <si>
    <t>2 May 2014 09:07</t>
  </si>
  <si>
    <t>7.25%</t>
  </si>
  <si>
    <t>1 Apr 2014 11:07</t>
  </si>
  <si>
    <t>28 Feb 2014 13:39</t>
  </si>
  <si>
    <t>7.80%</t>
  </si>
  <si>
    <t>3 Feb 2014 11:35</t>
  </si>
  <si>
    <t>8.22%</t>
  </si>
  <si>
    <t>2 Jan 2014 11:09</t>
  </si>
  <si>
    <t>8.38%</t>
  </si>
  <si>
    <t>2 Dec 2013 11:10</t>
  </si>
  <si>
    <t>8.37%</t>
  </si>
  <si>
    <t>1 Nov 2013 09:08</t>
  </si>
  <si>
    <t>8.32%</t>
  </si>
  <si>
    <t>1 Oct 2013 11:04</t>
  </si>
  <si>
    <t>8.40%</t>
  </si>
  <si>
    <t>2 Sep 2013 10:50</t>
  </si>
  <si>
    <t>8.79%</t>
  </si>
  <si>
    <t>1 Aug 2013 11:00</t>
  </si>
  <si>
    <t>8.61%</t>
  </si>
  <si>
    <t>1 Jul 2013 11:00</t>
  </si>
  <si>
    <t>5.90%</t>
  </si>
  <si>
    <t>Date</t>
  </si>
  <si>
    <t>IDRREPOREF=BIIA</t>
  </si>
  <si>
    <t>Close</t>
  </si>
  <si>
    <t>BI 7 days Repo Rate</t>
  </si>
  <si>
    <t>Variabel</t>
  </si>
  <si>
    <t>BI Rate</t>
  </si>
  <si>
    <t>2010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</si>
  <si>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</si>
  <si>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</si>
  <si>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</si>
  <si>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</si>
  <si>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</si>
  <si>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</si>
  <si>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</si>
  <si>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</si>
  <si>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</si>
  <si>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</si>
  <si>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</si>
  <si>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</si>
  <si>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Tahunan</t>
  </si>
  <si>
    <t>6.50</t>
  </si>
  <si>
    <t>Sumber: Bank Indonesia.</t>
  </si>
  <si>
    <t>Source Url: https://www.bps.go.id/indicator/13/379/14/bi-rate.html</t>
  </si>
  <si>
    <t>Access Time: June 26, 2023, 2:47 pm</t>
  </si>
  <si>
    <t>2011</t>
  </si>
  <si>
    <t>6.75</t>
  </si>
  <si>
    <t>6.00</t>
  </si>
  <si>
    <t>Source Url: https://www.bps.go.id/indicator/13/379/13/bi-rate.html</t>
  </si>
  <si>
    <t>Access Time: June 26, 2023, 2:48 pm</t>
  </si>
  <si>
    <t>2012</t>
  </si>
  <si>
    <t>5.75</t>
  </si>
  <si>
    <t>-</t>
  </si>
  <si>
    <t>Source Url: https://www.bps.go.id/indicator/13/379/12/bi-rate.html</t>
  </si>
  <si>
    <t>Access Time: June 26, 2023, 2:49 pm</t>
  </si>
  <si>
    <t>2013</t>
  </si>
  <si>
    <t>7.00</t>
  </si>
  <si>
    <t>7.25</t>
  </si>
  <si>
    <t>7.50</t>
  </si>
  <si>
    <t>Source Url: https://www.bps.go.id/indicator/13/379/11/bi-rate.html</t>
  </si>
  <si>
    <t>Access Time: June 26, 2023, 2:50 pm</t>
  </si>
  <si>
    <t>2014</t>
  </si>
  <si>
    <t>7.75</t>
  </si>
  <si>
    <t>Source Url: https://www.bps.go.id/indicator/13/379/10/bi-rate.html</t>
  </si>
  <si>
    <t>Access Time: June 26, 2023, 2:51 pm</t>
  </si>
  <si>
    <t>2015</t>
  </si>
  <si>
    <t>Source Url: https://www.bps.go.id/indicator/13/379/9/bi-rate.html</t>
  </si>
  <si>
    <t>Access Time: June 26, 2023, 2:55 pm</t>
  </si>
  <si>
    <t>2016</t>
  </si>
  <si>
    <t>5.25</t>
  </si>
  <si>
    <t>5.00</t>
  </si>
  <si>
    <t>4.75</t>
  </si>
  <si>
    <t>Source Url: https://www.bps.go.id/indicator/13/379/8/bi-rate.html</t>
  </si>
  <si>
    <t>Access Time: June 26, 2023, 2:56 pm</t>
  </si>
  <si>
    <t>2017</t>
  </si>
  <si>
    <t>4.50</t>
  </si>
  <si>
    <t>4.25</t>
  </si>
  <si>
    <t>Source Url: https://www.bps.go.id/indicator/13/379/7/bi-rate.html</t>
  </si>
  <si>
    <t>Access Time: June 26, 2023, 2:57 pm</t>
  </si>
  <si>
    <t>BI Rate Source : Badan Pusat Statistik</t>
  </si>
  <si>
    <t xml:space="preserve">IDRREPOREF=BIIA </t>
  </si>
  <si>
    <t xml:space="preserve">   source : Bank Indonesia</t>
  </si>
  <si>
    <t>V.1. NERACA PEMBAYARAN INDONESIA : RINGKASAN ¹</t>
  </si>
  <si>
    <t>(Juta USD)</t>
  </si>
  <si>
    <t>V.1. INDONESIA'S BALANCE OF PAYMENTS : SUMMARY ¹</t>
  </si>
  <si>
    <t>(Millions of USD)</t>
  </si>
  <si>
    <t>KETERANGAN</t>
  </si>
  <si>
    <t>ITEMS</t>
  </si>
  <si>
    <t>Q1</t>
  </si>
  <si>
    <t>Q2</t>
  </si>
  <si>
    <t>Q3</t>
  </si>
  <si>
    <t>Q4</t>
  </si>
  <si>
    <t>I. Transaksi Berjalan</t>
  </si>
  <si>
    <t>I. Current Account</t>
  </si>
  <si>
    <t>A. Barang</t>
  </si>
  <si>
    <t>A. Goods</t>
  </si>
  <si>
    <t>- Ekspor, fob</t>
  </si>
  <si>
    <t>- Exports, fob</t>
  </si>
  <si>
    <t>- Impor, fob</t>
  </si>
  <si>
    <t>- Imports, fob</t>
  </si>
  <si>
    <t>1. Barang Dagangan Umum</t>
  </si>
  <si>
    <t>1. General Merchandise</t>
  </si>
  <si>
    <t>- Ekspor</t>
  </si>
  <si>
    <t>- Exports</t>
  </si>
  <si>
    <t>- Impor</t>
  </si>
  <si>
    <t>- Imports</t>
  </si>
  <si>
    <t>a. Nonmigas</t>
  </si>
  <si>
    <t>a. Non-Oil and Gas</t>
  </si>
  <si>
    <t>b. Migas</t>
  </si>
  <si>
    <t>b. Oil and Gas</t>
  </si>
  <si>
    <t>2. Barang Lainnya</t>
  </si>
  <si>
    <t>2. Other Goods</t>
  </si>
  <si>
    <t>B. Jasa - jasa</t>
  </si>
  <si>
    <t>B. Services</t>
  </si>
  <si>
    <t>C. Pendapatan Primer</t>
  </si>
  <si>
    <t>C. Primary Income</t>
  </si>
  <si>
    <t>- Penerimaan</t>
  </si>
  <si>
    <t>- Receipts</t>
  </si>
  <si>
    <t>- Pembayaran</t>
  </si>
  <si>
    <t>- Payments</t>
  </si>
  <si>
    <t>D. Pendapatan Sekunder</t>
  </si>
  <si>
    <t>D. Secondary Income</t>
  </si>
  <si>
    <t>II. Transaksi Modal</t>
  </si>
  <si>
    <t>II. Capital Account</t>
  </si>
  <si>
    <t>III. Transaksi Finansial ²</t>
  </si>
  <si>
    <t>III. Financial Account ²</t>
  </si>
  <si>
    <t>- Aset</t>
  </si>
  <si>
    <t>- Assets</t>
  </si>
  <si>
    <t>- Kewajiban</t>
  </si>
  <si>
    <t>- Liabilities</t>
  </si>
  <si>
    <t>1. Investasi Langsung</t>
  </si>
  <si>
    <t>1. Direct Investment</t>
  </si>
  <si>
    <t>a. Aset</t>
  </si>
  <si>
    <t>a. Assets</t>
  </si>
  <si>
    <t>b. Kewajiban</t>
  </si>
  <si>
    <t>b. Liabilities</t>
  </si>
  <si>
    <t>2. Investasi Portofolio</t>
  </si>
  <si>
    <t>2. Portfolio Investment</t>
  </si>
  <si>
    <t>- Sektor publik</t>
  </si>
  <si>
    <t>- Public Sector</t>
  </si>
  <si>
    <t>- Sektor swasta</t>
  </si>
  <si>
    <t>- Private Sector</t>
  </si>
  <si>
    <t>3. Derivatif Finansial</t>
  </si>
  <si>
    <t>3. Financial Derivatives</t>
  </si>
  <si>
    <t>4. Investasi Lainnya</t>
  </si>
  <si>
    <t>4. Other Investment</t>
  </si>
  <si>
    <t>IV. Total (I + II + III)</t>
  </si>
  <si>
    <t>V. Selisih Perhitungan Bersih</t>
  </si>
  <si>
    <t>V. Net Error and Omissions</t>
  </si>
  <si>
    <t>VI. Neraca Keseluruhan (IV + V)</t>
  </si>
  <si>
    <t>VI. Overall Balance (IV + V)</t>
  </si>
  <si>
    <t>VII. Cadangan Devisa dan yang terkait ³</t>
  </si>
  <si>
    <t>VII. Reserves and Related Items ³</t>
  </si>
  <si>
    <t>A. Transaksi Cadangan Devisa</t>
  </si>
  <si>
    <t>A. Reserve Asset Transactions</t>
  </si>
  <si>
    <t>B. Kredit dan Pinjaman IMF</t>
  </si>
  <si>
    <t>B. Credit and Loans with IMF</t>
  </si>
  <si>
    <t>C. Exceptional Financing</t>
  </si>
  <si>
    <t>Memorandum:</t>
  </si>
  <si>
    <t>- Posisi Cadangan Devisa</t>
  </si>
  <si>
    <t>- Reserve Assets Position</t>
  </si>
  <si>
    <t>Dalam Bulan Impor dan Pembayaran Utang Luar Negeri Pemerintah</t>
  </si>
  <si>
    <t>In Months of Imports &amp; Official Debt Repayment</t>
  </si>
  <si>
    <t>- Transaksi Berjalan (% PDB)</t>
  </si>
  <si>
    <t>- Current Account (% GDP)</t>
  </si>
  <si>
    <t>- Rasio Pembayaran Utang (%)</t>
  </si>
  <si>
    <t>- Debt Service Ratio (%)</t>
  </si>
  <si>
    <t>a.I. Rasio Pembayaran Utang Pemerintah &amp; Otoritas Moneter (%)</t>
  </si>
  <si>
    <t>o/w Government &amp; Monetary Authority DSR (%)</t>
  </si>
  <si>
    <t>Catatan:
1] Berdasarkan BPM6, namun penggunaan tanda "+" and "-" mengikuti BPM5
2] Tidak termasuk cadangan devisa dan yang terkait
3] Negatif berarti surplus dan positif berarti defisit</t>
  </si>
  <si>
    <t>Notes:
1] Based on BPM6, but use of the signs "+" and "-" is in accordance with BPM5
2] Excludes reserves and related items
3] Negative represents surplus and positive represents deficit</t>
  </si>
  <si>
    <t>Q2*</t>
  </si>
  <si>
    <t>Q3*</t>
  </si>
  <si>
    <t>Q4*</t>
  </si>
  <si>
    <t>Q1**</t>
  </si>
  <si>
    <t>First Release Data Indonesia Current Account</t>
  </si>
  <si>
    <t>Q1 2023</t>
  </si>
  <si>
    <t>23 May 2023 10:01</t>
  </si>
  <si>
    <t>0.90%</t>
  </si>
  <si>
    <t>Q4 2022</t>
  </si>
  <si>
    <t>20 Feb 2023 10:02</t>
  </si>
  <si>
    <t>1.30%</t>
  </si>
  <si>
    <t>Q3 2022</t>
  </si>
  <si>
    <t>18 Nov 2022 10:02</t>
  </si>
  <si>
    <t>Q2 2022</t>
  </si>
  <si>
    <t>19 Aug 2022 10:37</t>
  </si>
  <si>
    <t>1.10%</t>
  </si>
  <si>
    <t>Q1 2022</t>
  </si>
  <si>
    <t>20 May 2022 10:40</t>
  </si>
  <si>
    <t>0.10%</t>
  </si>
  <si>
    <t>Q4 2021</t>
  </si>
  <si>
    <t>18 Feb 2022 10:02</t>
  </si>
  <si>
    <t>0.40%</t>
  </si>
  <si>
    <t>Q3 2021</t>
  </si>
  <si>
    <t>19 Nov 2021 10:27</t>
  </si>
  <si>
    <t>1.50%</t>
  </si>
  <si>
    <t>Q2 2021</t>
  </si>
  <si>
    <t>20 Aug 2021 10:00</t>
  </si>
  <si>
    <t>-0.80%</t>
  </si>
  <si>
    <t>Q1 2021</t>
  </si>
  <si>
    <t>21 May 2021 10:22</t>
  </si>
  <si>
    <t>-0.40%</t>
  </si>
  <si>
    <t>Q4 2020</t>
  </si>
  <si>
    <t>19 Feb 2021 10:40</t>
  </si>
  <si>
    <t>0.30%</t>
  </si>
  <si>
    <t>Q3 2020</t>
  </si>
  <si>
    <t>20 Nov 2020 11:06</t>
  </si>
  <si>
    <t>Q2 2020</t>
  </si>
  <si>
    <t>18 Aug 2020 10:12</t>
  </si>
  <si>
    <t>-1.20%</t>
  </si>
  <si>
    <t>Q1 2020</t>
  </si>
  <si>
    <t>20 May 2020 10:08</t>
  </si>
  <si>
    <t>-1.40%</t>
  </si>
  <si>
    <t>Q4 2019</t>
  </si>
  <si>
    <t>10 Feb 2020 10:10</t>
  </si>
  <si>
    <t>-2.84%</t>
  </si>
  <si>
    <t>Q3 2019</t>
  </si>
  <si>
    <t>8 Nov 2019 10:06</t>
  </si>
  <si>
    <t>-2.70%</t>
  </si>
  <si>
    <t>Q2 2019</t>
  </si>
  <si>
    <t>9 Aug 2019 10:07</t>
  </si>
  <si>
    <t>-3.00%</t>
  </si>
  <si>
    <t>Q1 2019</t>
  </si>
  <si>
    <t>10 May 2019 10:14</t>
  </si>
  <si>
    <t>-2.60%</t>
  </si>
  <si>
    <t>Q4 2018</t>
  </si>
  <si>
    <t>8 Feb 2019 15:36</t>
  </si>
  <si>
    <t>-3.57%</t>
  </si>
  <si>
    <t>Q3 2018</t>
  </si>
  <si>
    <t>9 Nov 2018 17:01</t>
  </si>
  <si>
    <t>-3.37%</t>
  </si>
  <si>
    <t>Q2 2018</t>
  </si>
  <si>
    <t>10 Aug 2018 16:29</t>
  </si>
  <si>
    <t>Q1 2018</t>
  </si>
  <si>
    <t>11 May 2018 17:04</t>
  </si>
  <si>
    <t>-2.15%</t>
  </si>
  <si>
    <t>Q4 2017</t>
  </si>
  <si>
    <t>9 Feb 2018 17:53</t>
  </si>
  <si>
    <t>-2.20%</t>
  </si>
  <si>
    <t>Q3 2017</t>
  </si>
  <si>
    <t>10 Nov 2017 16:26</t>
  </si>
  <si>
    <t>-1.65%</t>
  </si>
  <si>
    <t>Q2 2017</t>
  </si>
  <si>
    <t>11 Aug 2017 17:13</t>
  </si>
  <si>
    <t>-1.96%</t>
  </si>
  <si>
    <t>Q1 2017</t>
  </si>
  <si>
    <t>12 May 2017 17:45</t>
  </si>
  <si>
    <t>-0.99%</t>
  </si>
  <si>
    <t>Q4 2016</t>
  </si>
  <si>
    <t>10 Feb 2017 18:18</t>
  </si>
  <si>
    <t>-0.75%</t>
  </si>
  <si>
    <t>Q3 2016</t>
  </si>
  <si>
    <t>11 Nov 2016 11:42</t>
  </si>
  <si>
    <t>-1.80%</t>
  </si>
  <si>
    <t>Q2 2016</t>
  </si>
  <si>
    <t>12 Aug 2016 17:40</t>
  </si>
  <si>
    <t>-2.02%</t>
  </si>
  <si>
    <t>Q1 2016</t>
  </si>
  <si>
    <t>13 May 2016 11:27</t>
  </si>
  <si>
    <t>-2.14%</t>
  </si>
  <si>
    <t>Q4 2015</t>
  </si>
  <si>
    <t>12 Feb 2016 13:19</t>
  </si>
  <si>
    <t>2.39%</t>
  </si>
  <si>
    <t>Q3 2015</t>
  </si>
  <si>
    <t>13 Nov 2015 16:01</t>
  </si>
  <si>
    <t>-1.86%</t>
  </si>
  <si>
    <t>Q2 2015</t>
  </si>
  <si>
    <t>14 Aug 2015 15:02</t>
  </si>
  <si>
    <t>-2.05%</t>
  </si>
  <si>
    <t>Q1 2015</t>
  </si>
  <si>
    <t>15 May 2015 16:40</t>
  </si>
  <si>
    <t>Q4 2014</t>
  </si>
  <si>
    <t>Q3 2014</t>
  </si>
  <si>
    <t>Q2 2014</t>
  </si>
  <si>
    <t>Q1 2014</t>
  </si>
  <si>
    <t>Q4 2013</t>
  </si>
  <si>
    <t>Q3 2013</t>
  </si>
  <si>
    <t>Q2 2013</t>
  </si>
  <si>
    <t>Q1 2013</t>
  </si>
  <si>
    <t>Q4 2012</t>
  </si>
  <si>
    <t>Q3 2012</t>
  </si>
  <si>
    <t>Q2 2012</t>
  </si>
  <si>
    <t>Q1 2012</t>
  </si>
  <si>
    <t>Q4 2011</t>
  </si>
  <si>
    <t>Q3 2011</t>
  </si>
  <si>
    <t>Q2 2011</t>
  </si>
  <si>
    <t>Q1 2011</t>
  </si>
  <si>
    <t>Q4 2010</t>
  </si>
  <si>
    <t>Q3 2010</t>
  </si>
  <si>
    <t>Q2 2010</t>
  </si>
  <si>
    <t>Q1 2010</t>
  </si>
  <si>
    <t>United StatesFed Funds Tgt Rate *(15 Jun)</t>
  </si>
  <si>
    <t>Policy Rates, Fed Funds Target Rate</t>
  </si>
  <si>
    <t>8 Jan 1971 to 15 Jun 2023, Daily</t>
  </si>
  <si>
    <t>The Federal Open Market Committee</t>
  </si>
  <si>
    <t>15 Jun</t>
  </si>
  <si>
    <t>Actual(15 Jun):</t>
  </si>
  <si>
    <t>5 - 5.25 %</t>
  </si>
  <si>
    <t>0.0249 %</t>
  </si>
  <si>
    <t>15 Jun 2023</t>
  </si>
  <si>
    <t>0.073 %</t>
  </si>
  <si>
    <t>01:00</t>
  </si>
  <si>
    <t>86</t>
  </si>
  <si>
    <t>https://www.federalreserve.gov/monetarypolicy/fomccalendars.htm</t>
  </si>
  <si>
    <t>United States Fed Funds Tgt Rate *</t>
  </si>
  <si>
    <t>aUSFOMCA</t>
  </si>
  <si>
    <t>pUSFOMC=M</t>
  </si>
  <si>
    <t>pUSFOMC=L</t>
  </si>
  <si>
    <t>pUSFOMC=H</t>
  </si>
  <si>
    <t>15 Jun 2023 01:00</t>
  </si>
  <si>
    <t>5.125%</t>
  </si>
  <si>
    <t>4 May 2023</t>
  </si>
  <si>
    <t>4 May 2023 01:00</t>
  </si>
  <si>
    <t>23 Mar 2023</t>
  </si>
  <si>
    <t>23 Mar 2023 01:00</t>
  </si>
  <si>
    <t>4.875%</t>
  </si>
  <si>
    <t>2 Feb 2023</t>
  </si>
  <si>
    <t>2 Feb 2023 02:00</t>
  </si>
  <si>
    <t>4.625%</t>
  </si>
  <si>
    <t>15 Dec 2022</t>
  </si>
  <si>
    <t>15 Dec 2022 02:00</t>
  </si>
  <si>
    <t>4.375%</t>
  </si>
  <si>
    <t>3 Nov 2022</t>
  </si>
  <si>
    <t>3 Nov 2022 01:00</t>
  </si>
  <si>
    <t>3.875%</t>
  </si>
  <si>
    <t>22 Sep 2022</t>
  </si>
  <si>
    <t>22 Sep 2022 01:00</t>
  </si>
  <si>
    <t>3.125%</t>
  </si>
  <si>
    <t>28 Jul 2022</t>
  </si>
  <si>
    <t>28 Jul 2022 01:00</t>
  </si>
  <si>
    <t>2.375%</t>
  </si>
  <si>
    <t>16 Jun 2022</t>
  </si>
  <si>
    <t>16 Jun 2022 01:00</t>
  </si>
  <si>
    <t>1.625%</t>
  </si>
  <si>
    <t>5 May 2022</t>
  </si>
  <si>
    <t>5 May 2022 01:00</t>
  </si>
  <si>
    <t>0.875%</t>
  </si>
  <si>
    <t>17 Mar 2022</t>
  </si>
  <si>
    <t>17 Mar 2022 01:00</t>
  </si>
  <si>
    <t>0.375%</t>
  </si>
  <si>
    <t>27 Jan 2022</t>
  </si>
  <si>
    <t>27 Jan 2022 02:00</t>
  </si>
  <si>
    <t>0.125%</t>
  </si>
  <si>
    <t>16 Dec 2021</t>
  </si>
  <si>
    <t>16 Dec 2021 02:00</t>
  </si>
  <si>
    <t>4 Nov 2021</t>
  </si>
  <si>
    <t>4 Nov 2021 01:00</t>
  </si>
  <si>
    <t>23 Sep 2021</t>
  </si>
  <si>
    <t>23 Sep 2021 01:00</t>
  </si>
  <si>
    <t>29 Jul 2021</t>
  </si>
  <si>
    <t>29 Jul 2021 01:01</t>
  </si>
  <si>
    <t>17 Jun 2021</t>
  </si>
  <si>
    <t>17 Jun 2021 01:00</t>
  </si>
  <si>
    <t>29 Apr 2021</t>
  </si>
  <si>
    <t>29 Apr 2021 01:00</t>
  </si>
  <si>
    <t>18 Mar 2021</t>
  </si>
  <si>
    <t>18 Mar 2021 01:00</t>
  </si>
  <si>
    <t>28 Jan 2021</t>
  </si>
  <si>
    <t>28 Jan 2021 02:00</t>
  </si>
  <si>
    <t>17 Dec 2020</t>
  </si>
  <si>
    <t>17 Dec 2020 02:00</t>
  </si>
  <si>
    <t>6 Nov 2020</t>
  </si>
  <si>
    <t>6 Nov 2020 02:00</t>
  </si>
  <si>
    <t>17 Sep 2020</t>
  </si>
  <si>
    <t>17 Sep 2020 01:00</t>
  </si>
  <si>
    <t>30 Jul 2020</t>
  </si>
  <si>
    <t>30 Jul 2020 01:00</t>
  </si>
  <si>
    <t>11 Jun 2020</t>
  </si>
  <si>
    <t>11 Jun 2020 01:00</t>
  </si>
  <si>
    <t>30 Apr 2020</t>
  </si>
  <si>
    <t>30 Apr 2020 01:00</t>
  </si>
  <si>
    <t>16 Mar 2020</t>
  </si>
  <si>
    <t>16 Mar 2020 05:56</t>
  </si>
  <si>
    <t>4 Mar 2020</t>
  </si>
  <si>
    <t>3 Mar 2020 22:03</t>
  </si>
  <si>
    <t>1.125%</t>
  </si>
  <si>
    <t>30 Jan 2020</t>
  </si>
  <si>
    <t>30 Jan 2020 02:00</t>
  </si>
  <si>
    <t>12 Dec 2019</t>
  </si>
  <si>
    <t>12 Dec 2019 02:00</t>
  </si>
  <si>
    <t>31 Oct 2019</t>
  </si>
  <si>
    <t>31 Oct 2019 01:00</t>
  </si>
  <si>
    <t>19 Sep 2019</t>
  </si>
  <si>
    <t>19 Sep 2019 01:00</t>
  </si>
  <si>
    <t>1.875%</t>
  </si>
  <si>
    <t>1 Aug 2019</t>
  </si>
  <si>
    <t>1 Aug 2019 01:00</t>
  </si>
  <si>
    <t>2.125%</t>
  </si>
  <si>
    <t>20 Jun 2019</t>
  </si>
  <si>
    <t>20 Jun 2019 01:00</t>
  </si>
  <si>
    <t>2 May 2019</t>
  </si>
  <si>
    <t>2 May 2019 01:00</t>
  </si>
  <si>
    <t>21 Mar 2019</t>
  </si>
  <si>
    <t>21 Mar 2019 01:00</t>
  </si>
  <si>
    <t>31 Jan 2019</t>
  </si>
  <si>
    <t>31 Jan 2019 02:00</t>
  </si>
  <si>
    <t>20 Dec 2018</t>
  </si>
  <si>
    <t>20 Dec 2018 02:00</t>
  </si>
  <si>
    <t>9 Nov 2018</t>
  </si>
  <si>
    <t>9 Nov 2018 02:01</t>
  </si>
  <si>
    <t>27 Sep 2018</t>
  </si>
  <si>
    <t>27 Sep 2018 01:00</t>
  </si>
  <si>
    <t>2 Aug 2018</t>
  </si>
  <si>
    <t>2 Aug 2018 01:01</t>
  </si>
  <si>
    <t>14 Jun 2018</t>
  </si>
  <si>
    <t>14 Jun 2018 01:00</t>
  </si>
  <si>
    <t>3 May 2018</t>
  </si>
  <si>
    <t>3 May 2018 01:01</t>
  </si>
  <si>
    <t>22 Mar 2018</t>
  </si>
  <si>
    <t>22 Mar 2018 01:02</t>
  </si>
  <si>
    <t>1 Feb 2018</t>
  </si>
  <si>
    <t>1 Feb 2018 02:00</t>
  </si>
  <si>
    <t>1.375%</t>
  </si>
  <si>
    <t>14 Dec 2017</t>
  </si>
  <si>
    <t>14 Dec 2017 02:00</t>
  </si>
  <si>
    <t>2 Nov 2017</t>
  </si>
  <si>
    <t>2 Nov 2017 02:23</t>
  </si>
  <si>
    <t>21 Sep 2017</t>
  </si>
  <si>
    <t>21 Sep 2017 01:04</t>
  </si>
  <si>
    <t>27 Jul 2017</t>
  </si>
  <si>
    <t>27 Jul 2017 01:00</t>
  </si>
  <si>
    <t>15 Jun 2017</t>
  </si>
  <si>
    <t>15 Jun 2017 01:01</t>
  </si>
  <si>
    <t>4 May 2017</t>
  </si>
  <si>
    <t>4 May 2017 01:02</t>
  </si>
  <si>
    <t>16 Mar 2017</t>
  </si>
  <si>
    <t>16 Mar 2017 01:02</t>
  </si>
  <si>
    <t>1 Feb 2017</t>
  </si>
  <si>
    <t>2 Feb 2017 02:01</t>
  </si>
  <si>
    <t>0.625%</t>
  </si>
  <si>
    <t>15 Dec 2016</t>
  </si>
  <si>
    <t>15 Dec 2016 02:00</t>
  </si>
  <si>
    <t>3 Nov 2016</t>
  </si>
  <si>
    <t>3 Nov 2016 03:17</t>
  </si>
  <si>
    <t>22 Sep 2016</t>
  </si>
  <si>
    <t>22 Sep 2016 02:18</t>
  </si>
  <si>
    <t>28 Jul 2016</t>
  </si>
  <si>
    <t>28 Jul 2016 02:18</t>
  </si>
  <si>
    <t>16 Jun 2016</t>
  </si>
  <si>
    <t>16 Jun 2016 02:19</t>
  </si>
  <si>
    <t>28 Apr 2016</t>
  </si>
  <si>
    <t>28 Apr 2016 02:20</t>
  </si>
  <si>
    <t>17 Mar 2016</t>
  </si>
  <si>
    <t>17 Mar 2016 03:20</t>
  </si>
  <si>
    <t>28 Jan 2016</t>
  </si>
  <si>
    <t>28 Jan 2016 03:21</t>
  </si>
  <si>
    <t>17 Dec 2015</t>
  </si>
  <si>
    <t>17 Dec 2015 02:00</t>
  </si>
  <si>
    <t>28 Oct 2015</t>
  </si>
  <si>
    <t>29 Oct 2015 01:00</t>
  </si>
  <si>
    <t>17 Sep 2015</t>
  </si>
  <si>
    <t>18 Sep 2015 01:00</t>
  </si>
  <si>
    <t>29 Jul 2015</t>
  </si>
  <si>
    <t>30 Jul 2015 01:00</t>
  </si>
  <si>
    <t>17 Jun 2015</t>
  </si>
  <si>
    <t>18 Jun 2015 01:00</t>
  </si>
  <si>
    <t>29 Apr 2015</t>
  </si>
  <si>
    <t>30 Apr 2015 01:00</t>
  </si>
  <si>
    <t>18 Mar 2015</t>
  </si>
  <si>
    <t>19 Mar 2015 01:00</t>
  </si>
  <si>
    <t>28 Jan 2015</t>
  </si>
  <si>
    <t>29 Jan 2015 02:00</t>
  </si>
  <si>
    <t>17 Dec 2014</t>
  </si>
  <si>
    <t>18 Dec 2014 02:00</t>
  </si>
  <si>
    <t>29 Oct 2014</t>
  </si>
  <si>
    <t>30 Oct 2014 01:00</t>
  </si>
  <si>
    <t>17 Sep 2014</t>
  </si>
  <si>
    <t>18 Sep 2014 01:00</t>
  </si>
  <si>
    <t>30 Jul 2014</t>
  </si>
  <si>
    <t>31 Jul 2014 01:00</t>
  </si>
  <si>
    <t>18 Jun 2014</t>
  </si>
  <si>
    <t>19 Jun 2014 01:00</t>
  </si>
  <si>
    <t>30 Apr 2014</t>
  </si>
  <si>
    <t>1 May 2014 01:00</t>
  </si>
  <si>
    <t>19 Mar 2014</t>
  </si>
  <si>
    <t>20 Mar 2014 01:00</t>
  </si>
  <si>
    <t>4 Mar 2014</t>
  </si>
  <si>
    <t>5 Mar 2014 01:00</t>
  </si>
  <si>
    <t>29 Jan 2014</t>
  </si>
  <si>
    <t>30 Jan 2014 02:00</t>
  </si>
  <si>
    <t>18 Dec 2013</t>
  </si>
  <si>
    <t>19 Dec 2013 02:00</t>
  </si>
  <si>
    <t>30 Oct 2013</t>
  </si>
  <si>
    <t>31 Oct 2013 01:00</t>
  </si>
  <si>
    <t>16 Oct 2013</t>
  </si>
  <si>
    <t>17 Oct 2013 01:00</t>
  </si>
  <si>
    <t>18 Sep 2013</t>
  </si>
  <si>
    <t>19 Sep 2013 01:00</t>
  </si>
  <si>
    <t>31 Jul 2013</t>
  </si>
  <si>
    <t>1 Aug 2013 01:00</t>
  </si>
  <si>
    <t>19 Jun 2013</t>
  </si>
  <si>
    <t>20 Jun 2013 01:00</t>
  </si>
  <si>
    <t>United StatesCurrent Account*(Q1 2023)</t>
  </si>
  <si>
    <t>Current Account, Balance, Total, SA, USD</t>
  </si>
  <si>
    <t>Q1 1960 to Q1 2023, Quarterly</t>
  </si>
  <si>
    <t>Seasonally adjusted</t>
  </si>
  <si>
    <t>BEA - Bureau of Economic Analysis, U.S. Department of Commerce</t>
  </si>
  <si>
    <t>Actual(Q1 2023):</t>
  </si>
  <si>
    <t>-219.3 Bln USD</t>
  </si>
  <si>
    <t>-217.5 Bln USD</t>
  </si>
  <si>
    <t>-214.98 Bln USD</t>
  </si>
  <si>
    <t>2.52 Bln USD</t>
  </si>
  <si>
    <t>22 Jun 2023</t>
  </si>
  <si>
    <t>-230 Bln USD</t>
  </si>
  <si>
    <t>9.5 Bln USD</t>
  </si>
  <si>
    <t>-206.8 Bln USD</t>
  </si>
  <si>
    <t>-192.5 Bln USD</t>
  </si>
  <si>
    <t>-214.1 Bln USD</t>
  </si>
  <si>
    <t>USD:</t>
  </si>
  <si>
    <t>-219,300(m)</t>
  </si>
  <si>
    <t>-216.2 Bln USD</t>
  </si>
  <si>
    <t>22</t>
  </si>
  <si>
    <t>-220 Bln USD</t>
  </si>
  <si>
    <t>http://www.bea.gov/newsreleases/international/transactions/transnewsrelease.htm</t>
  </si>
  <si>
    <t>United States Current Account*</t>
  </si>
  <si>
    <t>USD</t>
  </si>
  <si>
    <t>aUSCURAAB</t>
  </si>
  <si>
    <t>pUSCURA=M</t>
  </si>
  <si>
    <t>pUSCURA=L</t>
  </si>
  <si>
    <t>pUSCURA=H</t>
  </si>
  <si>
    <t>22 Jun 2023 19:30</t>
  </si>
  <si>
    <t>-219.3b</t>
  </si>
  <si>
    <t>23 Mar 2023 19:30</t>
  </si>
  <si>
    <t>-206.8b</t>
  </si>
  <si>
    <t>21 Dec 2022 20:30</t>
  </si>
  <si>
    <t>-217.1b</t>
  </si>
  <si>
    <t>22 Sep 2022 19:30</t>
  </si>
  <si>
    <t>-251.1b</t>
  </si>
  <si>
    <t>23 Jun 2022 19:30</t>
  </si>
  <si>
    <t>-291.4b</t>
  </si>
  <si>
    <t>24 Mar 2022 19:30</t>
  </si>
  <si>
    <t>-217.9b</t>
  </si>
  <si>
    <t>21 Dec 2021 20:30</t>
  </si>
  <si>
    <t>-214.8b</t>
  </si>
  <si>
    <t>21 Sep 2021 19:30</t>
  </si>
  <si>
    <t>-190.3b</t>
  </si>
  <si>
    <t>23 Jun 2021 19:30</t>
  </si>
  <si>
    <t>-195.7b</t>
  </si>
  <si>
    <t>23 Mar 2021 19:30</t>
  </si>
  <si>
    <t>-188.5b</t>
  </si>
  <si>
    <t>18 Dec 2020 20:30</t>
  </si>
  <si>
    <t>-178.5b</t>
  </si>
  <si>
    <t>18 Sep 2020 19:30</t>
  </si>
  <si>
    <t>-170.5b</t>
  </si>
  <si>
    <t>19 Jun 2020 19:30</t>
  </si>
  <si>
    <t>-104.2b</t>
  </si>
  <si>
    <t>19 Mar 2020 19:30</t>
  </si>
  <si>
    <t>-109.8b</t>
  </si>
  <si>
    <t>19 Dec 2019 20:30</t>
  </si>
  <si>
    <t>-124.1b</t>
  </si>
  <si>
    <t>19 Sep 2019 19:30</t>
  </si>
  <si>
    <t>-128.2b</t>
  </si>
  <si>
    <t>20 Jun 2019 19:30</t>
  </si>
  <si>
    <t>-130.4b</t>
  </si>
  <si>
    <t>27 Mar 2019 22:00</t>
  </si>
  <si>
    <t>-134.4b</t>
  </si>
  <si>
    <t>19 Dec 2018 20:30</t>
  </si>
  <si>
    <t>-124.8b</t>
  </si>
  <si>
    <t>19 Sep 2018 19:30</t>
  </si>
  <si>
    <t>-101.5b</t>
  </si>
  <si>
    <t>20 Jun 2018 19:30</t>
  </si>
  <si>
    <t>21 Mar 2018 19:30</t>
  </si>
  <si>
    <t>19 Dec 2017 20:30</t>
  </si>
  <si>
    <t>-100.6b</t>
  </si>
  <si>
    <t>19 Sep 2017 19:30</t>
  </si>
  <si>
    <t>-123.1b</t>
  </si>
  <si>
    <t>20 Jun 2017 19:31</t>
  </si>
  <si>
    <t>-116.8b</t>
  </si>
  <si>
    <t>21 Mar 2017 19:31</t>
  </si>
  <si>
    <t>-112.4b</t>
  </si>
  <si>
    <t>-113.0b</t>
  </si>
  <si>
    <t>15 Sep 2016 19:31</t>
  </si>
  <si>
    <t>-119.9b</t>
  </si>
  <si>
    <t>16 Jun 2016 19:31</t>
  </si>
  <si>
    <t>-124.7b</t>
  </si>
  <si>
    <t>17 Mar 2016 19:30</t>
  </si>
  <si>
    <t>-125.3b</t>
  </si>
  <si>
    <t>17 Dec 2015 20:31</t>
  </si>
  <si>
    <t>17 Sep 2015 19:31</t>
  </si>
  <si>
    <t>-109.7b</t>
  </si>
  <si>
    <t>18 Jun 2015 19:35</t>
  </si>
  <si>
    <t>-103.1b</t>
  </si>
  <si>
    <t>19 Mar 2015 19:32</t>
  </si>
  <si>
    <t>-113.5b</t>
  </si>
  <si>
    <t>17 Dec 2014 20:33</t>
  </si>
  <si>
    <t>-100.3b</t>
  </si>
  <si>
    <t>17 Sep 2014 19:31</t>
  </si>
  <si>
    <t>-98.5b</t>
  </si>
  <si>
    <t>18 Jun 2014 19:44</t>
  </si>
  <si>
    <t>-111.2b</t>
  </si>
  <si>
    <t>19 Mar 2014 19:35</t>
  </si>
  <si>
    <t>-81.1b</t>
  </si>
  <si>
    <t>17 Dec 2013 20:33</t>
  </si>
  <si>
    <t>-94.8b</t>
  </si>
  <si>
    <t>19 Sep 2013 19:32</t>
  </si>
  <si>
    <t>-98.9b</t>
  </si>
  <si>
    <t>Indonesia</t>
  </si>
  <si>
    <t>Reserves, Total, USD</t>
  </si>
  <si>
    <t>Jul 2011 to May 2023, Monthly</t>
  </si>
  <si>
    <t>Current prices, not seasonally adjusted</t>
  </si>
  <si>
    <t>Bank Indonesia</t>
  </si>
  <si>
    <t>9 Jun 2023</t>
  </si>
  <si>
    <t>Actual(May 2023):</t>
  </si>
  <si>
    <t>139.3b</t>
  </si>
  <si>
    <t>144.2b</t>
  </si>
  <si>
    <t>Indonesia Reserves, Total, USD</t>
  </si>
  <si>
    <t>Actual (Revised)</t>
  </si>
  <si>
    <t>aIDFXRAA</t>
  </si>
  <si>
    <t>J.P. Morgan, Real Broad Effective Exchange Rate Index (CPI), IDR</t>
  </si>
  <si>
    <t>4 Jan 1994 to 23 Jun 2023, Daily</t>
  </si>
  <si>
    <t>J.P. Morgan</t>
  </si>
  <si>
    <t>24 Jun 2023</t>
  </si>
  <si>
    <t>Actual(23 Jun 2023):</t>
  </si>
  <si>
    <t>95.713</t>
  </si>
  <si>
    <t>95.761</t>
  </si>
  <si>
    <t>Indonesia J.P. Morgan, Real Broad Effective Exchange Rate Index (CPI), IDR</t>
  </si>
  <si>
    <t>IDR</t>
  </si>
  <si>
    <t>aIDIDEEC</t>
  </si>
  <si>
    <t>Bid Yield</t>
  </si>
  <si>
    <t>Indonesia 10 yr govt bond</t>
  </si>
  <si>
    <t>US Treasury 10 yr</t>
  </si>
  <si>
    <t>IDR3M=</t>
  </si>
  <si>
    <t>IndonesiaTrade Balance (Bln of $)*(Jun 2023)</t>
  </si>
  <si>
    <t>Trade Balance, Total, USD</t>
  </si>
  <si>
    <t>Jan 1960 to May 2023, Monthly</t>
  </si>
  <si>
    <t>Statistics Indonesia</t>
  </si>
  <si>
    <t>17 Jul 2023</t>
  </si>
  <si>
    <t>11:00</t>
  </si>
  <si>
    <t>0.44 Bln USD</t>
  </si>
  <si>
    <t>436.5(m)</t>
  </si>
  <si>
    <t>https://www.bps.go.id/pressrelease/2023/01/16/1961/ekspor-desember-2022-mencapai-us-23-83-miliar--turun-1-10-persen-dibanding-november-2022-dan-impor-desember-2022-senilai-us-19-94-miliar--naik-5-16-persen-dibanding-november-2022.html</t>
  </si>
  <si>
    <t>Indonesia Trade Balance (Bln of $)*</t>
  </si>
  <si>
    <t>United States International Trade $ *</t>
  </si>
  <si>
    <t>aIDTRDAA</t>
  </si>
  <si>
    <t>pIDTRD=M</t>
  </si>
  <si>
    <t>pIDTRD=L</t>
  </si>
  <si>
    <t>pIDTRD=H</t>
  </si>
  <si>
    <t>aUSTBALAB</t>
  </si>
  <si>
    <t>pUSTBAL=M</t>
  </si>
  <si>
    <t>pUSTBAL=L</t>
  </si>
  <si>
    <t>pUSTBAL=H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</si>
</sst>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#,##0;\-#,##0;#,##0;&quot;--&quot;"/>
    <numFmt numFmtId="165" formatCode="#,##0.00%;\-#,##0.00%;#,##0.00%;&quot;--&quot;"/>
    <numFmt numFmtId="166" formatCode="dd\-mmm\-yyyy"/>
    <numFmt numFmtId="167" formatCode="\+#,##0%;\-#,##0%;#,##0%;&quot;--&quot;"/>
    <numFmt numFmtId="168" formatCode="#,##0;#,##0;#,##0;&quot;--&quot;"/>
    <numFmt numFmtId="169" formatCode="\+#,##0;\-#,##0;#,##0;&quot;--&quot;"/>
    <numFmt numFmtId="170" formatCode="dd/m/yyyy;@"/>
    <numFmt numFmtId="171" formatCode="[$-409]dd\-mmm\-yyyy;@"/>
    <numFmt numFmtId="172" formatCode="#,##0.000;\-#,##0.000"/>
  </numFmts>
  <fonts count="44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2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color rgb="FFFF9933"/>
      <name val="Tahoma"/>
      <family val="2"/>
    </font>
    <font>
      <b/>
      <sz val="8"/>
      <color rgb="FF46A0F0"/>
      <name val="Tahoma"/>
      <family val="2"/>
    </font>
    <font>
      <b/>
      <sz val="12"/>
      <name val="Tahoma"/>
    </font>
    <font>
      <b/>
      <sz val="8"/>
      <name val="Tahoma"/>
    </font>
    <font>
      <b/>
      <sz val="8"/>
      <color rgb="FFFF9933"/>
      <name val="Tahoma"/>
    </font>
    <font>
      <sz val="8"/>
      <name val="Tahoma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9"/>
      <color theme="1"/>
      <name val="Arial Narrow"/>
      <family val="2"/>
    </font>
    <font>
      <b/>
      <i/>
      <sz val="9"/>
      <color theme="1"/>
      <name val="Arial Narrow"/>
      <family val="2"/>
    </font>
    <font>
      <b/>
      <sz val="7"/>
      <color theme="1"/>
      <name val="Arial Narrow"/>
      <family val="2"/>
    </font>
    <font>
      <b/>
      <i/>
      <sz val="7"/>
      <color theme="1"/>
      <name val="Arial Narrow"/>
      <family val="2"/>
    </font>
    <font>
      <sz val="7"/>
      <color theme="1"/>
      <name val="Arial Narrow"/>
      <family val="2"/>
    </font>
    <font>
      <b/>
      <sz val="5.95"/>
      <color theme="1"/>
      <name val="Arial Narrow"/>
      <family val="2"/>
    </font>
    <font>
      <b/>
      <sz val="10"/>
      <color theme="1"/>
      <name val="Arial"/>
      <family val="2"/>
    </font>
    <font>
      <i/>
      <sz val="7"/>
      <color theme="1"/>
      <name val="Arial Narrow"/>
      <family val="2"/>
    </font>
    <font>
      <sz val="5.95"/>
      <color theme="1"/>
      <name val="Arial Narrow"/>
      <family val="2"/>
    </font>
    <font>
      <i/>
      <sz val="5.95"/>
      <color theme="1"/>
      <name val="Arial Narrow"/>
      <family val="2"/>
    </font>
    <font>
      <b/>
      <sz val="10"/>
      <color indexed="8"/>
      <name val="Arial"/>
      <family val="2"/>
    </font>
    <font>
      <b/>
      <i/>
      <sz val="10"/>
      <color indexed="8"/>
      <name val="Arial"/>
      <family val="2"/>
    </font>
    <font>
      <b/>
      <sz val="10"/>
      <name val="Arial"/>
      <family val="2"/>
    </font>
    <font>
      <b/>
      <sz val="7"/>
      <color indexed="8"/>
      <name val="Arial"/>
      <family val="2"/>
    </font>
    <font>
      <sz val="7"/>
      <name val="Arial"/>
      <family val="2"/>
    </font>
    <font>
      <b/>
      <sz val="7"/>
      <name val="Arial"/>
      <family val="2"/>
    </font>
    <font>
      <b/>
      <i/>
      <sz val="7"/>
      <color indexed="8"/>
      <name val="Arial"/>
      <family val="2"/>
    </font>
    <font>
      <sz val="7"/>
      <color indexed="8"/>
      <name val="Arial"/>
      <family val="2"/>
    </font>
    <font>
      <i/>
      <sz val="7"/>
      <color indexed="8"/>
      <name val="Arial"/>
      <family val="2"/>
    </font>
    <font>
      <b/>
      <sz val="7"/>
      <color rgb="FFFF0000"/>
      <name val="Arial"/>
      <family val="2"/>
    </font>
    <font>
      <b/>
      <i/>
      <sz val="7"/>
      <color rgb="FFFF0000"/>
      <name val="Arial"/>
      <family val="2"/>
    </font>
    <font>
      <sz val="6"/>
      <color indexed="8"/>
      <name val="Arial"/>
      <family val="2"/>
    </font>
    <font>
      <i/>
      <sz val="6"/>
      <color indexed="8"/>
      <name val="Arial"/>
      <family val="2"/>
    </font>
    <font>
      <sz val="6"/>
      <name val="Arial"/>
      <family val="2"/>
    </font>
    <font>
      <b/>
      <sz val="8"/>
      <color theme="1"/>
      <name val="Tahoma"/>
      <family val="2"/>
    </font>
    <font>
      <sz val="8"/>
      <color rgb="FF000000"/>
      <name val="Tahoma"/>
      <family val="2"/>
    </font>
    <font>
      <b/>
      <sz val="8"/>
      <color rgb="FF46A0F0"/>
      <name val="Tahoma"/>
    </font>
  </fonts>
  <fills count="8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2E2E2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 applyNumberFormat="0" applyBorder="0" applyAlignment="0"/>
    <xf numFmtId="43" fontId="3" fillId="0" borderId="0" applyFont="0" applyFill="0" applyBorder="0" applyAlignment="0" applyProtection="0"/>
    <xf numFmtId="0" fontId="15" fillId="0" borderId="0"/>
  </cellStyleXfs>
  <cellXfs count="235">
    <xf numFmtId="0" fontId="0" fillId="0" borderId="0" xfId="0" applyFill="1" applyProtection="1"/>
    <xf numFmtId="0" fontId="1" fillId="0" borderId="0" xfId="0" applyFont="1" applyFill="1" applyProtection="1"/>
    <xf numFmtId="0" fontId="2" fillId="0" borderId="0" xfId="0" applyFont="1" applyFill="1" applyProtection="1"/>
    <xf numFmtId="164" fontId="1" fillId="0" borderId="0" xfId="0" applyNumberFormat="1" applyFont="1" applyFill="1" applyProtection="1"/>
    <xf numFmtId="0" fontId="2" fillId="2" borderId="1" xfId="0" applyFont="1" applyFill="1" applyBorder="1" applyAlignment="1" applyProtection="1">
      <alignment horizontal="center"/>
    </xf>
    <xf numFmtId="0" fontId="2" fillId="2" borderId="1" xfId="0" applyFont="1" applyFill="1" applyBorder="1" applyAlignment="1" applyProtection="1">
      <alignment horizontal="right"/>
    </xf>
    <xf numFmtId="0" fontId="1" fillId="0" borderId="1" xfId="0" applyFont="1" applyFill="1" applyBorder="1" applyProtection="1"/>
    <xf numFmtId="164" fontId="1" fillId="0" borderId="1" xfId="0" applyNumberFormat="1" applyFont="1" applyFill="1" applyBorder="1" applyProtection="1"/>
    <xf numFmtId="165" fontId="1" fillId="0" borderId="1" xfId="0" applyNumberFormat="1" applyFont="1" applyFill="1" applyBorder="1" applyProtection="1"/>
    <xf numFmtId="0" fontId="1" fillId="0" borderId="5" xfId="0" applyFont="1" applyFill="1" applyBorder="1" applyAlignment="1" applyProtection="1">
      <alignment horizontal="right"/>
    </xf>
    <xf numFmtId="164" fontId="1" fillId="0" borderId="6" xfId="0" applyNumberFormat="1" applyFont="1" applyFill="1" applyBorder="1" applyAlignment="1" applyProtection="1">
      <alignment horizontal="right"/>
    </xf>
    <xf numFmtId="166" fontId="1" fillId="0" borderId="7" xfId="0" applyNumberFormat="1" applyFont="1" applyFill="1" applyBorder="1" applyAlignment="1" applyProtection="1">
      <alignment horizontal="right"/>
    </xf>
    <xf numFmtId="166" fontId="1" fillId="0" borderId="6" xfId="0" applyNumberFormat="1" applyFont="1" applyFill="1" applyBorder="1" applyAlignment="1" applyProtection="1">
      <alignment horizontal="right"/>
    </xf>
    <xf numFmtId="0" fontId="1" fillId="0" borderId="6" xfId="0" applyFont="1" applyFill="1" applyBorder="1" applyAlignment="1" applyProtection="1">
      <alignment horizontal="right"/>
    </xf>
    <xf numFmtId="164" fontId="1" fillId="0" borderId="7" xfId="0" applyNumberFormat="1" applyFont="1" applyFill="1" applyBorder="1" applyAlignment="1" applyProtection="1">
      <alignment horizontal="right"/>
    </xf>
    <xf numFmtId="0" fontId="1" fillId="0" borderId="7" xfId="0" applyFont="1" applyFill="1" applyBorder="1" applyAlignment="1" applyProtection="1">
      <alignment horizontal="right"/>
    </xf>
    <xf numFmtId="167" fontId="1" fillId="0" borderId="6" xfId="0" applyNumberFormat="1" applyFont="1" applyFill="1" applyBorder="1" applyAlignment="1" applyProtection="1">
      <alignment horizontal="right"/>
    </xf>
    <xf numFmtId="0" fontId="1" fillId="0" borderId="8" xfId="0" applyFont="1" applyFill="1" applyBorder="1" applyAlignment="1" applyProtection="1">
      <alignment horizontal="right"/>
    </xf>
    <xf numFmtId="164" fontId="1" fillId="0" borderId="9" xfId="0" applyNumberFormat="1" applyFont="1" applyFill="1" applyBorder="1" applyAlignment="1" applyProtection="1">
      <alignment horizontal="right"/>
    </xf>
    <xf numFmtId="166" fontId="1" fillId="0" borderId="10" xfId="0" applyNumberFormat="1" applyFont="1" applyFill="1" applyBorder="1" applyAlignment="1" applyProtection="1">
      <alignment horizontal="right"/>
    </xf>
    <xf numFmtId="166" fontId="1" fillId="0" borderId="9" xfId="0" applyNumberFormat="1" applyFont="1" applyFill="1" applyBorder="1" applyAlignment="1" applyProtection="1">
      <alignment horizontal="right"/>
    </xf>
    <xf numFmtId="0" fontId="1" fillId="0" borderId="9" xfId="0" applyFont="1" applyFill="1" applyBorder="1" applyAlignment="1" applyProtection="1">
      <alignment horizontal="right"/>
    </xf>
    <xf numFmtId="164" fontId="1" fillId="0" borderId="10" xfId="0" applyNumberFormat="1" applyFont="1" applyFill="1" applyBorder="1" applyAlignment="1" applyProtection="1">
      <alignment horizontal="right"/>
    </xf>
    <xf numFmtId="0" fontId="1" fillId="0" borderId="10" xfId="0" applyFont="1" applyFill="1" applyBorder="1" applyAlignment="1" applyProtection="1">
      <alignment horizontal="right"/>
    </xf>
    <xf numFmtId="167" fontId="1" fillId="0" borderId="9" xfId="0" applyNumberFormat="1" applyFont="1" applyFill="1" applyBorder="1" applyAlignment="1" applyProtection="1">
      <alignment horizontal="right"/>
    </xf>
    <xf numFmtId="0" fontId="1" fillId="0" borderId="11" xfId="0" applyFont="1" applyFill="1" applyBorder="1" applyAlignment="1" applyProtection="1">
      <alignment horizontal="right"/>
    </xf>
    <xf numFmtId="164" fontId="1" fillId="0" borderId="12" xfId="0" applyNumberFormat="1" applyFont="1" applyFill="1" applyBorder="1" applyAlignment="1" applyProtection="1">
      <alignment horizontal="right"/>
    </xf>
    <xf numFmtId="0" fontId="1" fillId="0" borderId="13" xfId="0" applyFont="1" applyFill="1" applyBorder="1" applyAlignment="1" applyProtection="1">
      <alignment horizontal="right"/>
    </xf>
    <xf numFmtId="0" fontId="1" fillId="0" borderId="12" xfId="0" applyFont="1" applyFill="1" applyBorder="1" applyAlignment="1" applyProtection="1">
      <alignment horizontal="right"/>
    </xf>
    <xf numFmtId="164" fontId="1" fillId="0" borderId="13" xfId="0" applyNumberFormat="1" applyFont="1" applyFill="1" applyBorder="1" applyAlignment="1" applyProtection="1">
      <alignment horizontal="right"/>
    </xf>
    <xf numFmtId="167" fontId="1" fillId="0" borderId="12" xfId="0" applyNumberFormat="1" applyFont="1" applyFill="1" applyBorder="1" applyAlignment="1" applyProtection="1">
      <alignment horizontal="right"/>
    </xf>
    <xf numFmtId="49" fontId="1" fillId="0" borderId="13" xfId="0" applyNumberFormat="1" applyFont="1" applyFill="1" applyBorder="1" applyAlignment="1" applyProtection="1">
      <alignment horizontal="right"/>
    </xf>
    <xf numFmtId="0" fontId="2" fillId="2" borderId="14" xfId="0" applyFont="1" applyFill="1" applyBorder="1" applyAlignment="1" applyProtection="1">
      <alignment horizontal="right"/>
    </xf>
    <xf numFmtId="166" fontId="1" fillId="0" borderId="1" xfId="0" applyNumberFormat="1" applyFont="1" applyFill="1" applyBorder="1" applyProtection="1"/>
    <xf numFmtId="168" fontId="1" fillId="0" borderId="1" xfId="0" applyNumberFormat="1" applyFont="1" applyFill="1" applyBorder="1" applyProtection="1"/>
    <xf numFmtId="169" fontId="1" fillId="0" borderId="1" xfId="0" applyNumberFormat="1" applyFont="1" applyFill="1" applyBorder="1" applyProtection="1"/>
    <xf numFmtId="164" fontId="2" fillId="3" borderId="1" xfId="0" applyNumberFormat="1" applyFont="1" applyFill="1" applyBorder="1" applyProtection="1"/>
    <xf numFmtId="0" fontId="2" fillId="4" borderId="0" xfId="0" applyFont="1" applyFill="1" applyAlignment="1" applyProtection="1">
      <alignment horizontal="center"/>
    </xf>
    <xf numFmtId="0" fontId="2" fillId="5" borderId="0" xfId="0" applyFont="1" applyFill="1" applyProtection="1"/>
    <xf numFmtId="0" fontId="4" fillId="0" borderId="0" xfId="0" applyFont="1"/>
    <xf numFmtId="0" fontId="0" fillId="0" borderId="0" xfId="0"/>
    <xf numFmtId="0" fontId="0" fillId="0" borderId="0" xfId="0"/>
    <xf numFmtId="0" fontId="6" fillId="0" borderId="0" xfId="0" applyFont="1"/>
    <xf numFmtId="0" fontId="5" fillId="0" borderId="0" xfId="0" applyFont="1"/>
    <xf numFmtId="0" fontId="8" fillId="0" borderId="15" xfId="0" applyFont="1" applyBorder="1" applyAlignment="1">
      <alignment horizontal="right" vertical="center"/>
    </xf>
    <xf numFmtId="0" fontId="5" fillId="0" borderId="15" xfId="0" applyFont="1" applyBorder="1" applyAlignment="1">
      <alignment horizontal="right" vertical="center"/>
    </xf>
    <xf numFmtId="0" fontId="7" fillId="0" borderId="15" xfId="0" applyFont="1" applyBorder="1" applyAlignment="1">
      <alignment horizontal="right" vertical="center"/>
    </xf>
    <xf numFmtId="14" fontId="0" fillId="0" borderId="0" xfId="0" applyNumberFormat="1"/>
    <xf numFmtId="0" fontId="5" fillId="7" borderId="0" xfId="0" applyFont="1" applyFill="1"/>
    <xf numFmtId="0" fontId="9" fillId="0" borderId="0" xfId="0" applyFont="1"/>
    <xf numFmtId="0" fontId="10" fillId="0" borderId="0" xfId="0" applyFont="1"/>
    <xf numFmtId="0" fontId="10" fillId="0" borderId="15" xfId="0" applyFont="1" applyBorder="1" applyAlignment="1">
      <alignment horizontal="right" vertical="center"/>
    </xf>
    <xf numFmtId="0" fontId="11" fillId="0" borderId="15" xfId="0" applyFont="1" applyBorder="1" applyAlignment="1">
      <alignment horizontal="right" vertical="center"/>
    </xf>
    <xf numFmtId="0" fontId="12" fillId="0" borderId="0" xfId="0" applyFont="1"/>
    <xf numFmtId="0" fontId="12" fillId="0" borderId="0" xfId="0" applyFont="1" applyAlignment="1">
      <alignment horizontal="right"/>
    </xf>
    <xf numFmtId="0" fontId="0" fillId="0" borderId="0" xfId="0" applyNumberFormat="1"/>
    <xf numFmtId="170" fontId="0" fillId="0" borderId="0" xfId="0" applyNumberFormat="1"/>
    <xf numFmtId="0" fontId="14" fillId="7" borderId="0" xfId="0" applyNumberFormat="1" applyFont="1" applyFill="1"/>
    <xf numFmtId="0" fontId="14" fillId="7" borderId="0" xfId="0" applyFont="1" applyFill="1"/>
    <xf numFmtId="0" fontId="16" fillId="0" borderId="0" xfId="2" applyFont="1"/>
    <xf numFmtId="3" fontId="16" fillId="0" borderId="0" xfId="2" applyNumberFormat="1" applyFont="1"/>
    <xf numFmtId="0" fontId="19" fillId="0" borderId="16" xfId="2" applyFont="1" applyBorder="1" applyAlignment="1" applyProtection="1">
      <alignment vertical="top" wrapText="1" readingOrder="1"/>
      <protection locked="0"/>
    </xf>
    <xf numFmtId="0" fontId="16" fillId="0" borderId="16" xfId="2" applyFont="1" applyBorder="1" applyAlignment="1" applyProtection="1">
      <alignment vertical="top" wrapText="1"/>
      <protection locked="0"/>
    </xf>
    <xf numFmtId="0" fontId="19" fillId="0" borderId="16" xfId="2" applyFont="1" applyBorder="1" applyAlignment="1" applyProtection="1">
      <alignment horizontal="right" vertical="top" wrapText="1" readingOrder="1"/>
      <protection locked="0"/>
    </xf>
    <xf numFmtId="0" fontId="19" fillId="0" borderId="0" xfId="2" applyFont="1" applyAlignment="1" applyProtection="1">
      <alignment horizontal="right" vertical="top" wrapText="1" readingOrder="1"/>
      <protection locked="0"/>
    </xf>
    <xf numFmtId="0" fontId="21" fillId="0" borderId="16" xfId="2" applyFont="1" applyBorder="1" applyAlignment="1" applyProtection="1">
      <alignment horizontal="right" vertical="center" wrapText="1" readingOrder="1"/>
      <protection locked="0"/>
    </xf>
    <xf numFmtId="0" fontId="19" fillId="7" borderId="16" xfId="2" applyFont="1" applyFill="1" applyBorder="1" applyAlignment="1" applyProtection="1">
      <alignment vertical="center" wrapText="1" readingOrder="1"/>
      <protection locked="0"/>
    </xf>
    <xf numFmtId="3" fontId="22" fillId="7" borderId="16" xfId="2" applyNumberFormat="1" applyFont="1" applyFill="1" applyBorder="1" applyAlignment="1" applyProtection="1">
      <alignment horizontal="right" vertical="center" wrapText="1" readingOrder="1"/>
      <protection locked="0"/>
    </xf>
    <xf numFmtId="0" fontId="22" fillId="7" borderId="16" xfId="2" applyFont="1" applyFill="1" applyBorder="1" applyAlignment="1" applyProtection="1">
      <alignment horizontal="right" vertical="center" wrapText="1" readingOrder="1"/>
      <protection locked="0"/>
    </xf>
    <xf numFmtId="0" fontId="20" fillId="7" borderId="16" xfId="2" applyFont="1" applyFill="1" applyBorder="1" applyAlignment="1" applyProtection="1">
      <alignment horizontal="left" vertical="center" wrapText="1" readingOrder="1"/>
      <protection locked="0"/>
    </xf>
    <xf numFmtId="0" fontId="24" fillId="0" borderId="16" xfId="2" applyFont="1" applyBorder="1" applyAlignment="1" applyProtection="1">
      <alignment horizontal="right" vertical="center" wrapText="1" readingOrder="1"/>
      <protection locked="0"/>
    </xf>
    <xf numFmtId="0" fontId="21" fillId="0" borderId="0" xfId="2" applyFont="1" applyAlignment="1" applyProtection="1">
      <alignment horizontal="right" vertical="center" wrapText="1" readingOrder="1"/>
      <protection locked="0"/>
    </xf>
    <xf numFmtId="0" fontId="21" fillId="0" borderId="0" xfId="2" applyFont="1" applyAlignment="1" applyProtection="1">
      <alignment vertical="center" wrapText="1" indent="1" readingOrder="1"/>
      <protection locked="0"/>
    </xf>
    <xf numFmtId="3" fontId="25" fillId="0" borderId="0" xfId="2" applyNumberFormat="1" applyFont="1" applyAlignment="1" applyProtection="1">
      <alignment horizontal="right" vertical="center" wrapText="1" readingOrder="1"/>
      <protection locked="0"/>
    </xf>
    <xf numFmtId="0" fontId="25" fillId="0" borderId="0" xfId="2" applyFont="1" applyAlignment="1" applyProtection="1">
      <alignment horizontal="right" vertical="center" wrapText="1" readingOrder="1"/>
      <protection locked="0"/>
    </xf>
    <xf numFmtId="0" fontId="24" fillId="0" borderId="0" xfId="2" applyFont="1" applyAlignment="1" applyProtection="1">
      <alignment horizontal="left" vertical="center" wrapText="1" indent="1" readingOrder="1"/>
      <protection locked="0"/>
    </xf>
    <xf numFmtId="0" fontId="24" fillId="0" borderId="0" xfId="2" applyFont="1" applyAlignment="1" applyProtection="1">
      <alignment horizontal="right" vertical="center" wrapText="1" readingOrder="1"/>
      <protection locked="0"/>
    </xf>
    <xf numFmtId="0" fontId="21" fillId="0" borderId="0" xfId="2" applyFont="1" applyAlignment="1" applyProtection="1">
      <alignment vertical="center" wrapText="1" indent="2" readingOrder="1"/>
      <protection locked="0"/>
    </xf>
    <xf numFmtId="0" fontId="24" fillId="0" borderId="0" xfId="2" applyFont="1" applyAlignment="1" applyProtection="1">
      <alignment horizontal="left" vertical="center" wrapText="1" indent="2" readingOrder="1"/>
      <protection locked="0"/>
    </xf>
    <xf numFmtId="0" fontId="21" fillId="0" borderId="0" xfId="2" applyFont="1" applyAlignment="1" applyProtection="1">
      <alignment vertical="center" wrapText="1" indent="3" readingOrder="1"/>
      <protection locked="0"/>
    </xf>
    <xf numFmtId="0" fontId="24" fillId="0" borderId="0" xfId="2" applyFont="1" applyAlignment="1" applyProtection="1">
      <alignment horizontal="left" vertical="center" wrapText="1" indent="3" readingOrder="1"/>
      <protection locked="0"/>
    </xf>
    <xf numFmtId="0" fontId="21" fillId="0" borderId="0" xfId="2" applyFont="1" applyAlignment="1" applyProtection="1">
      <alignment vertical="center" wrapText="1" indent="4" readingOrder="1"/>
      <protection locked="0"/>
    </xf>
    <xf numFmtId="0" fontId="24" fillId="0" borderId="0" xfId="2" applyFont="1" applyAlignment="1" applyProtection="1">
      <alignment horizontal="left" vertical="center" wrapText="1" indent="4" readingOrder="1"/>
      <protection locked="0"/>
    </xf>
    <xf numFmtId="0" fontId="19" fillId="0" borderId="0" xfId="2" applyFont="1" applyAlignment="1" applyProtection="1">
      <alignment vertical="center" wrapText="1" readingOrder="1"/>
      <protection locked="0"/>
    </xf>
    <xf numFmtId="0" fontId="20" fillId="0" borderId="0" xfId="2" applyFont="1" applyAlignment="1" applyProtection="1">
      <alignment horizontal="left" vertical="center" wrapText="1" readingOrder="1"/>
      <protection locked="0"/>
    </xf>
    <xf numFmtId="2" fontId="16" fillId="0" borderId="0" xfId="2" applyNumberFormat="1" applyFont="1"/>
    <xf numFmtId="4" fontId="25" fillId="0" borderId="0" xfId="2" applyNumberFormat="1" applyFont="1" applyAlignment="1" applyProtection="1">
      <alignment horizontal="right" vertical="center" wrapText="1" readingOrder="1"/>
      <protection locked="0"/>
    </xf>
    <xf numFmtId="0" fontId="19" fillId="7" borderId="0" xfId="2" applyFont="1" applyFill="1" applyAlignment="1" applyProtection="1">
      <alignment vertical="center" wrapText="1" indent="1" readingOrder="1"/>
      <protection locked="0"/>
    </xf>
    <xf numFmtId="4" fontId="22" fillId="7" borderId="0" xfId="2" applyNumberFormat="1" applyFont="1" applyFill="1" applyAlignment="1" applyProtection="1">
      <alignment horizontal="right" vertical="center" wrapText="1" readingOrder="1"/>
      <protection locked="0"/>
    </xf>
    <xf numFmtId="0" fontId="22" fillId="7" borderId="0" xfId="2" applyFont="1" applyFill="1" applyAlignment="1" applyProtection="1">
      <alignment horizontal="right" vertical="center" wrapText="1" readingOrder="1"/>
      <protection locked="0"/>
    </xf>
    <xf numFmtId="0" fontId="20" fillId="7" borderId="0" xfId="2" applyFont="1" applyFill="1" applyAlignment="1" applyProtection="1">
      <alignment horizontal="left" vertical="center" wrapText="1" indent="1" readingOrder="1"/>
      <protection locked="0"/>
    </xf>
    <xf numFmtId="0" fontId="21" fillId="0" borderId="17" xfId="2" applyFont="1" applyBorder="1" applyAlignment="1" applyProtection="1">
      <alignment horizontal="right" vertical="center" wrapText="1" readingOrder="1"/>
      <protection locked="0"/>
    </xf>
    <xf numFmtId="0" fontId="21" fillId="0" borderId="17" xfId="2" applyFont="1" applyBorder="1" applyAlignment="1" applyProtection="1">
      <alignment vertical="center" wrapText="1" indent="2" readingOrder="1"/>
      <protection locked="0"/>
    </xf>
    <xf numFmtId="4" fontId="25" fillId="0" borderId="17" xfId="2" applyNumberFormat="1" applyFont="1" applyBorder="1" applyAlignment="1" applyProtection="1">
      <alignment horizontal="right" vertical="center" wrapText="1" readingOrder="1"/>
      <protection locked="0"/>
    </xf>
    <xf numFmtId="0" fontId="25" fillId="0" borderId="17" xfId="2" applyFont="1" applyBorder="1" applyAlignment="1" applyProtection="1">
      <alignment horizontal="right" vertical="center" wrapText="1" readingOrder="1"/>
      <protection locked="0"/>
    </xf>
    <xf numFmtId="0" fontId="24" fillId="0" borderId="17" xfId="2" applyFont="1" applyBorder="1" applyAlignment="1" applyProtection="1">
      <alignment horizontal="left" vertical="center" wrapText="1" indent="2" readingOrder="1"/>
      <protection locked="0"/>
    </xf>
    <xf numFmtId="0" fontId="24" fillId="0" borderId="17" xfId="2" applyFont="1" applyBorder="1" applyAlignment="1" applyProtection="1">
      <alignment horizontal="right" vertical="center" wrapText="1" readingOrder="1"/>
      <protection locked="0"/>
    </xf>
    <xf numFmtId="0" fontId="15" fillId="0" borderId="0" xfId="2"/>
    <xf numFmtId="0" fontId="27" fillId="0" borderId="0" xfId="2" applyFont="1" applyAlignment="1" applyProtection="1">
      <alignment horizontal="center" vertical="top" wrapText="1" readingOrder="1"/>
      <protection locked="0"/>
    </xf>
    <xf numFmtId="0" fontId="28" fillId="0" borderId="0" xfId="2" applyFont="1" applyAlignment="1" applyProtection="1">
      <alignment horizontal="center" vertical="top" wrapText="1" readingOrder="1"/>
      <protection locked="0"/>
    </xf>
    <xf numFmtId="0" fontId="29" fillId="0" borderId="0" xfId="2" applyFont="1"/>
    <xf numFmtId="0" fontId="32" fillId="0" borderId="16" xfId="2" applyFont="1" applyBorder="1" applyAlignment="1" applyProtection="1">
      <alignment horizontal="right" vertical="center" wrapText="1"/>
      <protection locked="0"/>
    </xf>
    <xf numFmtId="0" fontId="31" fillId="0" borderId="0" xfId="2" applyFont="1" applyAlignment="1">
      <alignment vertical="center"/>
    </xf>
    <xf numFmtId="0" fontId="30" fillId="0" borderId="0" xfId="2" applyFont="1" applyAlignment="1" applyProtection="1">
      <alignment horizontal="right" vertical="center" wrapText="1" readingOrder="1"/>
      <protection locked="0"/>
    </xf>
    <xf numFmtId="0" fontId="34" fillId="0" borderId="16" xfId="2" applyFont="1" applyBorder="1" applyAlignment="1" applyProtection="1">
      <alignment horizontal="right" vertical="center" wrapText="1" readingOrder="1"/>
      <protection locked="0"/>
    </xf>
    <xf numFmtId="0" fontId="31" fillId="0" borderId="16" xfId="2" applyFont="1" applyBorder="1" applyAlignment="1" applyProtection="1">
      <alignment vertical="top" wrapText="1"/>
      <protection locked="0"/>
    </xf>
    <xf numFmtId="0" fontId="30" fillId="7" borderId="16" xfId="2" applyFont="1" applyFill="1" applyBorder="1" applyAlignment="1" applyProtection="1">
      <alignment vertical="center" wrapText="1" readingOrder="1"/>
      <protection locked="0"/>
    </xf>
    <xf numFmtId="3" fontId="30" fillId="7" borderId="16" xfId="2" applyNumberFormat="1" applyFont="1" applyFill="1" applyBorder="1" applyAlignment="1" applyProtection="1">
      <alignment horizontal="right" vertical="center" wrapText="1" readingOrder="1"/>
      <protection locked="0"/>
    </xf>
    <xf numFmtId="0" fontId="30" fillId="7" borderId="16" xfId="2" applyFont="1" applyFill="1" applyBorder="1" applyAlignment="1" applyProtection="1">
      <alignment horizontal="right" vertical="center" wrapText="1" readingOrder="1"/>
      <protection locked="0"/>
    </xf>
    <xf numFmtId="0" fontId="33" fillId="7" borderId="16" xfId="2" applyFont="1" applyFill="1" applyBorder="1" applyAlignment="1" applyProtection="1">
      <alignment horizontal="left" vertical="center" wrapText="1" readingOrder="1"/>
      <protection locked="0"/>
    </xf>
    <xf numFmtId="0" fontId="33" fillId="7" borderId="16" xfId="2" applyFont="1" applyFill="1" applyBorder="1" applyAlignment="1" applyProtection="1">
      <alignment horizontal="right" vertical="center" wrapText="1" readingOrder="1"/>
      <protection locked="0"/>
    </xf>
    <xf numFmtId="0" fontId="32" fillId="7" borderId="0" xfId="2" applyFont="1" applyFill="1"/>
    <xf numFmtId="0" fontId="31" fillId="0" borderId="0" xfId="2" applyFont="1"/>
    <xf numFmtId="0" fontId="34" fillId="0" borderId="0" xfId="2" applyFont="1" applyAlignment="1" applyProtection="1">
      <alignment vertical="center" wrapText="1" readingOrder="1"/>
      <protection locked="0"/>
    </xf>
    <xf numFmtId="0" fontId="34" fillId="0" borderId="0" xfId="2" applyFont="1" applyAlignment="1" applyProtection="1">
      <alignment vertical="center" wrapText="1" indent="1" readingOrder="1"/>
      <protection locked="0"/>
    </xf>
    <xf numFmtId="3" fontId="34" fillId="0" borderId="0" xfId="2" applyNumberFormat="1" applyFont="1" applyAlignment="1" applyProtection="1">
      <alignment horizontal="right" vertical="center" wrapText="1" readingOrder="1"/>
      <protection locked="0"/>
    </xf>
    <xf numFmtId="3" fontId="30" fillId="0" borderId="0" xfId="2" applyNumberFormat="1" applyFont="1" applyAlignment="1" applyProtection="1">
      <alignment horizontal="right" vertical="center" wrapText="1" readingOrder="1"/>
      <protection locked="0"/>
    </xf>
    <xf numFmtId="0" fontId="34" fillId="0" borderId="0" xfId="2" applyFont="1" applyAlignment="1" applyProtection="1">
      <alignment horizontal="right" vertical="center" wrapText="1" readingOrder="1"/>
      <protection locked="0"/>
    </xf>
    <xf numFmtId="0" fontId="35" fillId="0" borderId="0" xfId="2" applyFont="1" applyAlignment="1" applyProtection="1">
      <alignment horizontal="left" vertical="center" wrapText="1" indent="1" readingOrder="1"/>
      <protection locked="0"/>
    </xf>
    <xf numFmtId="0" fontId="35" fillId="0" borderId="0" xfId="2" applyFont="1" applyAlignment="1" applyProtection="1">
      <alignment horizontal="right" vertical="center" wrapText="1" readingOrder="1"/>
      <protection locked="0"/>
    </xf>
    <xf numFmtId="0" fontId="34" fillId="0" borderId="0" xfId="2" applyFont="1" applyAlignment="1" applyProtection="1">
      <alignment vertical="center" wrapText="1" indent="2" readingOrder="1"/>
      <protection locked="0"/>
    </xf>
    <xf numFmtId="0" fontId="35" fillId="0" borderId="0" xfId="2" applyFont="1" applyAlignment="1" applyProtection="1">
      <alignment horizontal="left" vertical="center" wrapText="1" indent="2" readingOrder="1"/>
      <protection locked="0"/>
    </xf>
    <xf numFmtId="0" fontId="34" fillId="0" borderId="0" xfId="2" applyFont="1" applyAlignment="1" applyProtection="1">
      <alignment vertical="center" wrapText="1" indent="3" readingOrder="1"/>
      <protection locked="0"/>
    </xf>
    <xf numFmtId="0" fontId="35" fillId="0" borderId="0" xfId="2" applyFont="1" applyAlignment="1" applyProtection="1">
      <alignment horizontal="left" vertical="center" wrapText="1" indent="3" readingOrder="1"/>
      <protection locked="0"/>
    </xf>
    <xf numFmtId="0" fontId="34" fillId="0" borderId="0" xfId="2" applyFont="1" applyAlignment="1" applyProtection="1">
      <alignment vertical="center" wrapText="1" indent="4" readingOrder="1"/>
      <protection locked="0"/>
    </xf>
    <xf numFmtId="0" fontId="35" fillId="0" borderId="0" xfId="2" applyFont="1" applyAlignment="1" applyProtection="1">
      <alignment horizontal="left" vertical="center" wrapText="1" indent="4" readingOrder="1"/>
      <protection locked="0"/>
    </xf>
    <xf numFmtId="0" fontId="30" fillId="0" borderId="0" xfId="2" applyFont="1" applyAlignment="1" applyProtection="1">
      <alignment vertical="center" wrapText="1" readingOrder="1"/>
      <protection locked="0"/>
    </xf>
    <xf numFmtId="0" fontId="33" fillId="0" borderId="0" xfId="2" applyFont="1" applyAlignment="1" applyProtection="1">
      <alignment horizontal="left" vertical="center" wrapText="1" readingOrder="1"/>
      <protection locked="0"/>
    </xf>
    <xf numFmtId="0" fontId="34" fillId="0" borderId="18" xfId="2" applyFont="1" applyBorder="1" applyAlignment="1" applyProtection="1">
      <alignment vertical="center" wrapText="1" readingOrder="1"/>
      <protection locked="0"/>
    </xf>
    <xf numFmtId="0" fontId="31" fillId="0" borderId="18" xfId="2" applyFont="1" applyBorder="1"/>
    <xf numFmtId="0" fontId="34" fillId="0" borderId="18" xfId="2" applyFont="1" applyBorder="1" applyAlignment="1" applyProtection="1">
      <alignment vertical="center" wrapText="1" indent="1" readingOrder="1"/>
      <protection locked="0"/>
    </xf>
    <xf numFmtId="3" fontId="34" fillId="0" borderId="18" xfId="2" applyNumberFormat="1" applyFont="1" applyBorder="1" applyAlignment="1" applyProtection="1">
      <alignment horizontal="right" vertical="center" wrapText="1" readingOrder="1"/>
      <protection locked="0"/>
    </xf>
    <xf numFmtId="3" fontId="30" fillId="0" borderId="18" xfId="2" applyNumberFormat="1" applyFont="1" applyBorder="1" applyAlignment="1" applyProtection="1">
      <alignment horizontal="right" vertical="center" wrapText="1" readingOrder="1"/>
      <protection locked="0"/>
    </xf>
    <xf numFmtId="0" fontId="34" fillId="0" borderId="18" xfId="2" applyFont="1" applyBorder="1" applyAlignment="1" applyProtection="1">
      <alignment horizontal="right" vertical="center" wrapText="1" readingOrder="1"/>
      <protection locked="0"/>
    </xf>
    <xf numFmtId="0" fontId="35" fillId="0" borderId="18" xfId="2" applyFont="1" applyBorder="1" applyAlignment="1" applyProtection="1">
      <alignment horizontal="left" vertical="center" wrapText="1" indent="1" readingOrder="1"/>
      <protection locked="0"/>
    </xf>
    <xf numFmtId="0" fontId="35" fillId="0" borderId="18" xfId="2" applyFont="1" applyBorder="1" applyAlignment="1" applyProtection="1">
      <alignment horizontal="right" vertical="center" wrapText="1" readingOrder="1"/>
      <protection locked="0"/>
    </xf>
    <xf numFmtId="0" fontId="34" fillId="0" borderId="0" xfId="2" applyFont="1" applyAlignment="1" applyProtection="1">
      <alignment vertical="top" wrapText="1" readingOrder="1"/>
      <protection locked="0"/>
    </xf>
    <xf numFmtId="0" fontId="31" fillId="0" borderId="0" xfId="2" applyFont="1" applyAlignment="1">
      <alignment readingOrder="1"/>
    </xf>
    <xf numFmtId="0" fontId="36" fillId="7" borderId="0" xfId="2" applyFont="1" applyFill="1" applyAlignment="1" applyProtection="1">
      <alignment vertical="center" wrapText="1" indent="1" readingOrder="1"/>
      <protection locked="0"/>
    </xf>
    <xf numFmtId="0" fontId="36" fillId="7" borderId="0" xfId="2" applyFont="1" applyFill="1" applyAlignment="1" applyProtection="1">
      <alignment horizontal="right" vertical="center" wrapText="1" readingOrder="1"/>
      <protection locked="0"/>
    </xf>
    <xf numFmtId="0" fontId="37" fillId="7" borderId="0" xfId="2" applyFont="1" applyFill="1" applyAlignment="1" applyProtection="1">
      <alignment horizontal="left" vertical="center" wrapText="1" indent="1" readingOrder="1"/>
      <protection locked="0"/>
    </xf>
    <xf numFmtId="0" fontId="37" fillId="7" borderId="0" xfId="2" applyFont="1" applyFill="1" applyAlignment="1" applyProtection="1">
      <alignment horizontal="right" vertical="center" wrapText="1" readingOrder="1"/>
      <protection locked="0"/>
    </xf>
    <xf numFmtId="0" fontId="34" fillId="0" borderId="17" xfId="2" applyFont="1" applyBorder="1" applyAlignment="1" applyProtection="1">
      <alignment vertical="center" wrapText="1" readingOrder="1"/>
      <protection locked="0"/>
    </xf>
    <xf numFmtId="0" fontId="31" fillId="0" borderId="17" xfId="2" applyFont="1" applyBorder="1" applyAlignment="1" applyProtection="1">
      <alignment vertical="top" wrapText="1"/>
      <protection locked="0"/>
    </xf>
    <xf numFmtId="0" fontId="34" fillId="0" borderId="17" xfId="2" applyFont="1" applyBorder="1" applyAlignment="1" applyProtection="1">
      <alignment vertical="center" wrapText="1" indent="2" readingOrder="1"/>
      <protection locked="0"/>
    </xf>
    <xf numFmtId="0" fontId="34" fillId="0" borderId="17" xfId="2" applyFont="1" applyBorder="1" applyAlignment="1" applyProtection="1">
      <alignment horizontal="right" vertical="center" wrapText="1" readingOrder="1"/>
      <protection locked="0"/>
    </xf>
    <xf numFmtId="0" fontId="30" fillId="0" borderId="17" xfId="2" applyFont="1" applyBorder="1" applyAlignment="1" applyProtection="1">
      <alignment horizontal="right" vertical="center" wrapText="1" readingOrder="1"/>
      <protection locked="0"/>
    </xf>
    <xf numFmtId="0" fontId="35" fillId="0" borderId="17" xfId="2" applyFont="1" applyBorder="1" applyAlignment="1" applyProtection="1">
      <alignment horizontal="left" vertical="center" wrapText="1" indent="2" readingOrder="1"/>
      <protection locked="0"/>
    </xf>
    <xf numFmtId="0" fontId="35" fillId="0" borderId="17" xfId="2" applyFont="1" applyBorder="1" applyAlignment="1" applyProtection="1">
      <alignment horizontal="right" vertical="center" wrapText="1" readingOrder="1"/>
      <protection locked="0"/>
    </xf>
    <xf numFmtId="0" fontId="32" fillId="0" borderId="0" xfId="2" applyFont="1"/>
    <xf numFmtId="0" fontId="40" fillId="0" borderId="0" xfId="2" applyFont="1" applyAlignment="1">
      <alignment vertical="top" readingOrder="1"/>
    </xf>
    <xf numFmtId="0" fontId="40" fillId="0" borderId="0" xfId="2" applyFont="1" applyAlignment="1">
      <alignment vertical="top"/>
    </xf>
    <xf numFmtId="0" fontId="6" fillId="0" borderId="0" xfId="0" applyFont="1" applyAlignment="1">
      <alignment horizontal="right"/>
    </xf>
    <xf numFmtId="0" fontId="5" fillId="7" borderId="0" xfId="0" applyFont="1" applyFill="1" applyAlignment="1">
      <alignment horizontal="right"/>
    </xf>
    <xf numFmtId="43" fontId="0" fillId="0" borderId="0" xfId="1" applyFont="1"/>
    <xf numFmtId="0" fontId="0" fillId="0" borderId="19" xfId="0" applyFill="1" applyBorder="1" applyProtection="1"/>
    <xf numFmtId="0" fontId="0" fillId="0" borderId="20" xfId="0" applyFill="1" applyBorder="1" applyProtection="1"/>
    <xf numFmtId="0" fontId="41" fillId="0" borderId="21" xfId="0" applyFont="1" applyBorder="1" applyAlignment="1">
      <alignment horizontal="left" wrapText="1"/>
    </xf>
    <xf numFmtId="0" fontId="41" fillId="0" borderId="22" xfId="0" applyFont="1" applyBorder="1" applyAlignment="1">
      <alignment horizontal="left" wrapText="1"/>
    </xf>
    <xf numFmtId="171" fontId="42" fillId="0" borderId="21" xfId="0" applyNumberFormat="1" applyFont="1" applyBorder="1" applyAlignment="1">
      <alignment horizontal="left" wrapText="1"/>
    </xf>
    <xf numFmtId="172" fontId="42" fillId="0" borderId="22" xfId="0" applyNumberFormat="1" applyFont="1" applyBorder="1" applyAlignment="1">
      <alignment horizontal="right" wrapText="1"/>
    </xf>
    <xf numFmtId="171" fontId="42" fillId="0" borderId="23" xfId="0" applyNumberFormat="1" applyFont="1" applyBorder="1" applyAlignment="1">
      <alignment horizontal="left" wrapText="1"/>
    </xf>
    <xf numFmtId="172" fontId="42" fillId="0" borderId="24" xfId="0" applyNumberFormat="1" applyFont="1" applyBorder="1" applyAlignment="1">
      <alignment horizontal="right" wrapText="1"/>
    </xf>
    <xf numFmtId="0" fontId="0" fillId="0" borderId="25" xfId="0" applyFill="1" applyBorder="1" applyProtection="1"/>
    <xf numFmtId="0" fontId="41" fillId="0" borderId="0" xfId="0" applyFont="1" applyBorder="1" applyAlignment="1">
      <alignment horizontal="left" wrapText="1"/>
    </xf>
    <xf numFmtId="172" fontId="42" fillId="0" borderId="0" xfId="0" applyNumberFormat="1" applyFont="1" applyBorder="1" applyAlignment="1">
      <alignment horizontal="right" wrapText="1"/>
    </xf>
    <xf numFmtId="172" fontId="42" fillId="0" borderId="26" xfId="0" applyNumberFormat="1" applyFont="1" applyBorder="1" applyAlignment="1">
      <alignment horizontal="right" wrapText="1"/>
    </xf>
    <xf numFmtId="0" fontId="2" fillId="2" borderId="2" xfId="0" applyFont="1" applyFill="1" applyBorder="1" applyAlignment="1" applyProtection="1">
      <alignment horizontal="left"/>
    </xf>
    <xf numFmtId="0" fontId="2" fillId="2" borderId="3" xfId="0" applyFont="1" applyFill="1" applyBorder="1" applyProtection="1"/>
    <xf numFmtId="0" fontId="2" fillId="2" borderId="4" xfId="0" applyFont="1" applyFill="1" applyBorder="1" applyProtection="1"/>
    <xf numFmtId="0" fontId="21" fillId="0" borderId="0" xfId="2" applyFont="1" applyAlignment="1" applyProtection="1">
      <alignment horizontal="right" vertical="center" wrapText="1" readingOrder="1"/>
      <protection locked="0"/>
    </xf>
    <xf numFmtId="0" fontId="16" fillId="0" borderId="0" xfId="2" applyFont="1"/>
    <xf numFmtId="4" fontId="25" fillId="0" borderId="0" xfId="2" applyNumberFormat="1" applyFont="1" applyAlignment="1" applyProtection="1">
      <alignment horizontal="right" vertical="center" wrapText="1" readingOrder="1"/>
      <protection locked="0"/>
    </xf>
    <xf numFmtId="4" fontId="16" fillId="0" borderId="0" xfId="2" applyNumberFormat="1" applyFont="1"/>
    <xf numFmtId="0" fontId="21" fillId="0" borderId="17" xfId="2" applyFont="1" applyBorder="1" applyAlignment="1" applyProtection="1">
      <alignment horizontal="right" vertical="center" wrapText="1" readingOrder="1"/>
      <protection locked="0"/>
    </xf>
    <xf numFmtId="0" fontId="16" fillId="0" borderId="17" xfId="2" applyFont="1" applyBorder="1" applyAlignment="1" applyProtection="1">
      <alignment vertical="top" wrapText="1"/>
      <protection locked="0"/>
    </xf>
    <xf numFmtId="4" fontId="25" fillId="0" borderId="17" xfId="2" applyNumberFormat="1" applyFont="1" applyBorder="1" applyAlignment="1" applyProtection="1">
      <alignment horizontal="right" vertical="center" wrapText="1" readingOrder="1"/>
      <protection locked="0"/>
    </xf>
    <xf numFmtId="4" fontId="16" fillId="0" borderId="17" xfId="2" applyNumberFormat="1" applyFont="1" applyBorder="1" applyAlignment="1" applyProtection="1">
      <alignment vertical="top" wrapText="1"/>
      <protection locked="0"/>
    </xf>
    <xf numFmtId="0" fontId="25" fillId="0" borderId="0" xfId="2" applyFont="1" applyAlignment="1" applyProtection="1">
      <alignment vertical="top" wrapText="1" readingOrder="1"/>
      <protection locked="0"/>
    </xf>
    <xf numFmtId="0" fontId="26" fillId="0" borderId="0" xfId="2" applyFont="1" applyAlignment="1" applyProtection="1">
      <alignment vertical="top" wrapText="1" readingOrder="1"/>
      <protection locked="0"/>
    </xf>
    <xf numFmtId="3" fontId="25" fillId="0" borderId="0" xfId="2" applyNumberFormat="1" applyFont="1" applyAlignment="1" applyProtection="1">
      <alignment horizontal="right" vertical="center" wrapText="1" readingOrder="1"/>
      <protection locked="0"/>
    </xf>
    <xf numFmtId="3" fontId="16" fillId="0" borderId="0" xfId="2" applyNumberFormat="1" applyFont="1"/>
    <xf numFmtId="4" fontId="22" fillId="7" borderId="0" xfId="2" applyNumberFormat="1" applyFont="1" applyFill="1" applyAlignment="1" applyProtection="1">
      <alignment horizontal="right" vertical="center" wrapText="1" readingOrder="1"/>
      <protection locked="0"/>
    </xf>
    <xf numFmtId="4" fontId="23" fillId="7" borderId="0" xfId="2" applyNumberFormat="1" applyFont="1" applyFill="1"/>
    <xf numFmtId="0" fontId="20" fillId="0" borderId="16" xfId="2" applyFont="1" applyBorder="1" applyAlignment="1" applyProtection="1">
      <alignment horizontal="left" vertical="center" wrapText="1" readingOrder="1"/>
      <protection locked="0"/>
    </xf>
    <xf numFmtId="0" fontId="19" fillId="0" borderId="0" xfId="2" applyFont="1" applyAlignment="1" applyProtection="1">
      <alignment horizontal="right" vertical="top" wrapText="1" readingOrder="1"/>
      <protection locked="0"/>
    </xf>
    <xf numFmtId="0" fontId="21" fillId="0" borderId="16" xfId="2" applyFont="1" applyBorder="1" applyAlignment="1" applyProtection="1">
      <alignment horizontal="right" vertical="center" wrapText="1" readingOrder="1"/>
      <protection locked="0"/>
    </xf>
    <xf numFmtId="0" fontId="16" fillId="0" borderId="16" xfId="2" applyFont="1" applyBorder="1" applyAlignment="1" applyProtection="1">
      <alignment vertical="top" wrapText="1"/>
      <protection locked="0"/>
    </xf>
    <xf numFmtId="3" fontId="22" fillId="7" borderId="16" xfId="2" applyNumberFormat="1" applyFont="1" applyFill="1" applyBorder="1" applyAlignment="1" applyProtection="1">
      <alignment horizontal="right" vertical="center" wrapText="1" readingOrder="1"/>
      <protection locked="0"/>
    </xf>
    <xf numFmtId="3" fontId="23" fillId="7" borderId="16" xfId="2" applyNumberFormat="1" applyFont="1" applyFill="1" applyBorder="1" applyAlignment="1" applyProtection="1">
      <alignment vertical="top" wrapText="1"/>
      <protection locked="0"/>
    </xf>
    <xf numFmtId="0" fontId="19" fillId="0" borderId="16" xfId="2" applyFont="1" applyBorder="1" applyAlignment="1" applyProtection="1">
      <alignment horizontal="right" vertical="top" wrapText="1" readingOrder="1"/>
      <protection locked="0"/>
    </xf>
    <xf numFmtId="0" fontId="17" fillId="0" borderId="0" xfId="2" applyFont="1" applyAlignment="1" applyProtection="1">
      <alignment vertical="top" wrapText="1" readingOrder="1"/>
      <protection locked="0"/>
    </xf>
    <xf numFmtId="0" fontId="18" fillId="0" borderId="0" xfId="2" applyFont="1" applyAlignment="1" applyProtection="1">
      <alignment vertical="top" wrapText="1" readingOrder="1"/>
      <protection locked="0"/>
    </xf>
    <xf numFmtId="0" fontId="19" fillId="0" borderId="16" xfId="2" applyFont="1" applyBorder="1" applyAlignment="1" applyProtection="1">
      <alignment horizontal="left" vertical="center" wrapText="1" readingOrder="1"/>
      <protection locked="0"/>
    </xf>
    <xf numFmtId="0" fontId="38" fillId="0" borderId="0" xfId="2" applyFont="1" applyAlignment="1" applyProtection="1">
      <alignment horizontal="left" vertical="top" wrapText="1" readingOrder="1"/>
      <protection locked="0"/>
    </xf>
    <xf numFmtId="0" fontId="39" fillId="0" borderId="0" xfId="2" applyFont="1" applyAlignment="1" applyProtection="1">
      <alignment horizontal="left" vertical="top" wrapText="1" readingOrder="1"/>
      <protection locked="0"/>
    </xf>
    <xf numFmtId="0" fontId="5" fillId="0" borderId="15" xfId="0" applyFont="1" applyBorder="1" applyAlignment="1">
      <alignment horizontal="left" vertical="center"/>
    </xf>
    <xf numFmtId="0" fontId="5" fillId="0" borderId="15" xfId="0" applyFont="1" applyBorder="1" applyAlignment="1">
      <alignment horizontal="right" vertical="center"/>
    </xf>
    <xf numFmtId="0" fontId="5" fillId="0" borderId="15" xfId="0" applyFont="1" applyBorder="1" applyAlignment="1">
      <alignment horizontal="center" vertical="center"/>
    </xf>
    <xf numFmtId="0" fontId="7" fillId="0" borderId="15" xfId="0" applyFont="1" applyBorder="1" applyAlignment="1">
      <alignment horizontal="right" vertical="center"/>
    </xf>
    <xf numFmtId="3" fontId="34" fillId="0" borderId="0" xfId="2" applyNumberFormat="1" applyFont="1" applyAlignment="1" applyProtection="1">
      <alignment horizontal="right" vertical="center" wrapText="1" readingOrder="1"/>
      <protection locked="0"/>
    </xf>
    <xf numFmtId="3" fontId="31" fillId="0" borderId="0" xfId="2" applyNumberFormat="1" applyFont="1"/>
    <xf numFmtId="0" fontId="34" fillId="0" borderId="0" xfId="2" applyFont="1" applyAlignment="1" applyProtection="1">
      <alignment horizontal="right" vertical="center" wrapText="1" readingOrder="1"/>
      <protection locked="0"/>
    </xf>
    <xf numFmtId="0" fontId="31" fillId="0" borderId="0" xfId="2" applyFont="1"/>
    <xf numFmtId="0" fontId="36" fillId="7" borderId="0" xfId="2" applyFont="1" applyFill="1" applyAlignment="1" applyProtection="1">
      <alignment horizontal="right" vertical="center" wrapText="1" readingOrder="1"/>
      <protection locked="0"/>
    </xf>
    <xf numFmtId="0" fontId="36" fillId="7" borderId="0" xfId="2" applyFont="1" applyFill="1"/>
    <xf numFmtId="0" fontId="34" fillId="0" borderId="17" xfId="2" applyFont="1" applyBorder="1" applyAlignment="1" applyProtection="1">
      <alignment horizontal="right" vertical="center" wrapText="1" readingOrder="1"/>
      <protection locked="0"/>
    </xf>
    <xf numFmtId="0" fontId="31" fillId="0" borderId="17" xfId="2" applyFont="1" applyBorder="1" applyAlignment="1" applyProtection="1">
      <alignment vertical="top" wrapText="1"/>
      <protection locked="0"/>
    </xf>
    <xf numFmtId="3" fontId="34" fillId="0" borderId="18" xfId="2" applyNumberFormat="1" applyFont="1" applyBorder="1" applyAlignment="1" applyProtection="1">
      <alignment horizontal="right" vertical="center" wrapText="1" readingOrder="1"/>
      <protection locked="0"/>
    </xf>
    <xf numFmtId="3" fontId="31" fillId="0" borderId="18" xfId="2" applyNumberFormat="1" applyFont="1" applyBorder="1"/>
    <xf numFmtId="0" fontId="33" fillId="0" borderId="16" xfId="2" applyFont="1" applyBorder="1" applyAlignment="1" applyProtection="1">
      <alignment horizontal="left" vertical="center" wrapText="1" readingOrder="1"/>
      <protection locked="0"/>
    </xf>
    <xf numFmtId="0" fontId="31" fillId="0" borderId="0" xfId="2" applyFont="1" applyAlignment="1">
      <alignment vertical="center"/>
    </xf>
    <xf numFmtId="0" fontId="30" fillId="0" borderId="0" xfId="2" applyFont="1" applyAlignment="1" applyProtection="1">
      <alignment horizontal="right" vertical="center" wrapText="1" readingOrder="1"/>
      <protection locked="0"/>
    </xf>
    <xf numFmtId="3" fontId="30" fillId="7" borderId="16" xfId="2" applyNumberFormat="1" applyFont="1" applyFill="1" applyBorder="1" applyAlignment="1" applyProtection="1">
      <alignment horizontal="right" vertical="center" wrapText="1" readingOrder="1"/>
      <protection locked="0"/>
    </xf>
    <xf numFmtId="3" fontId="32" fillId="7" borderId="16" xfId="2" applyNumberFormat="1" applyFont="1" applyFill="1" applyBorder="1" applyAlignment="1" applyProtection="1">
      <alignment vertical="top" wrapText="1"/>
      <protection locked="0"/>
    </xf>
    <xf numFmtId="0" fontId="32" fillId="0" borderId="16" xfId="2" applyFont="1" applyBorder="1" applyAlignment="1" applyProtection="1">
      <alignment horizontal="right" vertical="center" wrapText="1"/>
      <protection locked="0"/>
    </xf>
    <xf numFmtId="0" fontId="30" fillId="0" borderId="16" xfId="2" applyFont="1" applyBorder="1" applyAlignment="1" applyProtection="1">
      <alignment horizontal="right" vertical="center" wrapText="1" readingOrder="1"/>
      <protection locked="0"/>
    </xf>
    <xf numFmtId="0" fontId="31" fillId="0" borderId="16" xfId="2" applyFont="1" applyBorder="1" applyAlignment="1" applyProtection="1">
      <alignment vertical="center" wrapText="1"/>
      <protection locked="0"/>
    </xf>
    <xf numFmtId="0" fontId="27" fillId="0" borderId="0" xfId="2" applyFont="1" applyAlignment="1" applyProtection="1">
      <alignment horizontal="center" vertical="top" wrapText="1" readingOrder="1"/>
      <protection locked="0"/>
    </xf>
    <xf numFmtId="0" fontId="28" fillId="0" borderId="0" xfId="2" applyFont="1" applyAlignment="1" applyProtection="1">
      <alignment horizontal="center" vertical="top" wrapText="1" readingOrder="1"/>
      <protection locked="0"/>
    </xf>
    <xf numFmtId="0" fontId="30" fillId="0" borderId="16" xfId="2" applyFont="1" applyBorder="1" applyAlignment="1" applyProtection="1">
      <alignment horizontal="left" vertical="center" wrapText="1" readingOrder="1"/>
      <protection locked="0"/>
    </xf>
    <xf numFmtId="0" fontId="5" fillId="6" borderId="0" xfId="0" applyFont="1" applyFill="1"/>
    <xf numFmtId="0" fontId="0" fillId="0" borderId="0" xfId="0"/>
    <xf numFmtId="0" fontId="6" fillId="6" borderId="0" xfId="0" applyFont="1" applyFill="1"/>
    <xf numFmtId="0" fontId="10" fillId="0" borderId="15" xfId="0" applyFont="1" applyBorder="1" applyAlignment="1">
      <alignment horizontal="left" vertical="center"/>
    </xf>
    <xf numFmtId="0" fontId="10" fillId="0" borderId="15" xfId="0" applyFont="1" applyBorder="1" applyAlignment="1">
      <alignment horizontal="right" vertical="center"/>
    </xf>
    <xf numFmtId="0" fontId="10" fillId="0" borderId="15" xfId="0" applyFont="1" applyBorder="1" applyAlignment="1">
      <alignment horizontal="center" vertical="center"/>
    </xf>
    <xf numFmtId="0" fontId="11" fillId="0" borderId="15" xfId="0" applyFont="1" applyBorder="1" applyAlignment="1">
      <alignment horizontal="right" vertical="center"/>
    </xf>
    <xf numFmtId="0" fontId="13" fillId="0" borderId="0" xfId="0" applyFont="1"/>
    <xf numFmtId="0" fontId="13" fillId="7" borderId="0" xfId="0" applyFont="1" applyFill="1"/>
    <xf numFmtId="0" fontId="0" fillId="0" borderId="0" xfId="0" applyNumberFormat="1"/>
    <xf numFmtId="0" fontId="13" fillId="0" borderId="0" xfId="0" applyNumberFormat="1" applyFont="1"/>
    <xf numFmtId="0" fontId="10" fillId="6" borderId="0" xfId="0" applyFont="1" applyFill="1"/>
    <xf numFmtId="0" fontId="12" fillId="6" borderId="0" xfId="0" applyFont="1" applyFill="1"/>
    <xf numFmtId="0" fontId="43" fillId="0" borderId="15" xfId="0" applyFont="1" applyBorder="1" applyAlignment="1">
      <alignment horizontal="right" vertical="center"/>
    </xf>
  </cellXfs>
  <cellStyles count="3">
    <cellStyle name="Comma" xfId="1" builtinId="3"/>
    <cellStyle name="Normal" xfId="0" builtinId="0"/>
    <cellStyle name="Normal 2 2" xfId="2" xr:uid="{5662DE6E-A9E4-454A-87A0-A491D7CF25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rdp.historicalpricing">
      <tp t="s">
        <v>Updated at 17:15:52</v>
        <stp/>
        <stp>10</stp>
        <stp>270338468</stp>
        <tr r="C13" s="14"/>
      </tp>
      <tp t="s">
        <v>Updated at 17:15:52</v>
        <stp/>
        <stp>9</stp>
        <stp>270338468</stp>
        <tr r="I13" s="14"/>
      </tp>
      <tp t="s">
        <v>Updated at 17:14:53</v>
        <stp/>
        <stp>8</stp>
        <stp>270338468</stp>
        <tr r="C13" s="8"/>
      </tp>
      <tp t="s">
        <v>Updated at 17:14:53</v>
        <stp/>
        <stp>5</stp>
        <stp>270338468</stp>
        <tr r="C10" s="10"/>
      </tp>
      <tp t="s">
        <v>Updated at 17:14:53</v>
        <stp/>
        <stp>4</stp>
        <stp>270338468</stp>
        <tr r="C10" s="11"/>
      </tp>
      <tp t="s">
        <v>Updated at 17:14:53</v>
        <stp/>
        <stp>7</stp>
        <stp>270338468</stp>
        <tr r="C13" s="3"/>
      </tp>
      <tp t="s">
        <v>Updated at 17:14:52</v>
        <stp/>
        <stp>6</stp>
        <stp>270338468</stp>
        <tr r="C13" s="9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volatileDependencies" Target="volatileDependenci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547"/>
  <sheetViews>
    <sheetView topLeftCell="A19" workbookViewId="0">
      <selection activeCell="R2971" sqref="R2971"/>
    </sheetView>
  </sheetViews>
  <sheetFormatPr defaultRowHeight="12.75" x14ac:dyDescent="0.2"/>
  <cols>
    <col min="1" max="1" width="20.7109375" style="1" customWidth="1"/>
    <col min="2" max="2" width="12" style="1" customWidth="1"/>
    <col min="3" max="3" width="13.28515625" style="1" customWidth="1"/>
    <col min="4" max="4" width="6.5703125" style="1" customWidth="1"/>
    <col min="5" max="5" width="8" style="1" customWidth="1"/>
    <col min="6" max="6" width="11.5703125" style="1" customWidth="1"/>
    <col min="7" max="7" width="12" style="1" customWidth="1"/>
    <col min="8" max="8" width="8.140625" style="1" customWidth="1"/>
    <col min="9" max="9" width="6.42578125" style="1" customWidth="1"/>
    <col min="10" max="10" width="5.7109375" style="1" customWidth="1"/>
    <col min="11" max="11" width="6.42578125" style="1" customWidth="1"/>
    <col min="12" max="12" width="5.140625" style="1" customWidth="1"/>
    <col min="13" max="13" width="22.28515625" style="1" customWidth="1"/>
    <col min="14" max="14" width="9.140625" style="1" customWidth="1"/>
    <col min="15" max="16384" width="9.140625" style="1"/>
  </cols>
  <sheetData>
    <row r="1" spans="1:5" x14ac:dyDescent="0.2">
      <c r="A1" s="2" t="s">
        <v>0</v>
      </c>
    </row>
    <row r="4" spans="1:5" x14ac:dyDescent="0.2">
      <c r="A4" s="1" t="s">
        <v>1</v>
      </c>
    </row>
    <row r="5" spans="1:5" x14ac:dyDescent="0.2">
      <c r="A5" s="1" t="s">
        <v>2</v>
      </c>
    </row>
    <row r="6" spans="1:5" x14ac:dyDescent="0.2">
      <c r="A6" s="1" t="s">
        <v>3</v>
      </c>
    </row>
    <row r="9" spans="1:5" x14ac:dyDescent="0.2">
      <c r="A9" s="2" t="s">
        <v>4</v>
      </c>
      <c r="B9" s="3">
        <v>357257</v>
      </c>
    </row>
    <row r="10" spans="1:5" x14ac:dyDescent="0.2">
      <c r="A10" s="4" t="s">
        <v>5</v>
      </c>
      <c r="B10" s="5" t="s">
        <v>6</v>
      </c>
      <c r="C10" s="5" t="s">
        <v>7</v>
      </c>
      <c r="D10" s="5" t="s">
        <v>8</v>
      </c>
      <c r="E10" s="5" t="s">
        <v>9</v>
      </c>
    </row>
    <row r="11" spans="1:5" x14ac:dyDescent="0.2">
      <c r="A11" s="6" t="s">
        <v>10</v>
      </c>
      <c r="B11" s="7">
        <v>636</v>
      </c>
      <c r="C11" s="8">
        <v>1.7802310381602E-3</v>
      </c>
      <c r="D11" s="6">
        <v>12</v>
      </c>
      <c r="E11" s="8">
        <v>4.1623309053069697E-3</v>
      </c>
    </row>
    <row r="12" spans="1:5" x14ac:dyDescent="0.2">
      <c r="A12" s="6" t="s">
        <v>11</v>
      </c>
      <c r="B12" s="7">
        <v>23482</v>
      </c>
      <c r="C12" s="8">
        <v>6.5728593141631902E-2</v>
      </c>
      <c r="D12" s="6">
        <v>171</v>
      </c>
      <c r="E12" s="8">
        <v>5.93132154006243E-2</v>
      </c>
    </row>
    <row r="13" spans="1:5" x14ac:dyDescent="0.2">
      <c r="A13" s="6" t="s">
        <v>12</v>
      </c>
      <c r="B13" s="7">
        <v>125826</v>
      </c>
      <c r="C13" s="8">
        <v>0.352200236804317</v>
      </c>
      <c r="D13" s="6">
        <v>998</v>
      </c>
      <c r="E13" s="8">
        <v>0.34616718695803</v>
      </c>
    </row>
    <row r="14" spans="1:5" x14ac:dyDescent="0.2">
      <c r="A14" s="6" t="s">
        <v>13</v>
      </c>
      <c r="B14" s="7">
        <v>129794</v>
      </c>
      <c r="C14" s="8">
        <v>0.363307087054977</v>
      </c>
      <c r="D14" s="6">
        <v>807</v>
      </c>
      <c r="E14" s="8">
        <v>0.27991675338189398</v>
      </c>
    </row>
    <row r="15" spans="1:5" x14ac:dyDescent="0.2">
      <c r="A15" s="6" t="s">
        <v>14</v>
      </c>
      <c r="B15" s="7">
        <v>37883</v>
      </c>
      <c r="C15" s="8">
        <v>0.10603851009217501</v>
      </c>
      <c r="D15" s="6">
        <v>184</v>
      </c>
      <c r="E15" s="8">
        <v>6.3822407214706903E-2</v>
      </c>
    </row>
    <row r="16" spans="1:5" x14ac:dyDescent="0.2">
      <c r="A16" s="6" t="s">
        <v>15</v>
      </c>
      <c r="B16" s="7">
        <v>19966</v>
      </c>
      <c r="C16" s="8">
        <v>5.5886938534444403E-2</v>
      </c>
      <c r="D16" s="6">
        <v>216</v>
      </c>
      <c r="E16" s="8">
        <v>7.4921956295525505E-2</v>
      </c>
    </row>
    <row r="17" spans="1:13" x14ac:dyDescent="0.2">
      <c r="A17" s="6" t="s">
        <v>16</v>
      </c>
      <c r="B17" s="7">
        <v>1668</v>
      </c>
      <c r="C17" s="8">
        <v>4.66890781706167E-3</v>
      </c>
      <c r="D17" s="6">
        <v>31</v>
      </c>
      <c r="E17" s="8">
        <v>1.0752688172042999E-2</v>
      </c>
    </row>
    <row r="18" spans="1:13" x14ac:dyDescent="0.2">
      <c r="A18" s="6" t="s">
        <v>17</v>
      </c>
      <c r="B18" s="7">
        <v>16402</v>
      </c>
      <c r="C18" s="8">
        <v>4.5910926867773101E-2</v>
      </c>
      <c r="D18" s="6">
        <v>391</v>
      </c>
      <c r="E18" s="8">
        <v>0.135622615331252</v>
      </c>
    </row>
    <row r="19" spans="1:13" x14ac:dyDescent="0.2">
      <c r="A19" s="6" t="s">
        <v>18</v>
      </c>
      <c r="B19" s="7">
        <v>1600</v>
      </c>
      <c r="C19" s="8">
        <v>4.4785686494596298E-3</v>
      </c>
      <c r="D19" s="6">
        <v>73</v>
      </c>
      <c r="E19" s="8">
        <v>2.53208463406174E-2</v>
      </c>
    </row>
    <row r="22" spans="1:13" x14ac:dyDescent="0.2">
      <c r="A22" s="2" t="s">
        <v>19</v>
      </c>
    </row>
    <row r="23" spans="1:13" x14ac:dyDescent="0.2">
      <c r="A23" s="167" t="s">
        <v>5</v>
      </c>
      <c r="B23" s="168"/>
      <c r="C23" s="169"/>
      <c r="D23" s="167" t="s">
        <v>6</v>
      </c>
      <c r="E23" s="168"/>
      <c r="F23" s="168"/>
      <c r="G23" s="168"/>
      <c r="H23" s="169"/>
      <c r="I23" s="167" t="s">
        <v>20</v>
      </c>
      <c r="J23" s="169"/>
      <c r="K23" s="167" t="s">
        <v>21</v>
      </c>
      <c r="L23" s="168"/>
      <c r="M23" s="168"/>
    </row>
    <row r="24" spans="1:13" x14ac:dyDescent="0.2">
      <c r="A24" s="9" t="s">
        <v>22</v>
      </c>
      <c r="B24" s="10">
        <v>16620</v>
      </c>
      <c r="C24" s="11">
        <v>43913</v>
      </c>
      <c r="D24" s="9" t="s">
        <v>23</v>
      </c>
      <c r="E24" s="10">
        <v>1911</v>
      </c>
      <c r="F24" s="12">
        <v>42061</v>
      </c>
      <c r="G24" s="13" t="s">
        <v>24</v>
      </c>
      <c r="H24" s="14">
        <v>171023</v>
      </c>
      <c r="I24" s="9" t="s">
        <v>25</v>
      </c>
      <c r="J24" s="15">
        <v>1626</v>
      </c>
      <c r="K24" s="9" t="s">
        <v>25</v>
      </c>
      <c r="L24" s="16">
        <v>4.6052631578947401E-2</v>
      </c>
      <c r="M24" s="11">
        <v>43909</v>
      </c>
    </row>
    <row r="25" spans="1:13" x14ac:dyDescent="0.2">
      <c r="A25" s="17" t="s">
        <v>26</v>
      </c>
      <c r="B25" s="18">
        <v>8455</v>
      </c>
      <c r="C25" s="19">
        <v>40757</v>
      </c>
      <c r="D25" s="17" t="s">
        <v>27</v>
      </c>
      <c r="E25" s="18">
        <v>0</v>
      </c>
      <c r="F25" s="20">
        <v>41047</v>
      </c>
      <c r="G25" s="21" t="s">
        <v>28</v>
      </c>
      <c r="H25" s="22">
        <v>166317</v>
      </c>
      <c r="I25" s="17" t="s">
        <v>29</v>
      </c>
      <c r="J25" s="23">
        <v>1447</v>
      </c>
      <c r="K25" s="17" t="s">
        <v>29</v>
      </c>
      <c r="L25" s="24">
        <v>-3.2467532467532499E-2</v>
      </c>
      <c r="M25" s="19">
        <v>42286</v>
      </c>
    </row>
    <row r="26" spans="1:13" x14ac:dyDescent="0.2">
      <c r="A26" s="25" t="s">
        <v>30</v>
      </c>
      <c r="B26" s="26">
        <v>12523.485641171501</v>
      </c>
      <c r="C26" s="27"/>
      <c r="D26" s="25" t="s">
        <v>30</v>
      </c>
      <c r="E26" s="26">
        <v>101.58003980665301</v>
      </c>
      <c r="F26" s="28"/>
      <c r="G26" s="28" t="s">
        <v>31</v>
      </c>
      <c r="H26" s="29">
        <v>357257</v>
      </c>
      <c r="I26" s="25" t="s">
        <v>32</v>
      </c>
      <c r="J26" s="27">
        <v>443</v>
      </c>
      <c r="K26" s="25" t="s">
        <v>33</v>
      </c>
      <c r="L26" s="30">
        <v>0.59501061571125302</v>
      </c>
      <c r="M26" s="31" t="s">
        <v>34</v>
      </c>
    </row>
    <row r="29" spans="1:13" x14ac:dyDescent="0.2">
      <c r="A29" s="2" t="s">
        <v>35</v>
      </c>
    </row>
    <row r="30" spans="1:13" x14ac:dyDescent="0.2">
      <c r="A30" s="32" t="s">
        <v>36</v>
      </c>
      <c r="B30" s="32" t="s">
        <v>37</v>
      </c>
      <c r="C30" s="32" t="s">
        <v>38</v>
      </c>
      <c r="D30" s="32" t="s">
        <v>22</v>
      </c>
      <c r="E30" s="32" t="s">
        <v>26</v>
      </c>
      <c r="F30" s="32" t="s">
        <v>39</v>
      </c>
      <c r="G30" s="32" t="s">
        <v>6</v>
      </c>
      <c r="H30" s="5" t="s">
        <v>40</v>
      </c>
      <c r="I30" s="37" t="s">
        <v>41</v>
      </c>
    </row>
    <row r="31" spans="1:13" x14ac:dyDescent="0.2">
      <c r="A31" s="33">
        <v>45103</v>
      </c>
      <c r="B31" s="36">
        <v>15025</v>
      </c>
      <c r="C31" s="7">
        <v>15035</v>
      </c>
      <c r="D31" s="7">
        <v>15035</v>
      </c>
      <c r="E31" s="7">
        <v>15000</v>
      </c>
      <c r="F31" s="7">
        <v>15000</v>
      </c>
      <c r="G31" s="34">
        <v>115</v>
      </c>
      <c r="H31" s="35">
        <v>35</v>
      </c>
      <c r="I31" s="38">
        <f>+(B31+C31)*0.5</f>
        <v>15030</v>
      </c>
    </row>
    <row r="32" spans="1:13" x14ac:dyDescent="0.2">
      <c r="A32" s="33">
        <v>45100</v>
      </c>
      <c r="B32" s="36">
        <v>14990</v>
      </c>
      <c r="C32" s="7">
        <v>14998</v>
      </c>
      <c r="D32" s="7">
        <v>15004</v>
      </c>
      <c r="E32" s="7">
        <v>14960</v>
      </c>
      <c r="F32" s="7">
        <v>14960</v>
      </c>
      <c r="G32" s="34">
        <v>94</v>
      </c>
      <c r="H32" s="35">
        <v>55</v>
      </c>
      <c r="I32" s="38">
        <f t="shared" ref="I32:I95" si="0">+(B32+C32)*0.5</f>
        <v>14994</v>
      </c>
    </row>
    <row r="33" spans="1:9" x14ac:dyDescent="0.2">
      <c r="A33" s="33">
        <v>45099</v>
      </c>
      <c r="B33" s="36">
        <v>14935</v>
      </c>
      <c r="C33" s="7">
        <v>14945</v>
      </c>
      <c r="D33" s="7">
        <v>14945</v>
      </c>
      <c r="E33" s="7">
        <v>14885</v>
      </c>
      <c r="F33" s="7">
        <v>14915</v>
      </c>
      <c r="G33" s="34">
        <v>195</v>
      </c>
      <c r="H33" s="35">
        <v>-5</v>
      </c>
      <c r="I33" s="38">
        <f t="shared" si="0"/>
        <v>14940</v>
      </c>
    </row>
    <row r="34" spans="1:9" x14ac:dyDescent="0.2">
      <c r="A34" s="33">
        <v>45098</v>
      </c>
      <c r="B34" s="36">
        <v>14940</v>
      </c>
      <c r="C34" s="7">
        <v>14950</v>
      </c>
      <c r="D34" s="7">
        <v>15040</v>
      </c>
      <c r="E34" s="7">
        <v>14875</v>
      </c>
      <c r="F34" s="7">
        <v>15030</v>
      </c>
      <c r="G34" s="34">
        <v>213</v>
      </c>
      <c r="H34" s="35">
        <v>-55</v>
      </c>
      <c r="I34" s="38">
        <f t="shared" si="0"/>
        <v>14945</v>
      </c>
    </row>
    <row r="35" spans="1:9" x14ac:dyDescent="0.2">
      <c r="A35" s="33">
        <v>45097</v>
      </c>
      <c r="B35" s="36">
        <v>14995</v>
      </c>
      <c r="C35" s="7">
        <v>15005</v>
      </c>
      <c r="D35" s="7">
        <v>15050</v>
      </c>
      <c r="E35" s="7">
        <v>14995</v>
      </c>
      <c r="F35" s="7">
        <v>15020</v>
      </c>
      <c r="G35" s="34">
        <v>150</v>
      </c>
      <c r="H35" s="35">
        <v>5</v>
      </c>
      <c r="I35" s="38">
        <f t="shared" si="0"/>
        <v>15000</v>
      </c>
    </row>
    <row r="36" spans="1:9" x14ac:dyDescent="0.2">
      <c r="A36" s="33">
        <v>45096</v>
      </c>
      <c r="B36" s="36">
        <v>14990</v>
      </c>
      <c r="C36" s="7">
        <v>14999</v>
      </c>
      <c r="D36" s="7">
        <v>14998</v>
      </c>
      <c r="E36" s="7">
        <v>14955</v>
      </c>
      <c r="F36" s="7">
        <v>14970</v>
      </c>
      <c r="G36" s="34">
        <v>139</v>
      </c>
      <c r="H36" s="35">
        <v>60</v>
      </c>
      <c r="I36" s="38">
        <f t="shared" si="0"/>
        <v>14994.5</v>
      </c>
    </row>
    <row r="37" spans="1:9" x14ac:dyDescent="0.2">
      <c r="A37" s="33">
        <v>45093</v>
      </c>
      <c r="B37" s="36">
        <v>14930</v>
      </c>
      <c r="C37" s="7">
        <v>14940</v>
      </c>
      <c r="D37" s="7">
        <v>14950</v>
      </c>
      <c r="E37" s="7">
        <v>14910</v>
      </c>
      <c r="F37" s="7">
        <v>14910</v>
      </c>
      <c r="G37" s="34">
        <v>150</v>
      </c>
      <c r="H37" s="35">
        <v>-10</v>
      </c>
      <c r="I37" s="38">
        <f t="shared" si="0"/>
        <v>14935</v>
      </c>
    </row>
    <row r="38" spans="1:9" x14ac:dyDescent="0.2">
      <c r="A38" s="33">
        <v>45092</v>
      </c>
      <c r="B38" s="36">
        <v>14940</v>
      </c>
      <c r="C38" s="7">
        <v>14950</v>
      </c>
      <c r="D38" s="7">
        <v>14960</v>
      </c>
      <c r="E38" s="7">
        <v>14910</v>
      </c>
      <c r="F38" s="7">
        <v>14910</v>
      </c>
      <c r="G38" s="34">
        <v>135</v>
      </c>
      <c r="H38" s="35">
        <v>45</v>
      </c>
      <c r="I38" s="38">
        <f t="shared" si="0"/>
        <v>14945</v>
      </c>
    </row>
    <row r="39" spans="1:9" x14ac:dyDescent="0.2">
      <c r="A39" s="33">
        <v>45091</v>
      </c>
      <c r="B39" s="36">
        <v>14895</v>
      </c>
      <c r="C39" s="7">
        <v>14900</v>
      </c>
      <c r="D39" s="7">
        <v>14915</v>
      </c>
      <c r="E39" s="7">
        <v>14865</v>
      </c>
      <c r="F39" s="7">
        <v>14870</v>
      </c>
      <c r="G39" s="34">
        <v>153</v>
      </c>
      <c r="H39" s="35">
        <v>40</v>
      </c>
      <c r="I39" s="38">
        <f t="shared" si="0"/>
        <v>14897.5</v>
      </c>
    </row>
    <row r="40" spans="1:9" x14ac:dyDescent="0.2">
      <c r="A40" s="33">
        <v>45090</v>
      </c>
      <c r="B40" s="36">
        <v>14855</v>
      </c>
      <c r="C40" s="7">
        <v>14865</v>
      </c>
      <c r="D40" s="7">
        <v>14875</v>
      </c>
      <c r="E40" s="7">
        <v>14850</v>
      </c>
      <c r="F40" s="7">
        <v>14865</v>
      </c>
      <c r="G40" s="34">
        <v>154</v>
      </c>
      <c r="H40" s="35">
        <v>-5</v>
      </c>
      <c r="I40" s="38">
        <f t="shared" si="0"/>
        <v>14860</v>
      </c>
    </row>
    <row r="41" spans="1:9" x14ac:dyDescent="0.2">
      <c r="A41" s="33">
        <v>45089</v>
      </c>
      <c r="B41" s="36">
        <v>14860</v>
      </c>
      <c r="C41" s="7">
        <v>14865</v>
      </c>
      <c r="D41" s="7">
        <v>14899</v>
      </c>
      <c r="E41" s="7">
        <v>14850</v>
      </c>
      <c r="F41" s="7">
        <v>14885</v>
      </c>
      <c r="G41" s="34">
        <v>142</v>
      </c>
      <c r="H41" s="35">
        <v>25</v>
      </c>
      <c r="I41" s="38">
        <f t="shared" si="0"/>
        <v>14862.5</v>
      </c>
    </row>
    <row r="42" spans="1:9" x14ac:dyDescent="0.2">
      <c r="A42" s="33">
        <v>45086</v>
      </c>
      <c r="B42" s="36">
        <v>14835</v>
      </c>
      <c r="C42" s="7">
        <v>14845</v>
      </c>
      <c r="D42" s="7">
        <v>14864</v>
      </c>
      <c r="E42" s="7">
        <v>14830</v>
      </c>
      <c r="F42" s="7">
        <v>14830</v>
      </c>
      <c r="G42" s="34">
        <v>156</v>
      </c>
      <c r="H42" s="35">
        <v>-55</v>
      </c>
      <c r="I42" s="38">
        <f t="shared" si="0"/>
        <v>14840</v>
      </c>
    </row>
    <row r="43" spans="1:9" x14ac:dyDescent="0.2">
      <c r="A43" s="33">
        <v>45085</v>
      </c>
      <c r="B43" s="36">
        <v>14890</v>
      </c>
      <c r="C43" s="7">
        <v>14900</v>
      </c>
      <c r="D43" s="7">
        <v>14910</v>
      </c>
      <c r="E43" s="7">
        <v>14870</v>
      </c>
      <c r="F43" s="7">
        <v>14895</v>
      </c>
      <c r="G43" s="34">
        <v>136</v>
      </c>
      <c r="H43" s="35">
        <v>15</v>
      </c>
      <c r="I43" s="38">
        <f t="shared" si="0"/>
        <v>14895</v>
      </c>
    </row>
    <row r="44" spans="1:9" x14ac:dyDescent="0.2">
      <c r="A44" s="33">
        <v>45084</v>
      </c>
      <c r="B44" s="36">
        <v>14875</v>
      </c>
      <c r="C44" s="7">
        <v>14880</v>
      </c>
      <c r="D44" s="7">
        <v>14888</v>
      </c>
      <c r="E44" s="7">
        <v>14845</v>
      </c>
      <c r="F44" s="7">
        <v>14850</v>
      </c>
      <c r="G44" s="34">
        <v>113</v>
      </c>
      <c r="H44" s="35">
        <v>20</v>
      </c>
      <c r="I44" s="38">
        <f t="shared" si="0"/>
        <v>14877.5</v>
      </c>
    </row>
    <row r="45" spans="1:9" x14ac:dyDescent="0.2">
      <c r="A45" s="33">
        <v>45083</v>
      </c>
      <c r="B45" s="36">
        <v>14855</v>
      </c>
      <c r="C45" s="7">
        <v>14865</v>
      </c>
      <c r="D45" s="7">
        <v>14865</v>
      </c>
      <c r="E45" s="7">
        <v>14815</v>
      </c>
      <c r="F45" s="7">
        <v>14850</v>
      </c>
      <c r="G45" s="34">
        <v>194</v>
      </c>
      <c r="H45" s="35">
        <v>-30</v>
      </c>
      <c r="I45" s="38">
        <f t="shared" si="0"/>
        <v>14860</v>
      </c>
    </row>
    <row r="46" spans="1:9" x14ac:dyDescent="0.2">
      <c r="A46" s="33">
        <v>45082</v>
      </c>
      <c r="B46" s="36">
        <v>14885</v>
      </c>
      <c r="C46" s="7">
        <v>14895</v>
      </c>
      <c r="D46" s="7">
        <v>14904</v>
      </c>
      <c r="E46" s="7">
        <v>14865</v>
      </c>
      <c r="F46" s="7">
        <v>14870</v>
      </c>
      <c r="G46" s="34">
        <v>176</v>
      </c>
      <c r="H46" s="35">
        <v>-100</v>
      </c>
      <c r="I46" s="38">
        <f t="shared" si="0"/>
        <v>14890</v>
      </c>
    </row>
    <row r="47" spans="1:9" x14ac:dyDescent="0.2">
      <c r="A47" s="33">
        <v>45079</v>
      </c>
      <c r="B47" s="36">
        <v>14985</v>
      </c>
      <c r="C47" s="7">
        <v>14995</v>
      </c>
      <c r="D47" s="7"/>
      <c r="E47" s="7"/>
      <c r="F47" s="7"/>
      <c r="G47" s="34"/>
      <c r="H47" s="35">
        <v>0</v>
      </c>
      <c r="I47" s="38">
        <f t="shared" si="0"/>
        <v>14990</v>
      </c>
    </row>
    <row r="48" spans="1:9" x14ac:dyDescent="0.2">
      <c r="A48" s="33">
        <v>45078</v>
      </c>
      <c r="B48" s="36">
        <v>14985</v>
      </c>
      <c r="C48" s="7">
        <v>14995</v>
      </c>
      <c r="D48" s="7"/>
      <c r="E48" s="7"/>
      <c r="F48" s="7"/>
      <c r="G48" s="34"/>
      <c r="H48" s="35">
        <v>0</v>
      </c>
      <c r="I48" s="38">
        <f t="shared" si="0"/>
        <v>14990</v>
      </c>
    </row>
    <row r="49" spans="1:9" x14ac:dyDescent="0.2">
      <c r="A49" s="33">
        <v>45077</v>
      </c>
      <c r="B49" s="36">
        <v>14985</v>
      </c>
      <c r="C49" s="7">
        <v>14995</v>
      </c>
      <c r="D49" s="7">
        <v>15017</v>
      </c>
      <c r="E49" s="7">
        <v>14985</v>
      </c>
      <c r="F49" s="7">
        <v>15000</v>
      </c>
      <c r="G49" s="34">
        <v>135</v>
      </c>
      <c r="H49" s="35">
        <v>5</v>
      </c>
      <c r="I49" s="38">
        <f t="shared" si="0"/>
        <v>14990</v>
      </c>
    </row>
    <row r="50" spans="1:9" x14ac:dyDescent="0.2">
      <c r="A50" s="33">
        <v>45076</v>
      </c>
      <c r="B50" s="36">
        <v>14980</v>
      </c>
      <c r="C50" s="7">
        <v>14990</v>
      </c>
      <c r="D50" s="7">
        <v>14990</v>
      </c>
      <c r="E50" s="7">
        <v>14935</v>
      </c>
      <c r="F50" s="7">
        <v>14940</v>
      </c>
      <c r="G50" s="34">
        <v>174</v>
      </c>
      <c r="H50" s="35">
        <v>15</v>
      </c>
      <c r="I50" s="38">
        <f t="shared" si="0"/>
        <v>14985</v>
      </c>
    </row>
    <row r="51" spans="1:9" x14ac:dyDescent="0.2">
      <c r="A51" s="33">
        <v>45075</v>
      </c>
      <c r="B51" s="36">
        <v>14965</v>
      </c>
      <c r="C51" s="7">
        <v>14975</v>
      </c>
      <c r="D51" s="7">
        <v>14977</v>
      </c>
      <c r="E51" s="7">
        <v>14950</v>
      </c>
      <c r="F51" s="7">
        <v>14950</v>
      </c>
      <c r="G51" s="34">
        <v>134</v>
      </c>
      <c r="H51" s="35">
        <v>15</v>
      </c>
      <c r="I51" s="38">
        <f t="shared" si="0"/>
        <v>14970</v>
      </c>
    </row>
    <row r="52" spans="1:9" x14ac:dyDescent="0.2">
      <c r="A52" s="33">
        <v>45072</v>
      </c>
      <c r="B52" s="36">
        <v>14950</v>
      </c>
      <c r="C52" s="7">
        <v>14960</v>
      </c>
      <c r="D52" s="7">
        <v>14969</v>
      </c>
      <c r="E52" s="7">
        <v>14935</v>
      </c>
      <c r="F52" s="7">
        <v>14950</v>
      </c>
      <c r="G52" s="34">
        <v>127</v>
      </c>
      <c r="H52" s="35">
        <v>5</v>
      </c>
      <c r="I52" s="38">
        <f t="shared" si="0"/>
        <v>14955</v>
      </c>
    </row>
    <row r="53" spans="1:9" x14ac:dyDescent="0.2">
      <c r="A53" s="33">
        <v>45071</v>
      </c>
      <c r="B53" s="36">
        <v>14945</v>
      </c>
      <c r="C53" s="7">
        <v>14955</v>
      </c>
      <c r="D53" s="7">
        <v>14958</v>
      </c>
      <c r="E53" s="7">
        <v>14928</v>
      </c>
      <c r="F53" s="7">
        <v>14950</v>
      </c>
      <c r="G53" s="34">
        <v>157</v>
      </c>
      <c r="H53" s="35">
        <v>50</v>
      </c>
      <c r="I53" s="38">
        <f t="shared" si="0"/>
        <v>14950</v>
      </c>
    </row>
    <row r="54" spans="1:9" x14ac:dyDescent="0.2">
      <c r="A54" s="33">
        <v>45070</v>
      </c>
      <c r="B54" s="36">
        <v>14895</v>
      </c>
      <c r="C54" s="7">
        <v>14905</v>
      </c>
      <c r="D54" s="7">
        <v>14915</v>
      </c>
      <c r="E54" s="7">
        <v>14885</v>
      </c>
      <c r="F54" s="7">
        <v>14885</v>
      </c>
      <c r="G54" s="34">
        <v>166</v>
      </c>
      <c r="H54" s="35">
        <v>20</v>
      </c>
      <c r="I54" s="38">
        <f t="shared" si="0"/>
        <v>14900</v>
      </c>
    </row>
    <row r="55" spans="1:9" x14ac:dyDescent="0.2">
      <c r="A55" s="33">
        <v>45069</v>
      </c>
      <c r="B55" s="36">
        <v>14875</v>
      </c>
      <c r="C55" s="7">
        <v>14885</v>
      </c>
      <c r="D55" s="7">
        <v>14905</v>
      </c>
      <c r="E55" s="7">
        <v>14850</v>
      </c>
      <c r="F55" s="7">
        <v>14880</v>
      </c>
      <c r="G55" s="34">
        <v>187</v>
      </c>
      <c r="H55" s="35">
        <v>-10</v>
      </c>
      <c r="I55" s="38">
        <f t="shared" si="0"/>
        <v>14880</v>
      </c>
    </row>
    <row r="56" spans="1:9" x14ac:dyDescent="0.2">
      <c r="A56" s="33">
        <v>45068</v>
      </c>
      <c r="B56" s="36">
        <v>14885</v>
      </c>
      <c r="C56" s="7">
        <v>14895</v>
      </c>
      <c r="D56" s="7">
        <v>14913</v>
      </c>
      <c r="E56" s="7">
        <v>14880</v>
      </c>
      <c r="F56" s="7">
        <v>14890</v>
      </c>
      <c r="G56" s="34">
        <v>141</v>
      </c>
      <c r="H56" s="35">
        <v>-35</v>
      </c>
      <c r="I56" s="38">
        <f t="shared" si="0"/>
        <v>14890</v>
      </c>
    </row>
    <row r="57" spans="1:9" x14ac:dyDescent="0.2">
      <c r="A57" s="33">
        <v>45065</v>
      </c>
      <c r="B57" s="36">
        <v>14920</v>
      </c>
      <c r="C57" s="7">
        <v>14930</v>
      </c>
      <c r="D57" s="7">
        <v>14964</v>
      </c>
      <c r="E57" s="7">
        <v>14890</v>
      </c>
      <c r="F57" s="7">
        <v>14890</v>
      </c>
      <c r="G57" s="34">
        <v>176</v>
      </c>
      <c r="H57" s="35">
        <v>60</v>
      </c>
      <c r="I57" s="38">
        <f t="shared" si="0"/>
        <v>14925</v>
      </c>
    </row>
    <row r="58" spans="1:9" x14ac:dyDescent="0.2">
      <c r="A58" s="33">
        <v>45064</v>
      </c>
      <c r="B58" s="36">
        <v>14860</v>
      </c>
      <c r="C58" s="7">
        <v>14870</v>
      </c>
      <c r="D58" s="7"/>
      <c r="E58" s="7"/>
      <c r="F58" s="7"/>
      <c r="G58" s="34"/>
      <c r="H58" s="35">
        <v>0</v>
      </c>
      <c r="I58" s="38">
        <f t="shared" si="0"/>
        <v>14865</v>
      </c>
    </row>
    <row r="59" spans="1:9" x14ac:dyDescent="0.2">
      <c r="A59" s="33">
        <v>45063</v>
      </c>
      <c r="B59" s="36">
        <v>14860</v>
      </c>
      <c r="C59" s="7">
        <v>14870</v>
      </c>
      <c r="D59" s="7">
        <v>14885</v>
      </c>
      <c r="E59" s="7">
        <v>14850</v>
      </c>
      <c r="F59" s="7">
        <v>14865</v>
      </c>
      <c r="G59" s="34">
        <v>175</v>
      </c>
      <c r="H59" s="35">
        <v>45</v>
      </c>
      <c r="I59" s="38">
        <f t="shared" si="0"/>
        <v>14865</v>
      </c>
    </row>
    <row r="60" spans="1:9" x14ac:dyDescent="0.2">
      <c r="A60" s="33">
        <v>45062</v>
      </c>
      <c r="B60" s="36">
        <v>14815</v>
      </c>
      <c r="C60" s="7">
        <v>14825</v>
      </c>
      <c r="D60" s="7">
        <v>14834</v>
      </c>
      <c r="E60" s="7">
        <v>14770</v>
      </c>
      <c r="F60" s="7">
        <v>14770</v>
      </c>
      <c r="G60" s="34">
        <v>154</v>
      </c>
      <c r="H60" s="35">
        <v>20</v>
      </c>
      <c r="I60" s="38">
        <f t="shared" si="0"/>
        <v>14820</v>
      </c>
    </row>
    <row r="61" spans="1:9" x14ac:dyDescent="0.2">
      <c r="A61" s="33">
        <v>45061</v>
      </c>
      <c r="B61" s="36">
        <v>14795</v>
      </c>
      <c r="C61" s="7">
        <v>14805</v>
      </c>
      <c r="D61" s="7">
        <v>14824</v>
      </c>
      <c r="E61" s="7">
        <v>14780</v>
      </c>
      <c r="F61" s="7">
        <v>14780</v>
      </c>
      <c r="G61" s="34">
        <v>221</v>
      </c>
      <c r="H61" s="35">
        <v>50</v>
      </c>
      <c r="I61" s="38">
        <f t="shared" si="0"/>
        <v>14800</v>
      </c>
    </row>
    <row r="62" spans="1:9" x14ac:dyDescent="0.2">
      <c r="A62" s="33">
        <v>45058</v>
      </c>
      <c r="B62" s="36">
        <v>14745</v>
      </c>
      <c r="C62" s="7">
        <v>14755</v>
      </c>
      <c r="D62" s="7">
        <v>14764</v>
      </c>
      <c r="E62" s="7">
        <v>14730</v>
      </c>
      <c r="F62" s="7">
        <v>14750</v>
      </c>
      <c r="G62" s="34">
        <v>186</v>
      </c>
      <c r="H62" s="35">
        <v>25</v>
      </c>
      <c r="I62" s="38">
        <f t="shared" si="0"/>
        <v>14750</v>
      </c>
    </row>
    <row r="63" spans="1:9" x14ac:dyDescent="0.2">
      <c r="A63" s="33">
        <v>45057</v>
      </c>
      <c r="B63" s="36">
        <v>14720</v>
      </c>
      <c r="C63" s="7">
        <v>14727</v>
      </c>
      <c r="D63" s="7">
        <v>14740</v>
      </c>
      <c r="E63" s="7">
        <v>14690</v>
      </c>
      <c r="F63" s="7">
        <v>14700</v>
      </c>
      <c r="G63" s="34">
        <v>168</v>
      </c>
      <c r="H63" s="35">
        <v>0</v>
      </c>
      <c r="I63" s="38">
        <f t="shared" si="0"/>
        <v>14723.5</v>
      </c>
    </row>
    <row r="64" spans="1:9" x14ac:dyDescent="0.2">
      <c r="A64" s="33">
        <v>45056</v>
      </c>
      <c r="B64" s="36">
        <v>14720</v>
      </c>
      <c r="C64" s="7">
        <v>14730</v>
      </c>
      <c r="D64" s="7">
        <v>14755</v>
      </c>
      <c r="E64" s="7">
        <v>14720</v>
      </c>
      <c r="F64" s="7">
        <v>14750</v>
      </c>
      <c r="G64" s="34">
        <v>216</v>
      </c>
      <c r="H64" s="35">
        <v>-5</v>
      </c>
      <c r="I64" s="38">
        <f t="shared" si="0"/>
        <v>14725</v>
      </c>
    </row>
    <row r="65" spans="1:9" x14ac:dyDescent="0.2">
      <c r="A65" s="33">
        <v>45055</v>
      </c>
      <c r="B65" s="36">
        <v>14725</v>
      </c>
      <c r="C65" s="7">
        <v>14735</v>
      </c>
      <c r="D65" s="7">
        <v>14765</v>
      </c>
      <c r="E65" s="7">
        <v>14725</v>
      </c>
      <c r="F65" s="7">
        <v>14745</v>
      </c>
      <c r="G65" s="34">
        <v>169</v>
      </c>
      <c r="H65" s="35">
        <v>30</v>
      </c>
      <c r="I65" s="38">
        <f t="shared" si="0"/>
        <v>14730</v>
      </c>
    </row>
    <row r="66" spans="1:9" x14ac:dyDescent="0.2">
      <c r="A66" s="33">
        <v>45054</v>
      </c>
      <c r="B66" s="36">
        <v>14695</v>
      </c>
      <c r="C66" s="7">
        <v>14705</v>
      </c>
      <c r="D66" s="7">
        <v>14718</v>
      </c>
      <c r="E66" s="7">
        <v>14650</v>
      </c>
      <c r="F66" s="7">
        <v>14650</v>
      </c>
      <c r="G66" s="34">
        <v>143</v>
      </c>
      <c r="H66" s="35">
        <v>25</v>
      </c>
      <c r="I66" s="38">
        <f t="shared" si="0"/>
        <v>14700</v>
      </c>
    </row>
    <row r="67" spans="1:9" x14ac:dyDescent="0.2">
      <c r="A67" s="33">
        <v>45051</v>
      </c>
      <c r="B67" s="36">
        <v>14670</v>
      </c>
      <c r="C67" s="7">
        <v>14680</v>
      </c>
      <c r="D67" s="7">
        <v>14688</v>
      </c>
      <c r="E67" s="7">
        <v>14645</v>
      </c>
      <c r="F67" s="7">
        <v>14665</v>
      </c>
      <c r="G67" s="34">
        <v>139</v>
      </c>
      <c r="H67" s="35">
        <v>-5</v>
      </c>
      <c r="I67" s="38">
        <f t="shared" si="0"/>
        <v>14675</v>
      </c>
    </row>
    <row r="68" spans="1:9" x14ac:dyDescent="0.2">
      <c r="A68" s="33">
        <v>45050</v>
      </c>
      <c r="B68" s="36">
        <v>14675</v>
      </c>
      <c r="C68" s="7">
        <v>14685</v>
      </c>
      <c r="D68" s="7">
        <v>14685</v>
      </c>
      <c r="E68" s="7">
        <v>14560</v>
      </c>
      <c r="F68" s="7">
        <v>14590</v>
      </c>
      <c r="G68" s="34">
        <v>200</v>
      </c>
      <c r="H68" s="35">
        <v>-5</v>
      </c>
      <c r="I68" s="38">
        <f t="shared" si="0"/>
        <v>14680</v>
      </c>
    </row>
    <row r="69" spans="1:9" x14ac:dyDescent="0.2">
      <c r="A69" s="33">
        <v>45049</v>
      </c>
      <c r="B69" s="36">
        <v>14680</v>
      </c>
      <c r="C69" s="7">
        <v>14690</v>
      </c>
      <c r="D69" s="7">
        <v>14720</v>
      </c>
      <c r="E69" s="7">
        <v>14680</v>
      </c>
      <c r="F69" s="7">
        <v>14700</v>
      </c>
      <c r="G69" s="34">
        <v>141</v>
      </c>
      <c r="H69" s="35">
        <v>-20</v>
      </c>
      <c r="I69" s="38">
        <f t="shared" si="0"/>
        <v>14685</v>
      </c>
    </row>
    <row r="70" spans="1:9" x14ac:dyDescent="0.2">
      <c r="A70" s="33">
        <v>45048</v>
      </c>
      <c r="B70" s="36">
        <v>14700</v>
      </c>
      <c r="C70" s="7">
        <v>14709</v>
      </c>
      <c r="D70" s="7">
        <v>14710</v>
      </c>
      <c r="E70" s="7">
        <v>14620</v>
      </c>
      <c r="F70" s="7">
        <v>14620</v>
      </c>
      <c r="G70" s="34">
        <v>157</v>
      </c>
      <c r="H70" s="35">
        <v>35</v>
      </c>
      <c r="I70" s="38">
        <f t="shared" si="0"/>
        <v>14704.5</v>
      </c>
    </row>
    <row r="71" spans="1:9" x14ac:dyDescent="0.2">
      <c r="A71" s="33">
        <v>45047</v>
      </c>
      <c r="B71" s="36">
        <v>14665</v>
      </c>
      <c r="C71" s="7">
        <v>14675</v>
      </c>
      <c r="D71" s="7"/>
      <c r="E71" s="7"/>
      <c r="F71" s="7"/>
      <c r="G71" s="34"/>
      <c r="H71" s="35">
        <v>0</v>
      </c>
      <c r="I71" s="38">
        <f t="shared" si="0"/>
        <v>14670</v>
      </c>
    </row>
    <row r="72" spans="1:9" x14ac:dyDescent="0.2">
      <c r="A72" s="33">
        <v>45044</v>
      </c>
      <c r="B72" s="36">
        <v>14665</v>
      </c>
      <c r="C72" s="7">
        <v>14675</v>
      </c>
      <c r="D72" s="7">
        <v>14682</v>
      </c>
      <c r="E72" s="7">
        <v>14620</v>
      </c>
      <c r="F72" s="7">
        <v>14650</v>
      </c>
      <c r="G72" s="34">
        <v>166</v>
      </c>
      <c r="H72" s="35">
        <v>-35</v>
      </c>
      <c r="I72" s="38">
        <f t="shared" si="0"/>
        <v>14670</v>
      </c>
    </row>
    <row r="73" spans="1:9" x14ac:dyDescent="0.2">
      <c r="A73" s="33">
        <v>45043</v>
      </c>
      <c r="B73" s="36">
        <v>14700</v>
      </c>
      <c r="C73" s="7">
        <v>14705</v>
      </c>
      <c r="D73" s="7">
        <v>14825</v>
      </c>
      <c r="E73" s="7">
        <v>14685</v>
      </c>
      <c r="F73" s="7">
        <v>14820</v>
      </c>
      <c r="G73" s="34">
        <v>235</v>
      </c>
      <c r="H73" s="35">
        <v>-130</v>
      </c>
      <c r="I73" s="38">
        <f t="shared" si="0"/>
        <v>14702.5</v>
      </c>
    </row>
    <row r="74" spans="1:9" x14ac:dyDescent="0.2">
      <c r="A74" s="33">
        <v>45042</v>
      </c>
      <c r="B74" s="36">
        <v>14830</v>
      </c>
      <c r="C74" s="7">
        <v>14840</v>
      </c>
      <c r="D74" s="7">
        <v>14930</v>
      </c>
      <c r="E74" s="7">
        <v>14815</v>
      </c>
      <c r="F74" s="7">
        <v>14870</v>
      </c>
      <c r="G74" s="34">
        <v>191</v>
      </c>
      <c r="H74" s="35">
        <v>-10</v>
      </c>
      <c r="I74" s="38">
        <f t="shared" si="0"/>
        <v>14835</v>
      </c>
    </row>
    <row r="75" spans="1:9" x14ac:dyDescent="0.2">
      <c r="A75" s="33">
        <v>45041</v>
      </c>
      <c r="B75" s="36">
        <v>14840</v>
      </c>
      <c r="C75" s="7">
        <v>14850</v>
      </c>
      <c r="D75" s="7"/>
      <c r="E75" s="7"/>
      <c r="F75" s="7"/>
      <c r="G75" s="34"/>
      <c r="H75" s="35">
        <v>0</v>
      </c>
      <c r="I75" s="38">
        <f t="shared" si="0"/>
        <v>14845</v>
      </c>
    </row>
    <row r="76" spans="1:9" x14ac:dyDescent="0.2">
      <c r="A76" s="33">
        <v>45040</v>
      </c>
      <c r="B76" s="36">
        <v>14840</v>
      </c>
      <c r="C76" s="7">
        <v>14850</v>
      </c>
      <c r="D76" s="7"/>
      <c r="E76" s="7"/>
      <c r="F76" s="7"/>
      <c r="G76" s="34"/>
      <c r="H76" s="35">
        <v>0</v>
      </c>
      <c r="I76" s="38">
        <f t="shared" si="0"/>
        <v>14845</v>
      </c>
    </row>
    <row r="77" spans="1:9" x14ac:dyDescent="0.2">
      <c r="A77" s="33">
        <v>45037</v>
      </c>
      <c r="B77" s="36">
        <v>14840</v>
      </c>
      <c r="C77" s="7">
        <v>14850</v>
      </c>
      <c r="D77" s="7"/>
      <c r="E77" s="7"/>
      <c r="F77" s="7"/>
      <c r="G77" s="34"/>
      <c r="H77" s="35">
        <v>0</v>
      </c>
      <c r="I77" s="38">
        <f t="shared" si="0"/>
        <v>14845</v>
      </c>
    </row>
    <row r="78" spans="1:9" x14ac:dyDescent="0.2">
      <c r="A78" s="33">
        <v>45036</v>
      </c>
      <c r="B78" s="36">
        <v>14840</v>
      </c>
      <c r="C78" s="7">
        <v>14850</v>
      </c>
      <c r="D78" s="7"/>
      <c r="E78" s="7"/>
      <c r="F78" s="7"/>
      <c r="G78" s="34"/>
      <c r="H78" s="35">
        <v>0</v>
      </c>
      <c r="I78" s="38">
        <f t="shared" si="0"/>
        <v>14845</v>
      </c>
    </row>
    <row r="79" spans="1:9" x14ac:dyDescent="0.2">
      <c r="A79" s="33">
        <v>45035</v>
      </c>
      <c r="B79" s="36">
        <v>14840</v>
      </c>
      <c r="C79" s="7">
        <v>14850</v>
      </c>
      <c r="D79" s="7"/>
      <c r="E79" s="7"/>
      <c r="F79" s="7"/>
      <c r="G79" s="34"/>
      <c r="H79" s="35">
        <v>0</v>
      </c>
      <c r="I79" s="38">
        <f t="shared" si="0"/>
        <v>14845</v>
      </c>
    </row>
    <row r="80" spans="1:9" x14ac:dyDescent="0.2">
      <c r="A80" s="33">
        <v>45034</v>
      </c>
      <c r="B80" s="36">
        <v>14840</v>
      </c>
      <c r="C80" s="7">
        <v>14850</v>
      </c>
      <c r="D80" s="7">
        <v>14865</v>
      </c>
      <c r="E80" s="7">
        <v>14800</v>
      </c>
      <c r="F80" s="7">
        <v>14800</v>
      </c>
      <c r="G80" s="34">
        <v>134</v>
      </c>
      <c r="H80" s="35">
        <v>55</v>
      </c>
      <c r="I80" s="38">
        <f t="shared" si="0"/>
        <v>14845</v>
      </c>
    </row>
    <row r="81" spans="1:9" x14ac:dyDescent="0.2">
      <c r="A81" s="33">
        <v>45033</v>
      </c>
      <c r="B81" s="36">
        <v>14785</v>
      </c>
      <c r="C81" s="7">
        <v>14795</v>
      </c>
      <c r="D81" s="7">
        <v>14788</v>
      </c>
      <c r="E81" s="7">
        <v>14730</v>
      </c>
      <c r="F81" s="7">
        <v>14730</v>
      </c>
      <c r="G81" s="34">
        <v>160</v>
      </c>
      <c r="H81" s="35">
        <v>90</v>
      </c>
      <c r="I81" s="38">
        <f t="shared" si="0"/>
        <v>14790</v>
      </c>
    </row>
    <row r="82" spans="1:9" x14ac:dyDescent="0.2">
      <c r="A82" s="33">
        <v>45030</v>
      </c>
      <c r="B82" s="36">
        <v>14695</v>
      </c>
      <c r="C82" s="7">
        <v>14705</v>
      </c>
      <c r="D82" s="7">
        <v>14700</v>
      </c>
      <c r="E82" s="7">
        <v>14640</v>
      </c>
      <c r="F82" s="7">
        <v>14680</v>
      </c>
      <c r="G82" s="34">
        <v>161</v>
      </c>
      <c r="H82" s="35">
        <v>-55</v>
      </c>
      <c r="I82" s="38">
        <f t="shared" si="0"/>
        <v>14700</v>
      </c>
    </row>
    <row r="83" spans="1:9" x14ac:dyDescent="0.2">
      <c r="A83" s="33">
        <v>45029</v>
      </c>
      <c r="B83" s="36">
        <v>14750</v>
      </c>
      <c r="C83" s="7">
        <v>14752</v>
      </c>
      <c r="D83" s="7">
        <v>14835</v>
      </c>
      <c r="E83" s="7">
        <v>14740</v>
      </c>
      <c r="F83" s="7">
        <v>14820</v>
      </c>
      <c r="G83" s="34">
        <v>185</v>
      </c>
      <c r="H83" s="35">
        <v>-125</v>
      </c>
      <c r="I83" s="38">
        <f t="shared" si="0"/>
        <v>14751</v>
      </c>
    </row>
    <row r="84" spans="1:9" x14ac:dyDescent="0.2">
      <c r="A84" s="33">
        <v>45028</v>
      </c>
      <c r="B84" s="36">
        <v>14875</v>
      </c>
      <c r="C84" s="7">
        <v>14885</v>
      </c>
      <c r="D84" s="7">
        <v>14890</v>
      </c>
      <c r="E84" s="7">
        <v>14835</v>
      </c>
      <c r="F84" s="7">
        <v>14850</v>
      </c>
      <c r="G84" s="34">
        <v>198</v>
      </c>
      <c r="H84" s="35">
        <v>-6</v>
      </c>
      <c r="I84" s="38">
        <f t="shared" si="0"/>
        <v>14880</v>
      </c>
    </row>
    <row r="85" spans="1:9" x14ac:dyDescent="0.2">
      <c r="A85" s="33">
        <v>45027</v>
      </c>
      <c r="B85" s="36">
        <v>14881</v>
      </c>
      <c r="C85" s="7">
        <v>14885</v>
      </c>
      <c r="D85" s="7">
        <v>14920</v>
      </c>
      <c r="E85" s="7">
        <v>14865</v>
      </c>
      <c r="F85" s="7">
        <v>14920</v>
      </c>
      <c r="G85" s="34">
        <v>165</v>
      </c>
      <c r="H85" s="35">
        <v>-18</v>
      </c>
      <c r="I85" s="38">
        <f t="shared" si="0"/>
        <v>14883</v>
      </c>
    </row>
    <row r="86" spans="1:9" x14ac:dyDescent="0.2">
      <c r="A86" s="33">
        <v>45026</v>
      </c>
      <c r="B86" s="36">
        <v>14899</v>
      </c>
      <c r="C86" s="7">
        <v>14905</v>
      </c>
      <c r="D86" s="7">
        <v>14935</v>
      </c>
      <c r="E86" s="7">
        <v>14880</v>
      </c>
      <c r="F86" s="7">
        <v>14880</v>
      </c>
      <c r="G86" s="34">
        <v>169</v>
      </c>
      <c r="H86" s="35">
        <v>-11</v>
      </c>
      <c r="I86" s="38">
        <f t="shared" si="0"/>
        <v>14902</v>
      </c>
    </row>
    <row r="87" spans="1:9" x14ac:dyDescent="0.2">
      <c r="A87" s="33">
        <v>45023</v>
      </c>
      <c r="B87" s="36">
        <v>14910</v>
      </c>
      <c r="C87" s="7">
        <v>14915</v>
      </c>
      <c r="D87" s="7"/>
      <c r="E87" s="7"/>
      <c r="F87" s="7"/>
      <c r="G87" s="34"/>
      <c r="H87" s="35">
        <v>0</v>
      </c>
      <c r="I87" s="38">
        <f t="shared" si="0"/>
        <v>14912.5</v>
      </c>
    </row>
    <row r="88" spans="1:9" x14ac:dyDescent="0.2">
      <c r="A88" s="33">
        <v>45022</v>
      </c>
      <c r="B88" s="36">
        <v>14910</v>
      </c>
      <c r="C88" s="7">
        <v>14915</v>
      </c>
      <c r="D88" s="7">
        <v>14965</v>
      </c>
      <c r="E88" s="7">
        <v>14910</v>
      </c>
      <c r="F88" s="7">
        <v>14955</v>
      </c>
      <c r="G88" s="34">
        <v>166</v>
      </c>
      <c r="H88" s="35">
        <v>-10</v>
      </c>
      <c r="I88" s="38">
        <f t="shared" si="0"/>
        <v>14912.5</v>
      </c>
    </row>
    <row r="89" spans="1:9" x14ac:dyDescent="0.2">
      <c r="A89" s="33">
        <v>45021</v>
      </c>
      <c r="B89" s="36">
        <v>14920</v>
      </c>
      <c r="C89" s="7">
        <v>14930</v>
      </c>
      <c r="D89" s="7">
        <v>14950</v>
      </c>
      <c r="E89" s="7">
        <v>14895</v>
      </c>
      <c r="F89" s="7">
        <v>14900</v>
      </c>
      <c r="G89" s="34">
        <v>150</v>
      </c>
      <c r="H89" s="35">
        <v>25</v>
      </c>
      <c r="I89" s="38">
        <f t="shared" si="0"/>
        <v>14925</v>
      </c>
    </row>
    <row r="90" spans="1:9" x14ac:dyDescent="0.2">
      <c r="A90" s="33">
        <v>45020</v>
      </c>
      <c r="B90" s="36">
        <v>14895</v>
      </c>
      <c r="C90" s="7">
        <v>14902</v>
      </c>
      <c r="D90" s="7">
        <v>14945</v>
      </c>
      <c r="E90" s="7">
        <v>14875</v>
      </c>
      <c r="F90" s="7">
        <v>14945</v>
      </c>
      <c r="G90" s="34">
        <v>175</v>
      </c>
      <c r="H90" s="35">
        <v>-70</v>
      </c>
      <c r="I90" s="38">
        <f t="shared" si="0"/>
        <v>14898.5</v>
      </c>
    </row>
    <row r="91" spans="1:9" x14ac:dyDescent="0.2">
      <c r="A91" s="33">
        <v>45019</v>
      </c>
      <c r="B91" s="36">
        <v>14965</v>
      </c>
      <c r="C91" s="7">
        <v>14975</v>
      </c>
      <c r="D91" s="7">
        <v>15005</v>
      </c>
      <c r="E91" s="7">
        <v>14965</v>
      </c>
      <c r="F91" s="7">
        <v>14980</v>
      </c>
      <c r="G91" s="34">
        <v>148</v>
      </c>
      <c r="H91" s="35">
        <v>-25</v>
      </c>
      <c r="I91" s="38">
        <f t="shared" si="0"/>
        <v>14970</v>
      </c>
    </row>
    <row r="92" spans="1:9" x14ac:dyDescent="0.2">
      <c r="A92" s="33">
        <v>45016</v>
      </c>
      <c r="B92" s="36">
        <v>14990</v>
      </c>
      <c r="C92" s="7">
        <v>14999</v>
      </c>
      <c r="D92" s="7">
        <v>14990</v>
      </c>
      <c r="E92" s="7">
        <v>14945</v>
      </c>
      <c r="F92" s="7">
        <v>14960</v>
      </c>
      <c r="G92" s="34">
        <v>151</v>
      </c>
      <c r="H92" s="35">
        <v>-55</v>
      </c>
      <c r="I92" s="38">
        <f t="shared" si="0"/>
        <v>14994.5</v>
      </c>
    </row>
    <row r="93" spans="1:9" x14ac:dyDescent="0.2">
      <c r="A93" s="33">
        <v>45015</v>
      </c>
      <c r="B93" s="36">
        <v>15045</v>
      </c>
      <c r="C93" s="7">
        <v>15049</v>
      </c>
      <c r="D93" s="7">
        <v>15080</v>
      </c>
      <c r="E93" s="7">
        <v>15040</v>
      </c>
      <c r="F93" s="7">
        <v>15065</v>
      </c>
      <c r="G93" s="34">
        <v>128</v>
      </c>
      <c r="H93" s="35">
        <v>-15</v>
      </c>
      <c r="I93" s="38">
        <f t="shared" si="0"/>
        <v>15047</v>
      </c>
    </row>
    <row r="94" spans="1:9" x14ac:dyDescent="0.2">
      <c r="A94" s="33">
        <v>45014</v>
      </c>
      <c r="B94" s="36">
        <v>15060</v>
      </c>
      <c r="C94" s="7">
        <v>15070</v>
      </c>
      <c r="D94" s="7">
        <v>15105</v>
      </c>
      <c r="E94" s="7">
        <v>15055</v>
      </c>
      <c r="F94" s="7">
        <v>15065</v>
      </c>
      <c r="G94" s="34">
        <v>223</v>
      </c>
      <c r="H94" s="35">
        <v>-25</v>
      </c>
      <c r="I94" s="38">
        <f t="shared" si="0"/>
        <v>15065</v>
      </c>
    </row>
    <row r="95" spans="1:9" x14ac:dyDescent="0.2">
      <c r="A95" s="33">
        <v>45013</v>
      </c>
      <c r="B95" s="36">
        <v>15085</v>
      </c>
      <c r="C95" s="7">
        <v>15088</v>
      </c>
      <c r="D95" s="7">
        <v>15110</v>
      </c>
      <c r="E95" s="7">
        <v>15060</v>
      </c>
      <c r="F95" s="7">
        <v>15110</v>
      </c>
      <c r="G95" s="34">
        <v>193</v>
      </c>
      <c r="H95" s="35">
        <v>-70</v>
      </c>
      <c r="I95" s="38">
        <f t="shared" si="0"/>
        <v>15086.5</v>
      </c>
    </row>
    <row r="96" spans="1:9" x14ac:dyDescent="0.2">
      <c r="A96" s="33">
        <v>45012</v>
      </c>
      <c r="B96" s="36">
        <v>15155</v>
      </c>
      <c r="C96" s="7">
        <v>15165</v>
      </c>
      <c r="D96" s="7">
        <v>15185</v>
      </c>
      <c r="E96" s="7">
        <v>15150</v>
      </c>
      <c r="F96" s="7">
        <v>15180</v>
      </c>
      <c r="G96" s="34">
        <v>131</v>
      </c>
      <c r="H96" s="35">
        <v>5</v>
      </c>
      <c r="I96" s="38">
        <f t="shared" ref="I96:I159" si="1">+(B96+C96)*0.5</f>
        <v>15160</v>
      </c>
    </row>
    <row r="97" spans="1:9" x14ac:dyDescent="0.2">
      <c r="A97" s="33">
        <v>45009</v>
      </c>
      <c r="B97" s="36">
        <v>15150</v>
      </c>
      <c r="C97" s="7">
        <v>15160</v>
      </c>
      <c r="D97" s="7">
        <v>15205</v>
      </c>
      <c r="E97" s="7">
        <v>15130</v>
      </c>
      <c r="F97" s="7">
        <v>15140</v>
      </c>
      <c r="G97" s="34">
        <v>136</v>
      </c>
      <c r="H97" s="35">
        <v>-190</v>
      </c>
      <c r="I97" s="38">
        <f t="shared" si="1"/>
        <v>15155</v>
      </c>
    </row>
    <row r="98" spans="1:9" x14ac:dyDescent="0.2">
      <c r="A98" s="33">
        <v>45008</v>
      </c>
      <c r="B98" s="36">
        <v>15340</v>
      </c>
      <c r="C98" s="7">
        <v>15350</v>
      </c>
      <c r="D98" s="7"/>
      <c r="E98" s="7"/>
      <c r="F98" s="7"/>
      <c r="G98" s="34"/>
      <c r="H98" s="35">
        <v>0</v>
      </c>
      <c r="I98" s="38">
        <f t="shared" si="1"/>
        <v>15345</v>
      </c>
    </row>
    <row r="99" spans="1:9" x14ac:dyDescent="0.2">
      <c r="A99" s="33">
        <v>45007</v>
      </c>
      <c r="B99" s="36">
        <v>15340</v>
      </c>
      <c r="C99" s="7">
        <v>15350</v>
      </c>
      <c r="D99" s="7"/>
      <c r="E99" s="7"/>
      <c r="F99" s="7"/>
      <c r="G99" s="34"/>
      <c r="H99" s="35">
        <v>0</v>
      </c>
      <c r="I99" s="38">
        <f t="shared" si="1"/>
        <v>15345</v>
      </c>
    </row>
    <row r="100" spans="1:9" x14ac:dyDescent="0.2">
      <c r="A100" s="33">
        <v>45006</v>
      </c>
      <c r="B100" s="36">
        <v>15340</v>
      </c>
      <c r="C100" s="7">
        <v>15350</v>
      </c>
      <c r="D100" s="7">
        <v>15357</v>
      </c>
      <c r="E100" s="7">
        <v>15330</v>
      </c>
      <c r="F100" s="7">
        <v>15340</v>
      </c>
      <c r="G100" s="34">
        <v>138</v>
      </c>
      <c r="H100" s="35">
        <v>-15</v>
      </c>
      <c r="I100" s="38">
        <f t="shared" si="1"/>
        <v>15345</v>
      </c>
    </row>
    <row r="101" spans="1:9" x14ac:dyDescent="0.2">
      <c r="A101" s="33">
        <v>45005</v>
      </c>
      <c r="B101" s="36">
        <v>15355</v>
      </c>
      <c r="C101" s="7">
        <v>15365</v>
      </c>
      <c r="D101" s="7">
        <v>15375</v>
      </c>
      <c r="E101" s="7">
        <v>15350</v>
      </c>
      <c r="F101" s="7">
        <v>15350</v>
      </c>
      <c r="G101" s="34">
        <v>108</v>
      </c>
      <c r="H101" s="35">
        <v>15</v>
      </c>
      <c r="I101" s="38">
        <f t="shared" si="1"/>
        <v>15360</v>
      </c>
    </row>
    <row r="102" spans="1:9" x14ac:dyDescent="0.2">
      <c r="A102" s="33">
        <v>45002</v>
      </c>
      <c r="B102" s="36">
        <v>15340</v>
      </c>
      <c r="C102" s="7">
        <v>15350</v>
      </c>
      <c r="D102" s="7">
        <v>15385</v>
      </c>
      <c r="E102" s="7">
        <v>15340</v>
      </c>
      <c r="F102" s="7">
        <v>15375</v>
      </c>
      <c r="G102" s="34">
        <v>136</v>
      </c>
      <c r="H102" s="35">
        <v>-35</v>
      </c>
      <c r="I102" s="38">
        <f t="shared" si="1"/>
        <v>15345</v>
      </c>
    </row>
    <row r="103" spans="1:9" x14ac:dyDescent="0.2">
      <c r="A103" s="33">
        <v>45001</v>
      </c>
      <c r="B103" s="36">
        <v>15375</v>
      </c>
      <c r="C103" s="7">
        <v>15385</v>
      </c>
      <c r="D103" s="7">
        <v>15450</v>
      </c>
      <c r="E103" s="7">
        <v>15371</v>
      </c>
      <c r="F103" s="7">
        <v>15400</v>
      </c>
      <c r="G103" s="34">
        <v>151</v>
      </c>
      <c r="H103" s="35">
        <v>15</v>
      </c>
      <c r="I103" s="38">
        <f t="shared" si="1"/>
        <v>15380</v>
      </c>
    </row>
    <row r="104" spans="1:9" x14ac:dyDescent="0.2">
      <c r="A104" s="33">
        <v>45000</v>
      </c>
      <c r="B104" s="36">
        <v>15360</v>
      </c>
      <c r="C104" s="7">
        <v>15370</v>
      </c>
      <c r="D104" s="7">
        <v>15375</v>
      </c>
      <c r="E104" s="7">
        <v>15330</v>
      </c>
      <c r="F104" s="7">
        <v>15360</v>
      </c>
      <c r="G104" s="34">
        <v>168</v>
      </c>
      <c r="H104" s="35">
        <v>-20</v>
      </c>
      <c r="I104" s="38">
        <f t="shared" si="1"/>
        <v>15365</v>
      </c>
    </row>
    <row r="105" spans="1:9" x14ac:dyDescent="0.2">
      <c r="A105" s="33">
        <v>44999</v>
      </c>
      <c r="B105" s="36">
        <v>15380</v>
      </c>
      <c r="C105" s="7">
        <v>15390</v>
      </c>
      <c r="D105" s="7">
        <v>15400</v>
      </c>
      <c r="E105" s="7">
        <v>15357</v>
      </c>
      <c r="F105" s="7">
        <v>15370</v>
      </c>
      <c r="G105" s="34">
        <v>195</v>
      </c>
      <c r="H105" s="35">
        <v>20</v>
      </c>
      <c r="I105" s="38">
        <f t="shared" si="1"/>
        <v>15385</v>
      </c>
    </row>
    <row r="106" spans="1:9" x14ac:dyDescent="0.2">
      <c r="A106" s="33">
        <v>44998</v>
      </c>
      <c r="B106" s="36">
        <v>15360</v>
      </c>
      <c r="C106" s="7">
        <v>15370</v>
      </c>
      <c r="D106" s="7">
        <v>15445</v>
      </c>
      <c r="E106" s="7">
        <v>15355</v>
      </c>
      <c r="F106" s="7">
        <v>15430</v>
      </c>
      <c r="G106" s="34">
        <v>151</v>
      </c>
      <c r="H106" s="35">
        <v>-85</v>
      </c>
      <c r="I106" s="38">
        <f t="shared" si="1"/>
        <v>15365</v>
      </c>
    </row>
    <row r="107" spans="1:9" x14ac:dyDescent="0.2">
      <c r="A107" s="33">
        <v>44995</v>
      </c>
      <c r="B107" s="36">
        <v>15445</v>
      </c>
      <c r="C107" s="7">
        <v>15455</v>
      </c>
      <c r="D107" s="7">
        <v>15475</v>
      </c>
      <c r="E107" s="7">
        <v>15445</v>
      </c>
      <c r="F107" s="7">
        <v>15470</v>
      </c>
      <c r="G107" s="34">
        <v>113</v>
      </c>
      <c r="H107" s="35">
        <v>25</v>
      </c>
      <c r="I107" s="38">
        <f t="shared" si="1"/>
        <v>15450</v>
      </c>
    </row>
    <row r="108" spans="1:9" x14ac:dyDescent="0.2">
      <c r="A108" s="33">
        <v>44994</v>
      </c>
      <c r="B108" s="36">
        <v>15420</v>
      </c>
      <c r="C108" s="7">
        <v>15430</v>
      </c>
      <c r="D108" s="7">
        <v>15455</v>
      </c>
      <c r="E108" s="7">
        <v>15420</v>
      </c>
      <c r="F108" s="7">
        <v>15435</v>
      </c>
      <c r="G108" s="34">
        <v>177</v>
      </c>
      <c r="H108" s="35">
        <v>-10</v>
      </c>
      <c r="I108" s="38">
        <f t="shared" si="1"/>
        <v>15425</v>
      </c>
    </row>
    <row r="109" spans="1:9" x14ac:dyDescent="0.2">
      <c r="A109" s="33">
        <v>44993</v>
      </c>
      <c r="B109" s="36">
        <v>15430</v>
      </c>
      <c r="C109" s="7">
        <v>15440</v>
      </c>
      <c r="D109" s="7">
        <v>15465</v>
      </c>
      <c r="E109" s="7">
        <v>15340</v>
      </c>
      <c r="F109" s="7">
        <v>15400</v>
      </c>
      <c r="G109" s="34">
        <v>176</v>
      </c>
      <c r="H109" s="35">
        <v>85</v>
      </c>
      <c r="I109" s="38">
        <f t="shared" si="1"/>
        <v>15435</v>
      </c>
    </row>
    <row r="110" spans="1:9" x14ac:dyDescent="0.2">
      <c r="A110" s="33">
        <v>44992</v>
      </c>
      <c r="B110" s="36">
        <v>15345</v>
      </c>
      <c r="C110" s="7">
        <v>15355</v>
      </c>
      <c r="D110" s="7">
        <v>15365</v>
      </c>
      <c r="E110" s="7">
        <v>15310</v>
      </c>
      <c r="F110" s="7">
        <v>15340</v>
      </c>
      <c r="G110" s="34">
        <v>142</v>
      </c>
      <c r="H110" s="35">
        <v>55</v>
      </c>
      <c r="I110" s="38">
        <f t="shared" si="1"/>
        <v>15350</v>
      </c>
    </row>
    <row r="111" spans="1:9" x14ac:dyDescent="0.2">
      <c r="A111" s="33">
        <v>44991</v>
      </c>
      <c r="B111" s="36">
        <v>15290</v>
      </c>
      <c r="C111" s="7">
        <v>15300</v>
      </c>
      <c r="D111" s="7">
        <v>15315</v>
      </c>
      <c r="E111" s="7">
        <v>15280</v>
      </c>
      <c r="F111" s="7">
        <v>15310</v>
      </c>
      <c r="G111" s="34">
        <v>133</v>
      </c>
      <c r="H111" s="35">
        <v>-5</v>
      </c>
      <c r="I111" s="38">
        <f t="shared" si="1"/>
        <v>15295</v>
      </c>
    </row>
    <row r="112" spans="1:9" x14ac:dyDescent="0.2">
      <c r="A112" s="33">
        <v>44988</v>
      </c>
      <c r="B112" s="36">
        <v>15295</v>
      </c>
      <c r="C112" s="7">
        <v>15305</v>
      </c>
      <c r="D112" s="7">
        <v>15320</v>
      </c>
      <c r="E112" s="7">
        <v>15270</v>
      </c>
      <c r="F112" s="7">
        <v>15280</v>
      </c>
      <c r="G112" s="34">
        <v>120</v>
      </c>
      <c r="H112" s="35">
        <v>20</v>
      </c>
      <c r="I112" s="38">
        <f t="shared" si="1"/>
        <v>15300</v>
      </c>
    </row>
    <row r="113" spans="1:9" x14ac:dyDescent="0.2">
      <c r="A113" s="33">
        <v>44987</v>
      </c>
      <c r="B113" s="36">
        <v>15275</v>
      </c>
      <c r="C113" s="7">
        <v>15285</v>
      </c>
      <c r="D113" s="7">
        <v>15282</v>
      </c>
      <c r="E113" s="7">
        <v>15239</v>
      </c>
      <c r="F113" s="7">
        <v>15255</v>
      </c>
      <c r="G113" s="34">
        <v>139</v>
      </c>
      <c r="H113" s="35">
        <v>45</v>
      </c>
      <c r="I113" s="38">
        <f t="shared" si="1"/>
        <v>15280</v>
      </c>
    </row>
    <row r="114" spans="1:9" x14ac:dyDescent="0.2">
      <c r="A114" s="33">
        <v>44986</v>
      </c>
      <c r="B114" s="36">
        <v>15230</v>
      </c>
      <c r="C114" s="7">
        <v>15240</v>
      </c>
      <c r="D114" s="7">
        <v>15260</v>
      </c>
      <c r="E114" s="7">
        <v>15219</v>
      </c>
      <c r="F114" s="7">
        <v>15230</v>
      </c>
      <c r="G114" s="34">
        <v>164</v>
      </c>
      <c r="H114" s="35">
        <v>-15</v>
      </c>
      <c r="I114" s="38">
        <f t="shared" si="1"/>
        <v>15235</v>
      </c>
    </row>
    <row r="115" spans="1:9" x14ac:dyDescent="0.2">
      <c r="A115" s="33">
        <v>44985</v>
      </c>
      <c r="B115" s="36">
        <v>15245</v>
      </c>
      <c r="C115" s="7">
        <v>15255</v>
      </c>
      <c r="D115" s="7">
        <v>15250</v>
      </c>
      <c r="E115" s="7">
        <v>15220</v>
      </c>
      <c r="F115" s="7">
        <v>15220</v>
      </c>
      <c r="G115" s="34">
        <v>140</v>
      </c>
      <c r="H115" s="35">
        <v>-20</v>
      </c>
      <c r="I115" s="38">
        <f t="shared" si="1"/>
        <v>15250</v>
      </c>
    </row>
    <row r="116" spans="1:9" x14ac:dyDescent="0.2">
      <c r="A116" s="33">
        <v>44984</v>
      </c>
      <c r="B116" s="36">
        <v>15265</v>
      </c>
      <c r="C116" s="7">
        <v>15275</v>
      </c>
      <c r="D116" s="7">
        <v>15285</v>
      </c>
      <c r="E116" s="7">
        <v>15230</v>
      </c>
      <c r="F116" s="7">
        <v>15255</v>
      </c>
      <c r="G116" s="34">
        <v>145</v>
      </c>
      <c r="H116" s="35">
        <v>45</v>
      </c>
      <c r="I116" s="38">
        <f t="shared" si="1"/>
        <v>15270</v>
      </c>
    </row>
    <row r="117" spans="1:9" x14ac:dyDescent="0.2">
      <c r="A117" s="33">
        <v>44981</v>
      </c>
      <c r="B117" s="36">
        <v>15220</v>
      </c>
      <c r="C117" s="7">
        <v>15230</v>
      </c>
      <c r="D117" s="7">
        <v>15220</v>
      </c>
      <c r="E117" s="7">
        <v>15180</v>
      </c>
      <c r="F117" s="7">
        <v>15195</v>
      </c>
      <c r="G117" s="34">
        <v>141</v>
      </c>
      <c r="H117" s="35">
        <v>35</v>
      </c>
      <c r="I117" s="38">
        <f t="shared" si="1"/>
        <v>15225</v>
      </c>
    </row>
    <row r="118" spans="1:9" x14ac:dyDescent="0.2">
      <c r="A118" s="33">
        <v>44980</v>
      </c>
      <c r="B118" s="36">
        <v>15185</v>
      </c>
      <c r="C118" s="7">
        <v>15195</v>
      </c>
      <c r="D118" s="7">
        <v>15192</v>
      </c>
      <c r="E118" s="7">
        <v>15150</v>
      </c>
      <c r="F118" s="7">
        <v>15150</v>
      </c>
      <c r="G118" s="34">
        <v>173</v>
      </c>
      <c r="H118" s="35">
        <v>-15</v>
      </c>
      <c r="I118" s="38">
        <f t="shared" si="1"/>
        <v>15190</v>
      </c>
    </row>
    <row r="119" spans="1:9" x14ac:dyDescent="0.2">
      <c r="A119" s="33">
        <v>44979</v>
      </c>
      <c r="B119" s="36">
        <v>15200</v>
      </c>
      <c r="C119" s="7">
        <v>15203</v>
      </c>
      <c r="D119" s="7">
        <v>15228</v>
      </c>
      <c r="E119" s="7">
        <v>15200</v>
      </c>
      <c r="F119" s="7">
        <v>15200</v>
      </c>
      <c r="G119" s="34">
        <v>140</v>
      </c>
      <c r="H119" s="35">
        <v>15</v>
      </c>
      <c r="I119" s="38">
        <f t="shared" si="1"/>
        <v>15201.5</v>
      </c>
    </row>
    <row r="120" spans="1:9" x14ac:dyDescent="0.2">
      <c r="A120" s="33">
        <v>44978</v>
      </c>
      <c r="B120" s="36">
        <v>15185</v>
      </c>
      <c r="C120" s="7">
        <v>15195</v>
      </c>
      <c r="D120" s="7">
        <v>15190</v>
      </c>
      <c r="E120" s="7">
        <v>15150</v>
      </c>
      <c r="F120" s="7">
        <v>15150</v>
      </c>
      <c r="G120" s="34">
        <v>135</v>
      </c>
      <c r="H120" s="35">
        <v>30</v>
      </c>
      <c r="I120" s="38">
        <f t="shared" si="1"/>
        <v>15190</v>
      </c>
    </row>
    <row r="121" spans="1:9" x14ac:dyDescent="0.2">
      <c r="A121" s="33">
        <v>44977</v>
      </c>
      <c r="B121" s="36">
        <v>15155</v>
      </c>
      <c r="C121" s="7">
        <v>15160</v>
      </c>
      <c r="D121" s="7">
        <v>15190</v>
      </c>
      <c r="E121" s="7">
        <v>15150</v>
      </c>
      <c r="F121" s="7">
        <v>15185</v>
      </c>
      <c r="G121" s="34">
        <v>158</v>
      </c>
      <c r="H121" s="35">
        <v>-45</v>
      </c>
      <c r="I121" s="38">
        <f t="shared" si="1"/>
        <v>15157.5</v>
      </c>
    </row>
    <row r="122" spans="1:9" x14ac:dyDescent="0.2">
      <c r="A122" s="33">
        <v>44974</v>
      </c>
      <c r="B122" s="36">
        <v>15200</v>
      </c>
      <c r="C122" s="7">
        <v>15205</v>
      </c>
      <c r="D122" s="7">
        <v>15215</v>
      </c>
      <c r="E122" s="7">
        <v>15159</v>
      </c>
      <c r="F122" s="7">
        <v>15170</v>
      </c>
      <c r="G122" s="34">
        <v>172</v>
      </c>
      <c r="H122" s="35">
        <v>47</v>
      </c>
      <c r="I122" s="38">
        <f t="shared" si="1"/>
        <v>15202.5</v>
      </c>
    </row>
    <row r="123" spans="1:9" x14ac:dyDescent="0.2">
      <c r="A123" s="33">
        <v>44973</v>
      </c>
      <c r="B123" s="36">
        <v>15153</v>
      </c>
      <c r="C123" s="7">
        <v>15160</v>
      </c>
      <c r="D123" s="7">
        <v>15200</v>
      </c>
      <c r="E123" s="7">
        <v>15145</v>
      </c>
      <c r="F123" s="7">
        <v>15200</v>
      </c>
      <c r="G123" s="34">
        <v>163</v>
      </c>
      <c r="H123" s="35">
        <v>-47</v>
      </c>
      <c r="I123" s="38">
        <f t="shared" si="1"/>
        <v>15156.5</v>
      </c>
    </row>
    <row r="124" spans="1:9" x14ac:dyDescent="0.2">
      <c r="A124" s="33">
        <v>44972</v>
      </c>
      <c r="B124" s="36">
        <v>15200</v>
      </c>
      <c r="C124" s="7">
        <v>15208</v>
      </c>
      <c r="D124" s="7">
        <v>15205</v>
      </c>
      <c r="E124" s="7">
        <v>15139</v>
      </c>
      <c r="F124" s="7">
        <v>15160</v>
      </c>
      <c r="G124" s="34">
        <v>133</v>
      </c>
      <c r="H124" s="35">
        <v>45</v>
      </c>
      <c r="I124" s="38">
        <f t="shared" si="1"/>
        <v>15204</v>
      </c>
    </row>
    <row r="125" spans="1:9" x14ac:dyDescent="0.2">
      <c r="A125" s="33">
        <v>44971</v>
      </c>
      <c r="B125" s="36">
        <v>15155</v>
      </c>
      <c r="C125" s="7">
        <v>15164</v>
      </c>
      <c r="D125" s="7">
        <v>15195</v>
      </c>
      <c r="E125" s="7">
        <v>15145</v>
      </c>
      <c r="F125" s="7">
        <v>15150</v>
      </c>
      <c r="G125" s="34">
        <v>175</v>
      </c>
      <c r="H125" s="35">
        <v>-35</v>
      </c>
      <c r="I125" s="38">
        <f t="shared" si="1"/>
        <v>15159.5</v>
      </c>
    </row>
    <row r="126" spans="1:9" x14ac:dyDescent="0.2">
      <c r="A126" s="33">
        <v>44970</v>
      </c>
      <c r="B126" s="36">
        <v>15190</v>
      </c>
      <c r="C126" s="7">
        <v>15200</v>
      </c>
      <c r="D126" s="7">
        <v>15225</v>
      </c>
      <c r="E126" s="7">
        <v>15160</v>
      </c>
      <c r="F126" s="7">
        <v>15160</v>
      </c>
      <c r="G126" s="34">
        <v>141</v>
      </c>
      <c r="H126" s="35">
        <v>60</v>
      </c>
      <c r="I126" s="38">
        <f t="shared" si="1"/>
        <v>15195</v>
      </c>
    </row>
    <row r="127" spans="1:9" x14ac:dyDescent="0.2">
      <c r="A127" s="33">
        <v>44967</v>
      </c>
      <c r="B127" s="36">
        <v>15130</v>
      </c>
      <c r="C127" s="7">
        <v>15137</v>
      </c>
      <c r="D127" s="7">
        <v>15145</v>
      </c>
      <c r="E127" s="7">
        <v>15100</v>
      </c>
      <c r="F127" s="7">
        <v>15100</v>
      </c>
      <c r="G127" s="34">
        <v>156</v>
      </c>
      <c r="H127" s="35">
        <v>40</v>
      </c>
      <c r="I127" s="38">
        <f t="shared" si="1"/>
        <v>15133.5</v>
      </c>
    </row>
    <row r="128" spans="1:9" x14ac:dyDescent="0.2">
      <c r="A128" s="33">
        <v>44966</v>
      </c>
      <c r="B128" s="36">
        <v>15090</v>
      </c>
      <c r="C128" s="7">
        <v>15099</v>
      </c>
      <c r="D128" s="7">
        <v>15125</v>
      </c>
      <c r="E128" s="7">
        <v>15090</v>
      </c>
      <c r="F128" s="7">
        <v>15110</v>
      </c>
      <c r="G128" s="34">
        <v>199</v>
      </c>
      <c r="H128" s="35">
        <v>-5</v>
      </c>
      <c r="I128" s="38">
        <f t="shared" si="1"/>
        <v>15094.5</v>
      </c>
    </row>
    <row r="129" spans="1:9" x14ac:dyDescent="0.2">
      <c r="A129" s="33">
        <v>44965</v>
      </c>
      <c r="B129" s="36">
        <v>15095</v>
      </c>
      <c r="C129" s="7">
        <v>15105</v>
      </c>
      <c r="D129" s="7">
        <v>15145</v>
      </c>
      <c r="E129" s="7">
        <v>15094</v>
      </c>
      <c r="F129" s="7">
        <v>15130</v>
      </c>
      <c r="G129" s="34">
        <v>182</v>
      </c>
      <c r="H129" s="35">
        <v>-45</v>
      </c>
      <c r="I129" s="38">
        <f t="shared" si="1"/>
        <v>15100</v>
      </c>
    </row>
    <row r="130" spans="1:9" x14ac:dyDescent="0.2">
      <c r="A130" s="33">
        <v>44964</v>
      </c>
      <c r="B130" s="36">
        <v>15140</v>
      </c>
      <c r="C130" s="7">
        <v>15150</v>
      </c>
      <c r="D130" s="7">
        <v>15146</v>
      </c>
      <c r="E130" s="7">
        <v>15115</v>
      </c>
      <c r="F130" s="7">
        <v>15135</v>
      </c>
      <c r="G130" s="34">
        <v>134</v>
      </c>
      <c r="H130" s="35">
        <v>90</v>
      </c>
      <c r="I130" s="38">
        <f t="shared" si="1"/>
        <v>15145</v>
      </c>
    </row>
    <row r="131" spans="1:9" x14ac:dyDescent="0.2">
      <c r="A131" s="33">
        <v>44963</v>
      </c>
      <c r="B131" s="36">
        <v>15050</v>
      </c>
      <c r="C131" s="7">
        <v>15060</v>
      </c>
      <c r="D131" s="7">
        <v>15060</v>
      </c>
      <c r="E131" s="7">
        <v>15000</v>
      </c>
      <c r="F131" s="7">
        <v>15000</v>
      </c>
      <c r="G131" s="34">
        <v>162</v>
      </c>
      <c r="H131" s="35">
        <v>160</v>
      </c>
      <c r="I131" s="38">
        <f t="shared" si="1"/>
        <v>15055</v>
      </c>
    </row>
    <row r="132" spans="1:9" x14ac:dyDescent="0.2">
      <c r="A132" s="33">
        <v>44960</v>
      </c>
      <c r="B132" s="36">
        <v>14890</v>
      </c>
      <c r="C132" s="7">
        <v>14895</v>
      </c>
      <c r="D132" s="7">
        <v>14920</v>
      </c>
      <c r="E132" s="7">
        <v>14870</v>
      </c>
      <c r="F132" s="7">
        <v>14900</v>
      </c>
      <c r="G132" s="34">
        <v>156</v>
      </c>
      <c r="H132" s="35">
        <v>15</v>
      </c>
      <c r="I132" s="38">
        <f t="shared" si="1"/>
        <v>14892.5</v>
      </c>
    </row>
    <row r="133" spans="1:9" x14ac:dyDescent="0.2">
      <c r="A133" s="33">
        <v>44959</v>
      </c>
      <c r="B133" s="36">
        <v>14875</v>
      </c>
      <c r="C133" s="7">
        <v>14885</v>
      </c>
      <c r="D133" s="7">
        <v>14875</v>
      </c>
      <c r="E133" s="7">
        <v>14830</v>
      </c>
      <c r="F133" s="7">
        <v>14850</v>
      </c>
      <c r="G133" s="34">
        <v>120</v>
      </c>
      <c r="H133" s="35">
        <v>-95</v>
      </c>
      <c r="I133" s="38">
        <f t="shared" si="1"/>
        <v>14880</v>
      </c>
    </row>
    <row r="134" spans="1:9" x14ac:dyDescent="0.2">
      <c r="A134" s="33">
        <v>44958</v>
      </c>
      <c r="B134" s="36">
        <v>14970</v>
      </c>
      <c r="C134" s="7">
        <v>14980</v>
      </c>
      <c r="D134" s="7">
        <v>15005</v>
      </c>
      <c r="E134" s="7">
        <v>14955</v>
      </c>
      <c r="F134" s="7">
        <v>14990</v>
      </c>
      <c r="G134" s="34">
        <v>226</v>
      </c>
      <c r="H134" s="35">
        <v>-15</v>
      </c>
      <c r="I134" s="38">
        <f t="shared" si="1"/>
        <v>14975</v>
      </c>
    </row>
    <row r="135" spans="1:9" x14ac:dyDescent="0.2">
      <c r="A135" s="33">
        <v>44957</v>
      </c>
      <c r="B135" s="36">
        <v>14985</v>
      </c>
      <c r="C135" s="7">
        <v>14995</v>
      </c>
      <c r="D135" s="7">
        <v>15000</v>
      </c>
      <c r="E135" s="7">
        <v>14960</v>
      </c>
      <c r="F135" s="7">
        <v>14990</v>
      </c>
      <c r="G135" s="34">
        <v>203</v>
      </c>
      <c r="H135" s="35">
        <v>20</v>
      </c>
      <c r="I135" s="38">
        <f t="shared" si="1"/>
        <v>14990</v>
      </c>
    </row>
    <row r="136" spans="1:9" x14ac:dyDescent="0.2">
      <c r="A136" s="33">
        <v>44956</v>
      </c>
      <c r="B136" s="36">
        <v>14965</v>
      </c>
      <c r="C136" s="7">
        <v>14975</v>
      </c>
      <c r="D136" s="7">
        <v>14983</v>
      </c>
      <c r="E136" s="7">
        <v>14934</v>
      </c>
      <c r="F136" s="7">
        <v>14960</v>
      </c>
      <c r="G136" s="34">
        <v>169</v>
      </c>
      <c r="H136" s="35">
        <v>-15</v>
      </c>
      <c r="I136" s="38">
        <f t="shared" si="1"/>
        <v>14970</v>
      </c>
    </row>
    <row r="137" spans="1:9" x14ac:dyDescent="0.2">
      <c r="A137" s="33">
        <v>44953</v>
      </c>
      <c r="B137" s="36">
        <v>14980</v>
      </c>
      <c r="C137" s="7">
        <v>14990</v>
      </c>
      <c r="D137" s="7">
        <v>14995</v>
      </c>
      <c r="E137" s="7">
        <v>14940</v>
      </c>
      <c r="F137" s="7">
        <v>14965</v>
      </c>
      <c r="G137" s="34">
        <v>129</v>
      </c>
      <c r="H137" s="35">
        <v>35</v>
      </c>
      <c r="I137" s="38">
        <f t="shared" si="1"/>
        <v>14985</v>
      </c>
    </row>
    <row r="138" spans="1:9" x14ac:dyDescent="0.2">
      <c r="A138" s="33">
        <v>44952</v>
      </c>
      <c r="B138" s="36">
        <v>14945</v>
      </c>
      <c r="C138" s="7">
        <v>14950</v>
      </c>
      <c r="D138" s="7">
        <v>14985</v>
      </c>
      <c r="E138" s="7">
        <v>14900</v>
      </c>
      <c r="F138" s="7">
        <v>14940</v>
      </c>
      <c r="G138" s="34">
        <v>161</v>
      </c>
      <c r="H138" s="35">
        <v>-15</v>
      </c>
      <c r="I138" s="38">
        <f t="shared" si="1"/>
        <v>14947.5</v>
      </c>
    </row>
    <row r="139" spans="1:9" x14ac:dyDescent="0.2">
      <c r="A139" s="33">
        <v>44951</v>
      </c>
      <c r="B139" s="36">
        <v>14960</v>
      </c>
      <c r="C139" s="7">
        <v>14970</v>
      </c>
      <c r="D139" s="7">
        <v>14970</v>
      </c>
      <c r="E139" s="7">
        <v>14900</v>
      </c>
      <c r="F139" s="7">
        <v>14900</v>
      </c>
      <c r="G139" s="34">
        <v>164</v>
      </c>
      <c r="H139" s="35">
        <v>75</v>
      </c>
      <c r="I139" s="38">
        <f t="shared" si="1"/>
        <v>14965</v>
      </c>
    </row>
    <row r="140" spans="1:9" x14ac:dyDescent="0.2">
      <c r="A140" s="33">
        <v>44950</v>
      </c>
      <c r="B140" s="36">
        <v>14885</v>
      </c>
      <c r="C140" s="7">
        <v>14890</v>
      </c>
      <c r="D140" s="7">
        <v>15020</v>
      </c>
      <c r="E140" s="7">
        <v>14880</v>
      </c>
      <c r="F140" s="7">
        <v>15020</v>
      </c>
      <c r="G140" s="34">
        <v>166</v>
      </c>
      <c r="H140" s="35">
        <v>-185</v>
      </c>
      <c r="I140" s="38">
        <f t="shared" si="1"/>
        <v>14887.5</v>
      </c>
    </row>
    <row r="141" spans="1:9" x14ac:dyDescent="0.2">
      <c r="A141" s="33">
        <v>44949</v>
      </c>
      <c r="B141" s="36">
        <v>15070</v>
      </c>
      <c r="C141" s="7">
        <v>15080</v>
      </c>
      <c r="D141" s="7"/>
      <c r="E141" s="7"/>
      <c r="F141" s="7"/>
      <c r="G141" s="34"/>
      <c r="H141" s="35">
        <v>0</v>
      </c>
      <c r="I141" s="38">
        <f t="shared" si="1"/>
        <v>15075</v>
      </c>
    </row>
    <row r="142" spans="1:9" x14ac:dyDescent="0.2">
      <c r="A142" s="33">
        <v>44946</v>
      </c>
      <c r="B142" s="36">
        <v>15070</v>
      </c>
      <c r="C142" s="7">
        <v>15080</v>
      </c>
      <c r="D142" s="7">
        <v>15150</v>
      </c>
      <c r="E142" s="7">
        <v>15070</v>
      </c>
      <c r="F142" s="7">
        <v>15100</v>
      </c>
      <c r="G142" s="34">
        <v>202</v>
      </c>
      <c r="H142" s="35">
        <v>-30</v>
      </c>
      <c r="I142" s="38">
        <f t="shared" si="1"/>
        <v>15075</v>
      </c>
    </row>
    <row r="143" spans="1:9" x14ac:dyDescent="0.2">
      <c r="A143" s="33">
        <v>44945</v>
      </c>
      <c r="B143" s="36">
        <v>15100</v>
      </c>
      <c r="C143" s="7">
        <v>15108</v>
      </c>
      <c r="D143" s="7">
        <v>15140</v>
      </c>
      <c r="E143" s="7">
        <v>15085</v>
      </c>
      <c r="F143" s="7">
        <v>15120</v>
      </c>
      <c r="G143" s="34">
        <v>160</v>
      </c>
      <c r="H143" s="35">
        <v>15</v>
      </c>
      <c r="I143" s="38">
        <f t="shared" si="1"/>
        <v>15104</v>
      </c>
    </row>
    <row r="144" spans="1:9" x14ac:dyDescent="0.2">
      <c r="A144" s="33">
        <v>44944</v>
      </c>
      <c r="B144" s="36">
        <v>15085</v>
      </c>
      <c r="C144" s="7">
        <v>15090</v>
      </c>
      <c r="D144" s="7">
        <v>15190</v>
      </c>
      <c r="E144" s="7">
        <v>15060</v>
      </c>
      <c r="F144" s="7">
        <v>15175</v>
      </c>
      <c r="G144" s="34">
        <v>197</v>
      </c>
      <c r="H144" s="35">
        <v>-75</v>
      </c>
      <c r="I144" s="38">
        <f t="shared" si="1"/>
        <v>15087.5</v>
      </c>
    </row>
    <row r="145" spans="1:9" x14ac:dyDescent="0.2">
      <c r="A145" s="33">
        <v>44943</v>
      </c>
      <c r="B145" s="36">
        <v>15160</v>
      </c>
      <c r="C145" s="7">
        <v>15170</v>
      </c>
      <c r="D145" s="7">
        <v>15175</v>
      </c>
      <c r="E145" s="7">
        <v>15015</v>
      </c>
      <c r="F145" s="7">
        <v>15100</v>
      </c>
      <c r="G145" s="34">
        <v>188</v>
      </c>
      <c r="H145" s="35">
        <v>120</v>
      </c>
      <c r="I145" s="38">
        <f t="shared" si="1"/>
        <v>15165</v>
      </c>
    </row>
    <row r="146" spans="1:9" x14ac:dyDescent="0.2">
      <c r="A146" s="33">
        <v>44942</v>
      </c>
      <c r="B146" s="36">
        <v>15040</v>
      </c>
      <c r="C146" s="7">
        <v>15050</v>
      </c>
      <c r="D146" s="7">
        <v>15075</v>
      </c>
      <c r="E146" s="7">
        <v>14975</v>
      </c>
      <c r="F146" s="7">
        <v>15075</v>
      </c>
      <c r="G146" s="34">
        <v>149</v>
      </c>
      <c r="H146" s="35">
        <v>-100</v>
      </c>
      <c r="I146" s="38">
        <f t="shared" si="1"/>
        <v>15045</v>
      </c>
    </row>
    <row r="147" spans="1:9" x14ac:dyDescent="0.2">
      <c r="A147" s="33">
        <v>44939</v>
      </c>
      <c r="B147" s="36">
        <v>15140</v>
      </c>
      <c r="C147" s="7">
        <v>15150</v>
      </c>
      <c r="D147" s="7">
        <v>15225</v>
      </c>
      <c r="E147" s="7">
        <v>15130</v>
      </c>
      <c r="F147" s="7">
        <v>15200</v>
      </c>
      <c r="G147" s="34">
        <v>161</v>
      </c>
      <c r="H147" s="35">
        <v>-196</v>
      </c>
      <c r="I147" s="38">
        <f t="shared" si="1"/>
        <v>15145</v>
      </c>
    </row>
    <row r="148" spans="1:9" x14ac:dyDescent="0.2">
      <c r="A148" s="33">
        <v>44938</v>
      </c>
      <c r="B148" s="36">
        <v>15336</v>
      </c>
      <c r="C148" s="7">
        <v>15339</v>
      </c>
      <c r="D148" s="7">
        <v>15450</v>
      </c>
      <c r="E148" s="7">
        <v>15285</v>
      </c>
      <c r="F148" s="7">
        <v>15450</v>
      </c>
      <c r="G148" s="34">
        <v>184</v>
      </c>
      <c r="H148" s="35">
        <v>-144</v>
      </c>
      <c r="I148" s="38">
        <f t="shared" si="1"/>
        <v>15337.5</v>
      </c>
    </row>
    <row r="149" spans="1:9" x14ac:dyDescent="0.2">
      <c r="A149" s="33">
        <v>44937</v>
      </c>
      <c r="B149" s="36">
        <v>15480</v>
      </c>
      <c r="C149" s="7">
        <v>15485</v>
      </c>
      <c r="D149" s="7">
        <v>15570</v>
      </c>
      <c r="E149" s="7">
        <v>15465</v>
      </c>
      <c r="F149" s="7">
        <v>15550</v>
      </c>
      <c r="G149" s="34">
        <v>264</v>
      </c>
      <c r="H149" s="35">
        <v>-90</v>
      </c>
      <c r="I149" s="38">
        <f t="shared" si="1"/>
        <v>15482.5</v>
      </c>
    </row>
    <row r="150" spans="1:9" x14ac:dyDescent="0.2">
      <c r="A150" s="33">
        <v>44936</v>
      </c>
      <c r="B150" s="36">
        <v>15570</v>
      </c>
      <c r="C150" s="7">
        <v>15575</v>
      </c>
      <c r="D150" s="7">
        <v>15597</v>
      </c>
      <c r="E150" s="7">
        <v>15520</v>
      </c>
      <c r="F150" s="7">
        <v>15560</v>
      </c>
      <c r="G150" s="34">
        <v>146</v>
      </c>
      <c r="H150" s="35">
        <v>5</v>
      </c>
      <c r="I150" s="38">
        <f t="shared" si="1"/>
        <v>15572.5</v>
      </c>
    </row>
    <row r="151" spans="1:9" x14ac:dyDescent="0.2">
      <c r="A151" s="33">
        <v>44935</v>
      </c>
      <c r="B151" s="36">
        <v>15565</v>
      </c>
      <c r="C151" s="7">
        <v>15570</v>
      </c>
      <c r="D151" s="7">
        <v>15580</v>
      </c>
      <c r="E151" s="7">
        <v>15546</v>
      </c>
      <c r="F151" s="7">
        <v>15560</v>
      </c>
      <c r="G151" s="34">
        <v>163</v>
      </c>
      <c r="H151" s="35">
        <v>-65</v>
      </c>
      <c r="I151" s="38">
        <f t="shared" si="1"/>
        <v>15567.5</v>
      </c>
    </row>
    <row r="152" spans="1:9" x14ac:dyDescent="0.2">
      <c r="A152" s="33">
        <v>44932</v>
      </c>
      <c r="B152" s="36">
        <v>15630</v>
      </c>
      <c r="C152" s="7">
        <v>15635</v>
      </c>
      <c r="D152" s="7">
        <v>15636</v>
      </c>
      <c r="E152" s="7">
        <v>15580</v>
      </c>
      <c r="F152" s="7">
        <v>15620</v>
      </c>
      <c r="G152" s="34">
        <v>161</v>
      </c>
      <c r="H152" s="35">
        <v>25</v>
      </c>
      <c r="I152" s="38">
        <f t="shared" si="1"/>
        <v>15632.5</v>
      </c>
    </row>
    <row r="153" spans="1:9" x14ac:dyDescent="0.2">
      <c r="A153" s="33">
        <v>44931</v>
      </c>
      <c r="B153" s="36">
        <v>15605</v>
      </c>
      <c r="C153" s="7">
        <v>15610</v>
      </c>
      <c r="D153" s="7">
        <v>15620</v>
      </c>
      <c r="E153" s="7">
        <v>15540</v>
      </c>
      <c r="F153" s="7">
        <v>15570</v>
      </c>
      <c r="G153" s="34">
        <v>177</v>
      </c>
      <c r="H153" s="35">
        <v>20</v>
      </c>
      <c r="I153" s="38">
        <f t="shared" si="1"/>
        <v>15607.5</v>
      </c>
    </row>
    <row r="154" spans="1:9" x14ac:dyDescent="0.2">
      <c r="A154" s="33">
        <v>44930</v>
      </c>
      <c r="B154" s="36">
        <v>15585</v>
      </c>
      <c r="C154" s="7">
        <v>15590</v>
      </c>
      <c r="D154" s="7">
        <v>15631</v>
      </c>
      <c r="E154" s="7">
        <v>15570</v>
      </c>
      <c r="F154" s="7">
        <v>15600</v>
      </c>
      <c r="G154" s="34">
        <v>185</v>
      </c>
      <c r="H154" s="35">
        <v>-10</v>
      </c>
      <c r="I154" s="38">
        <f t="shared" si="1"/>
        <v>15587.5</v>
      </c>
    </row>
    <row r="155" spans="1:9" x14ac:dyDescent="0.2">
      <c r="A155" s="33">
        <v>44929</v>
      </c>
      <c r="B155" s="36">
        <v>15595</v>
      </c>
      <c r="C155" s="7">
        <v>15600</v>
      </c>
      <c r="D155" s="7">
        <v>15610</v>
      </c>
      <c r="E155" s="7">
        <v>15540</v>
      </c>
      <c r="F155" s="7">
        <v>15590</v>
      </c>
      <c r="G155" s="34">
        <v>165</v>
      </c>
      <c r="H155" s="35">
        <v>25</v>
      </c>
      <c r="I155" s="38">
        <f t="shared" si="1"/>
        <v>15597.5</v>
      </c>
    </row>
    <row r="156" spans="1:9" x14ac:dyDescent="0.2">
      <c r="A156" s="33">
        <v>44928</v>
      </c>
      <c r="B156" s="36">
        <v>15570</v>
      </c>
      <c r="C156" s="7">
        <v>15575</v>
      </c>
      <c r="D156" s="7">
        <v>15582</v>
      </c>
      <c r="E156" s="7">
        <v>15480</v>
      </c>
      <c r="F156" s="7">
        <v>15480</v>
      </c>
      <c r="G156" s="34">
        <v>121</v>
      </c>
      <c r="H156" s="35">
        <v>5</v>
      </c>
      <c r="I156" s="38">
        <f t="shared" si="1"/>
        <v>15572.5</v>
      </c>
    </row>
    <row r="157" spans="1:9" x14ac:dyDescent="0.2">
      <c r="A157" s="33">
        <v>44925</v>
      </c>
      <c r="B157" s="36">
        <v>15565</v>
      </c>
      <c r="C157" s="7">
        <v>15570</v>
      </c>
      <c r="D157" s="7">
        <v>15640</v>
      </c>
      <c r="E157" s="7">
        <v>15540</v>
      </c>
      <c r="F157" s="7">
        <v>15635</v>
      </c>
      <c r="G157" s="34">
        <v>140</v>
      </c>
      <c r="H157" s="35">
        <v>-90</v>
      </c>
      <c r="I157" s="38">
        <f t="shared" si="1"/>
        <v>15567.5</v>
      </c>
    </row>
    <row r="158" spans="1:9" x14ac:dyDescent="0.2">
      <c r="A158" s="33">
        <v>44924</v>
      </c>
      <c r="B158" s="36">
        <v>15655</v>
      </c>
      <c r="C158" s="7">
        <v>15660</v>
      </c>
      <c r="D158" s="7">
        <v>15760</v>
      </c>
      <c r="E158" s="7">
        <v>15655</v>
      </c>
      <c r="F158" s="7">
        <v>15740</v>
      </c>
      <c r="G158" s="34">
        <v>142</v>
      </c>
      <c r="H158" s="35">
        <v>-45</v>
      </c>
      <c r="I158" s="38">
        <f t="shared" si="1"/>
        <v>15657.5</v>
      </c>
    </row>
    <row r="159" spans="1:9" x14ac:dyDescent="0.2">
      <c r="A159" s="33">
        <v>44923</v>
      </c>
      <c r="B159" s="36">
        <v>15700</v>
      </c>
      <c r="C159" s="7">
        <v>15705</v>
      </c>
      <c r="D159" s="7">
        <v>15720</v>
      </c>
      <c r="E159" s="7">
        <v>15655</v>
      </c>
      <c r="F159" s="7">
        <v>15655</v>
      </c>
      <c r="G159" s="34">
        <v>91</v>
      </c>
      <c r="H159" s="35">
        <v>40</v>
      </c>
      <c r="I159" s="38">
        <f t="shared" si="1"/>
        <v>15702.5</v>
      </c>
    </row>
    <row r="160" spans="1:9" x14ac:dyDescent="0.2">
      <c r="A160" s="33">
        <v>44922</v>
      </c>
      <c r="B160" s="36">
        <v>15660</v>
      </c>
      <c r="C160" s="7">
        <v>15665</v>
      </c>
      <c r="D160" s="7">
        <v>15670</v>
      </c>
      <c r="E160" s="7">
        <v>15560</v>
      </c>
      <c r="F160" s="7">
        <v>15620</v>
      </c>
      <c r="G160" s="34">
        <v>78</v>
      </c>
      <c r="H160" s="35">
        <v>30</v>
      </c>
      <c r="I160" s="38">
        <f t="shared" ref="I160:I223" si="2">+(B160+C160)*0.5</f>
        <v>15662.5</v>
      </c>
    </row>
    <row r="161" spans="1:9" x14ac:dyDescent="0.2">
      <c r="A161" s="33">
        <v>44921</v>
      </c>
      <c r="B161" s="36">
        <v>15630</v>
      </c>
      <c r="C161" s="7">
        <v>15635</v>
      </c>
      <c r="D161" s="7">
        <v>15645</v>
      </c>
      <c r="E161" s="7">
        <v>15590</v>
      </c>
      <c r="F161" s="7">
        <v>15590</v>
      </c>
      <c r="G161" s="34">
        <v>110</v>
      </c>
      <c r="H161" s="35">
        <v>40</v>
      </c>
      <c r="I161" s="38">
        <f t="shared" si="2"/>
        <v>15632.5</v>
      </c>
    </row>
    <row r="162" spans="1:9" x14ac:dyDescent="0.2">
      <c r="A162" s="33">
        <v>44918</v>
      </c>
      <c r="B162" s="36">
        <v>15590</v>
      </c>
      <c r="C162" s="7">
        <v>15595</v>
      </c>
      <c r="D162" s="7">
        <v>15610</v>
      </c>
      <c r="E162" s="7">
        <v>15580</v>
      </c>
      <c r="F162" s="7">
        <v>15580</v>
      </c>
      <c r="G162" s="34">
        <v>71</v>
      </c>
      <c r="H162" s="35">
        <v>10</v>
      </c>
      <c r="I162" s="38">
        <f t="shared" si="2"/>
        <v>15592.5</v>
      </c>
    </row>
    <row r="163" spans="1:9" x14ac:dyDescent="0.2">
      <c r="A163" s="33">
        <v>44917</v>
      </c>
      <c r="B163" s="36">
        <v>15580</v>
      </c>
      <c r="C163" s="7">
        <v>15585</v>
      </c>
      <c r="D163" s="7">
        <v>15605</v>
      </c>
      <c r="E163" s="7">
        <v>15560</v>
      </c>
      <c r="F163" s="7">
        <v>15565</v>
      </c>
      <c r="G163" s="34">
        <v>109</v>
      </c>
      <c r="H163" s="35">
        <v>-5</v>
      </c>
      <c r="I163" s="38">
        <f t="shared" si="2"/>
        <v>15582.5</v>
      </c>
    </row>
    <row r="164" spans="1:9" x14ac:dyDescent="0.2">
      <c r="A164" s="33">
        <v>44916</v>
      </c>
      <c r="B164" s="36">
        <v>15585</v>
      </c>
      <c r="C164" s="7">
        <v>15590</v>
      </c>
      <c r="D164" s="7">
        <v>15610</v>
      </c>
      <c r="E164" s="7">
        <v>15577</v>
      </c>
      <c r="F164" s="7">
        <v>15590</v>
      </c>
      <c r="G164" s="34">
        <v>91</v>
      </c>
      <c r="H164" s="35">
        <v>-15</v>
      </c>
      <c r="I164" s="38">
        <f t="shared" si="2"/>
        <v>15587.5</v>
      </c>
    </row>
    <row r="165" spans="1:9" x14ac:dyDescent="0.2">
      <c r="A165" s="33">
        <v>44915</v>
      </c>
      <c r="B165" s="36">
        <v>15600</v>
      </c>
      <c r="C165" s="7">
        <v>15605</v>
      </c>
      <c r="D165" s="7">
        <v>15625</v>
      </c>
      <c r="E165" s="7">
        <v>15570</v>
      </c>
      <c r="F165" s="7">
        <v>15580</v>
      </c>
      <c r="G165" s="34">
        <v>141</v>
      </c>
      <c r="H165" s="35">
        <v>5</v>
      </c>
      <c r="I165" s="38">
        <f t="shared" si="2"/>
        <v>15602.5</v>
      </c>
    </row>
    <row r="166" spans="1:9" x14ac:dyDescent="0.2">
      <c r="A166" s="33">
        <v>44914</v>
      </c>
      <c r="B166" s="36">
        <v>15595</v>
      </c>
      <c r="C166" s="7">
        <v>15600</v>
      </c>
      <c r="D166" s="7">
        <v>15630</v>
      </c>
      <c r="E166" s="7">
        <v>15595</v>
      </c>
      <c r="F166" s="7">
        <v>15600</v>
      </c>
      <c r="G166" s="34">
        <v>106</v>
      </c>
      <c r="H166" s="35">
        <v>0</v>
      </c>
      <c r="I166" s="38">
        <f t="shared" si="2"/>
        <v>15597.5</v>
      </c>
    </row>
    <row r="167" spans="1:9" x14ac:dyDescent="0.2">
      <c r="A167" s="33">
        <v>44911</v>
      </c>
      <c r="B167" s="36">
        <v>15595</v>
      </c>
      <c r="C167" s="7">
        <v>15600</v>
      </c>
      <c r="D167" s="7">
        <v>15638</v>
      </c>
      <c r="E167" s="7">
        <v>15565</v>
      </c>
      <c r="F167" s="7">
        <v>15620</v>
      </c>
      <c r="G167" s="34">
        <v>170</v>
      </c>
      <c r="H167" s="35">
        <v>-20</v>
      </c>
      <c r="I167" s="38">
        <f t="shared" si="2"/>
        <v>15597.5</v>
      </c>
    </row>
    <row r="168" spans="1:9" x14ac:dyDescent="0.2">
      <c r="A168" s="33">
        <v>44910</v>
      </c>
      <c r="B168" s="36">
        <v>15615</v>
      </c>
      <c r="C168" s="7">
        <v>15620</v>
      </c>
      <c r="D168" s="7">
        <v>15640</v>
      </c>
      <c r="E168" s="7">
        <v>15555</v>
      </c>
      <c r="F168" s="7">
        <v>15605</v>
      </c>
      <c r="G168" s="34">
        <v>172</v>
      </c>
      <c r="H168" s="35">
        <v>25</v>
      </c>
      <c r="I168" s="38">
        <f t="shared" si="2"/>
        <v>15617.5</v>
      </c>
    </row>
    <row r="169" spans="1:9" x14ac:dyDescent="0.2">
      <c r="A169" s="33">
        <v>44909</v>
      </c>
      <c r="B169" s="36">
        <v>15590</v>
      </c>
      <c r="C169" s="7">
        <v>15595</v>
      </c>
      <c r="D169" s="7">
        <v>15645</v>
      </c>
      <c r="E169" s="7">
        <v>15550</v>
      </c>
      <c r="F169" s="7">
        <v>15550</v>
      </c>
      <c r="G169" s="34">
        <v>171</v>
      </c>
      <c r="H169" s="35">
        <v>-65</v>
      </c>
      <c r="I169" s="38">
        <f t="shared" si="2"/>
        <v>15592.5</v>
      </c>
    </row>
    <row r="170" spans="1:9" x14ac:dyDescent="0.2">
      <c r="A170" s="33">
        <v>44908</v>
      </c>
      <c r="B170" s="36">
        <v>15655</v>
      </c>
      <c r="C170" s="7">
        <v>15659</v>
      </c>
      <c r="D170" s="7">
        <v>15672</v>
      </c>
      <c r="E170" s="7">
        <v>15630</v>
      </c>
      <c r="F170" s="7">
        <v>15650</v>
      </c>
      <c r="G170" s="34">
        <v>157</v>
      </c>
      <c r="H170" s="35">
        <v>30</v>
      </c>
      <c r="I170" s="38">
        <f t="shared" si="2"/>
        <v>15657</v>
      </c>
    </row>
    <row r="171" spans="1:9" x14ac:dyDescent="0.2">
      <c r="A171" s="33">
        <v>44907</v>
      </c>
      <c r="B171" s="36">
        <v>15625</v>
      </c>
      <c r="C171" s="7">
        <v>15630</v>
      </c>
      <c r="D171" s="7">
        <v>15650</v>
      </c>
      <c r="E171" s="7">
        <v>15580</v>
      </c>
      <c r="F171" s="7">
        <v>15590</v>
      </c>
      <c r="G171" s="34">
        <v>87</v>
      </c>
      <c r="H171" s="35">
        <v>43</v>
      </c>
      <c r="I171" s="38">
        <f t="shared" si="2"/>
        <v>15627.5</v>
      </c>
    </row>
    <row r="172" spans="1:9" x14ac:dyDescent="0.2">
      <c r="A172" s="33">
        <v>44904</v>
      </c>
      <c r="B172" s="36">
        <v>15582</v>
      </c>
      <c r="C172" s="7">
        <v>15583</v>
      </c>
      <c r="D172" s="7">
        <v>15595</v>
      </c>
      <c r="E172" s="7">
        <v>15550</v>
      </c>
      <c r="F172" s="7">
        <v>15550</v>
      </c>
      <c r="G172" s="34">
        <v>173</v>
      </c>
      <c r="H172" s="35">
        <v>-38</v>
      </c>
      <c r="I172" s="38">
        <f t="shared" si="2"/>
        <v>15582.5</v>
      </c>
    </row>
    <row r="173" spans="1:9" x14ac:dyDescent="0.2">
      <c r="A173" s="33">
        <v>44903</v>
      </c>
      <c r="B173" s="36">
        <v>15620</v>
      </c>
      <c r="C173" s="7">
        <v>15621</v>
      </c>
      <c r="D173" s="7">
        <v>15633</v>
      </c>
      <c r="E173" s="7">
        <v>15580</v>
      </c>
      <c r="F173" s="7">
        <v>15590</v>
      </c>
      <c r="G173" s="34">
        <v>120</v>
      </c>
      <c r="H173" s="35">
        <v>-15</v>
      </c>
      <c r="I173" s="38">
        <f t="shared" si="2"/>
        <v>15620.5</v>
      </c>
    </row>
    <row r="174" spans="1:9" x14ac:dyDescent="0.2">
      <c r="A174" s="33">
        <v>44902</v>
      </c>
      <c r="B174" s="36">
        <v>15635</v>
      </c>
      <c r="C174" s="7">
        <v>15640</v>
      </c>
      <c r="D174" s="7">
        <v>15642</v>
      </c>
      <c r="E174" s="7">
        <v>15585</v>
      </c>
      <c r="F174" s="7">
        <v>15600</v>
      </c>
      <c r="G174" s="34">
        <v>114</v>
      </c>
      <c r="H174" s="35">
        <v>20</v>
      </c>
      <c r="I174" s="38">
        <f t="shared" si="2"/>
        <v>15637.5</v>
      </c>
    </row>
    <row r="175" spans="1:9" x14ac:dyDescent="0.2">
      <c r="A175" s="33">
        <v>44901</v>
      </c>
      <c r="B175" s="36">
        <v>15615</v>
      </c>
      <c r="C175" s="7">
        <v>15620</v>
      </c>
      <c r="D175" s="7">
        <v>15628</v>
      </c>
      <c r="E175" s="7">
        <v>15470</v>
      </c>
      <c r="F175" s="7">
        <v>15500</v>
      </c>
      <c r="G175" s="34">
        <v>167</v>
      </c>
      <c r="H175" s="35">
        <v>150</v>
      </c>
      <c r="I175" s="38">
        <f t="shared" si="2"/>
        <v>15617.5</v>
      </c>
    </row>
    <row r="176" spans="1:9" x14ac:dyDescent="0.2">
      <c r="A176" s="33">
        <v>44900</v>
      </c>
      <c r="B176" s="36">
        <v>15465</v>
      </c>
      <c r="C176" s="7">
        <v>15470</v>
      </c>
      <c r="D176" s="7">
        <v>15470</v>
      </c>
      <c r="E176" s="7">
        <v>15350</v>
      </c>
      <c r="F176" s="7">
        <v>15350</v>
      </c>
      <c r="G176" s="34">
        <v>137</v>
      </c>
      <c r="H176" s="35">
        <v>40</v>
      </c>
      <c r="I176" s="38">
        <f t="shared" si="2"/>
        <v>15467.5</v>
      </c>
    </row>
    <row r="177" spans="1:9" x14ac:dyDescent="0.2">
      <c r="A177" s="33">
        <v>44897</v>
      </c>
      <c r="B177" s="36">
        <v>15425</v>
      </c>
      <c r="C177" s="7">
        <v>15430</v>
      </c>
      <c r="D177" s="7">
        <v>15440</v>
      </c>
      <c r="E177" s="7">
        <v>15400</v>
      </c>
      <c r="F177" s="7">
        <v>15400</v>
      </c>
      <c r="G177" s="34">
        <v>151</v>
      </c>
      <c r="H177" s="35">
        <v>-135</v>
      </c>
      <c r="I177" s="38">
        <f t="shared" si="2"/>
        <v>15427.5</v>
      </c>
    </row>
    <row r="178" spans="1:9" x14ac:dyDescent="0.2">
      <c r="A178" s="33">
        <v>44896</v>
      </c>
      <c r="B178" s="36">
        <v>15560</v>
      </c>
      <c r="C178" s="7">
        <v>15565</v>
      </c>
      <c r="D178" s="7">
        <v>15640</v>
      </c>
      <c r="E178" s="7">
        <v>15535</v>
      </c>
      <c r="F178" s="7">
        <v>15600</v>
      </c>
      <c r="G178" s="34">
        <v>141</v>
      </c>
      <c r="H178" s="35">
        <v>-170</v>
      </c>
      <c r="I178" s="38">
        <f t="shared" si="2"/>
        <v>15562.5</v>
      </c>
    </row>
    <row r="179" spans="1:9" x14ac:dyDescent="0.2">
      <c r="A179" s="33">
        <v>44895</v>
      </c>
      <c r="B179" s="36">
        <v>15730</v>
      </c>
      <c r="C179" s="7">
        <v>15733</v>
      </c>
      <c r="D179" s="7">
        <v>15748</v>
      </c>
      <c r="E179" s="7">
        <v>15720</v>
      </c>
      <c r="F179" s="7">
        <v>15720</v>
      </c>
      <c r="G179" s="34">
        <v>199</v>
      </c>
      <c r="H179" s="35">
        <v>-10</v>
      </c>
      <c r="I179" s="38">
        <f t="shared" si="2"/>
        <v>15731.5</v>
      </c>
    </row>
    <row r="180" spans="1:9" x14ac:dyDescent="0.2">
      <c r="A180" s="33">
        <v>44894</v>
      </c>
      <c r="B180" s="36">
        <v>15740</v>
      </c>
      <c r="C180" s="7">
        <v>15745</v>
      </c>
      <c r="D180" s="7">
        <v>15746</v>
      </c>
      <c r="E180" s="7">
        <v>15690</v>
      </c>
      <c r="F180" s="7">
        <v>15720</v>
      </c>
      <c r="G180" s="34">
        <v>139</v>
      </c>
      <c r="H180" s="35">
        <v>20</v>
      </c>
      <c r="I180" s="38">
        <f t="shared" si="2"/>
        <v>15742.5</v>
      </c>
    </row>
    <row r="181" spans="1:9" x14ac:dyDescent="0.2">
      <c r="A181" s="33">
        <v>44893</v>
      </c>
      <c r="B181" s="36">
        <v>15720</v>
      </c>
      <c r="C181" s="7">
        <v>15725</v>
      </c>
      <c r="D181" s="7">
        <v>15735</v>
      </c>
      <c r="E181" s="7">
        <v>15670</v>
      </c>
      <c r="F181" s="7">
        <v>15685</v>
      </c>
      <c r="G181" s="34">
        <v>167</v>
      </c>
      <c r="H181" s="35">
        <v>50</v>
      </c>
      <c r="I181" s="38">
        <f t="shared" si="2"/>
        <v>15722.5</v>
      </c>
    </row>
    <row r="182" spans="1:9" x14ac:dyDescent="0.2">
      <c r="A182" s="33">
        <v>44890</v>
      </c>
      <c r="B182" s="36">
        <v>15670</v>
      </c>
      <c r="C182" s="7">
        <v>15675</v>
      </c>
      <c r="D182" s="7">
        <v>15677</v>
      </c>
      <c r="E182" s="7">
        <v>15615</v>
      </c>
      <c r="F182" s="7">
        <v>15640</v>
      </c>
      <c r="G182" s="34">
        <v>153</v>
      </c>
      <c r="H182" s="35">
        <v>7</v>
      </c>
      <c r="I182" s="38">
        <f t="shared" si="2"/>
        <v>15672.5</v>
      </c>
    </row>
    <row r="183" spans="1:9" x14ac:dyDescent="0.2">
      <c r="A183" s="33">
        <v>44889</v>
      </c>
      <c r="B183" s="36">
        <v>15663</v>
      </c>
      <c r="C183" s="7">
        <v>15668</v>
      </c>
      <c r="D183" s="7">
        <v>15665</v>
      </c>
      <c r="E183" s="7">
        <v>15630</v>
      </c>
      <c r="F183" s="7">
        <v>15630</v>
      </c>
      <c r="G183" s="34">
        <v>183</v>
      </c>
      <c r="H183" s="35">
        <v>-22</v>
      </c>
      <c r="I183" s="38">
        <f t="shared" si="2"/>
        <v>15665.5</v>
      </c>
    </row>
    <row r="184" spans="1:9" x14ac:dyDescent="0.2">
      <c r="A184" s="33">
        <v>44888</v>
      </c>
      <c r="B184" s="36">
        <v>15685</v>
      </c>
      <c r="C184" s="7">
        <v>15688</v>
      </c>
      <c r="D184" s="7">
        <v>15707</v>
      </c>
      <c r="E184" s="7">
        <v>15680</v>
      </c>
      <c r="F184" s="7">
        <v>15680</v>
      </c>
      <c r="G184" s="34">
        <v>136</v>
      </c>
      <c r="H184" s="35">
        <v>-10</v>
      </c>
      <c r="I184" s="38">
        <f t="shared" si="2"/>
        <v>15686.5</v>
      </c>
    </row>
    <row r="185" spans="1:9" x14ac:dyDescent="0.2">
      <c r="A185" s="33">
        <v>44887</v>
      </c>
      <c r="B185" s="36">
        <v>15695</v>
      </c>
      <c r="C185" s="7">
        <v>15699</v>
      </c>
      <c r="D185" s="7">
        <v>15725</v>
      </c>
      <c r="E185" s="7">
        <v>15690</v>
      </c>
      <c r="F185" s="7">
        <v>15690</v>
      </c>
      <c r="G185" s="34">
        <v>161</v>
      </c>
      <c r="H185" s="35">
        <v>-15</v>
      </c>
      <c r="I185" s="38">
        <f t="shared" si="2"/>
        <v>15697</v>
      </c>
    </row>
    <row r="186" spans="1:9" x14ac:dyDescent="0.2">
      <c r="A186" s="33">
        <v>44886</v>
      </c>
      <c r="B186" s="36">
        <v>15710</v>
      </c>
      <c r="C186" s="7">
        <v>15715</v>
      </c>
      <c r="D186" s="7">
        <v>15715</v>
      </c>
      <c r="E186" s="7">
        <v>15670</v>
      </c>
      <c r="F186" s="7">
        <v>15680</v>
      </c>
      <c r="G186" s="34">
        <v>109</v>
      </c>
      <c r="H186" s="35">
        <v>25</v>
      </c>
      <c r="I186" s="38">
        <f t="shared" si="2"/>
        <v>15712.5</v>
      </c>
    </row>
    <row r="187" spans="1:9" x14ac:dyDescent="0.2">
      <c r="A187" s="33">
        <v>44883</v>
      </c>
      <c r="B187" s="36">
        <v>15685</v>
      </c>
      <c r="C187" s="7">
        <v>15690</v>
      </c>
      <c r="D187" s="7">
        <v>15695</v>
      </c>
      <c r="E187" s="7">
        <v>15660</v>
      </c>
      <c r="F187" s="7">
        <v>15660</v>
      </c>
      <c r="G187" s="34">
        <v>140</v>
      </c>
      <c r="H187" s="35">
        <v>25</v>
      </c>
      <c r="I187" s="38">
        <f t="shared" si="2"/>
        <v>15687.5</v>
      </c>
    </row>
    <row r="188" spans="1:9" x14ac:dyDescent="0.2">
      <c r="A188" s="33">
        <v>44882</v>
      </c>
      <c r="B188" s="36">
        <v>15660</v>
      </c>
      <c r="C188" s="7">
        <v>15665</v>
      </c>
      <c r="D188" s="7">
        <v>15700</v>
      </c>
      <c r="E188" s="7">
        <v>15630</v>
      </c>
      <c r="F188" s="7">
        <v>15650</v>
      </c>
      <c r="G188" s="34">
        <v>185</v>
      </c>
      <c r="H188" s="35">
        <v>60</v>
      </c>
      <c r="I188" s="38">
        <f t="shared" si="2"/>
        <v>15662.5</v>
      </c>
    </row>
    <row r="189" spans="1:9" x14ac:dyDescent="0.2">
      <c r="A189" s="33">
        <v>44881</v>
      </c>
      <c r="B189" s="36">
        <v>15600</v>
      </c>
      <c r="C189" s="7">
        <v>15605</v>
      </c>
      <c r="D189" s="7">
        <v>15627</v>
      </c>
      <c r="E189" s="7">
        <v>15550</v>
      </c>
      <c r="F189" s="7">
        <v>15550</v>
      </c>
      <c r="G189" s="34">
        <v>194</v>
      </c>
      <c r="H189" s="35">
        <v>65</v>
      </c>
      <c r="I189" s="38">
        <f t="shared" si="2"/>
        <v>15602.5</v>
      </c>
    </row>
    <row r="190" spans="1:9" x14ac:dyDescent="0.2">
      <c r="A190" s="33">
        <v>44880</v>
      </c>
      <c r="B190" s="36">
        <v>15535</v>
      </c>
      <c r="C190" s="7">
        <v>15540</v>
      </c>
      <c r="D190" s="7">
        <v>15575</v>
      </c>
      <c r="E190" s="7">
        <v>15510</v>
      </c>
      <c r="F190" s="7">
        <v>15520</v>
      </c>
      <c r="G190" s="34">
        <v>185</v>
      </c>
      <c r="H190" s="35">
        <v>20</v>
      </c>
      <c r="I190" s="38">
        <f t="shared" si="2"/>
        <v>15537.5</v>
      </c>
    </row>
    <row r="191" spans="1:9" x14ac:dyDescent="0.2">
      <c r="A191" s="33">
        <v>44879</v>
      </c>
      <c r="B191" s="36">
        <v>15515</v>
      </c>
      <c r="C191" s="7">
        <v>15520</v>
      </c>
      <c r="D191" s="7">
        <v>15525</v>
      </c>
      <c r="E191" s="7">
        <v>15450</v>
      </c>
      <c r="F191" s="7">
        <v>15455</v>
      </c>
      <c r="G191" s="34">
        <v>134</v>
      </c>
      <c r="H191" s="35">
        <v>25</v>
      </c>
      <c r="I191" s="38">
        <f t="shared" si="2"/>
        <v>15517.5</v>
      </c>
    </row>
    <row r="192" spans="1:9" x14ac:dyDescent="0.2">
      <c r="A192" s="33">
        <v>44876</v>
      </c>
      <c r="B192" s="36">
        <v>15490</v>
      </c>
      <c r="C192" s="7">
        <v>15500</v>
      </c>
      <c r="D192" s="7">
        <v>15550</v>
      </c>
      <c r="E192" s="7">
        <v>15385</v>
      </c>
      <c r="F192" s="7">
        <v>15540</v>
      </c>
      <c r="G192" s="34">
        <v>146</v>
      </c>
      <c r="H192" s="35">
        <v>-200</v>
      </c>
      <c r="I192" s="38">
        <f t="shared" si="2"/>
        <v>15495</v>
      </c>
    </row>
    <row r="193" spans="1:9" x14ac:dyDescent="0.2">
      <c r="A193" s="33">
        <v>44875</v>
      </c>
      <c r="B193" s="36">
        <v>15690</v>
      </c>
      <c r="C193" s="7">
        <v>15692</v>
      </c>
      <c r="D193" s="7">
        <v>15710</v>
      </c>
      <c r="E193" s="7">
        <v>15670</v>
      </c>
      <c r="F193" s="7">
        <v>15670</v>
      </c>
      <c r="G193" s="34">
        <v>127</v>
      </c>
      <c r="H193" s="35">
        <v>32</v>
      </c>
      <c r="I193" s="38">
        <f t="shared" si="2"/>
        <v>15691</v>
      </c>
    </row>
    <row r="194" spans="1:9" x14ac:dyDescent="0.2">
      <c r="A194" s="33">
        <v>44874</v>
      </c>
      <c r="B194" s="36">
        <v>15658</v>
      </c>
      <c r="C194" s="7">
        <v>15661</v>
      </c>
      <c r="D194" s="7">
        <v>15670</v>
      </c>
      <c r="E194" s="7">
        <v>15625</v>
      </c>
      <c r="F194" s="7">
        <v>15650</v>
      </c>
      <c r="G194" s="34">
        <v>155</v>
      </c>
      <c r="H194" s="35">
        <v>-37</v>
      </c>
      <c r="I194" s="38">
        <f t="shared" si="2"/>
        <v>15659.5</v>
      </c>
    </row>
    <row r="195" spans="1:9" x14ac:dyDescent="0.2">
      <c r="A195" s="33">
        <v>44873</v>
      </c>
      <c r="B195" s="36">
        <v>15695</v>
      </c>
      <c r="C195" s="7">
        <v>15700</v>
      </c>
      <c r="D195" s="7">
        <v>15700</v>
      </c>
      <c r="E195" s="7">
        <v>15660</v>
      </c>
      <c r="F195" s="7">
        <v>15660</v>
      </c>
      <c r="G195" s="34">
        <v>127</v>
      </c>
      <c r="H195" s="35">
        <v>-10</v>
      </c>
      <c r="I195" s="38">
        <f t="shared" si="2"/>
        <v>15697.5</v>
      </c>
    </row>
    <row r="196" spans="1:9" x14ac:dyDescent="0.2">
      <c r="A196" s="33">
        <v>44872</v>
      </c>
      <c r="B196" s="36">
        <v>15705</v>
      </c>
      <c r="C196" s="7">
        <v>15710</v>
      </c>
      <c r="D196" s="7">
        <v>15708</v>
      </c>
      <c r="E196" s="7">
        <v>15645</v>
      </c>
      <c r="F196" s="7">
        <v>15650</v>
      </c>
      <c r="G196" s="34">
        <v>119</v>
      </c>
      <c r="H196" s="35">
        <v>-30</v>
      </c>
      <c r="I196" s="38">
        <f t="shared" si="2"/>
        <v>15707.5</v>
      </c>
    </row>
    <row r="197" spans="1:9" x14ac:dyDescent="0.2">
      <c r="A197" s="33">
        <v>44869</v>
      </c>
      <c r="B197" s="36">
        <v>15735</v>
      </c>
      <c r="C197" s="7">
        <v>15740</v>
      </c>
      <c r="D197" s="7">
        <v>15745</v>
      </c>
      <c r="E197" s="7">
        <v>15710</v>
      </c>
      <c r="F197" s="7">
        <v>15725</v>
      </c>
      <c r="G197" s="34">
        <v>175</v>
      </c>
      <c r="H197" s="35">
        <v>40</v>
      </c>
      <c r="I197" s="38">
        <f t="shared" si="2"/>
        <v>15737.5</v>
      </c>
    </row>
    <row r="198" spans="1:9" x14ac:dyDescent="0.2">
      <c r="A198" s="33">
        <v>44868</v>
      </c>
      <c r="B198" s="36">
        <v>15695</v>
      </c>
      <c r="C198" s="7">
        <v>15698</v>
      </c>
      <c r="D198" s="7">
        <v>15697</v>
      </c>
      <c r="E198" s="7">
        <v>15630</v>
      </c>
      <c r="F198" s="7">
        <v>15650</v>
      </c>
      <c r="G198" s="34">
        <v>149</v>
      </c>
      <c r="H198" s="35">
        <v>50</v>
      </c>
      <c r="I198" s="38">
        <f t="shared" si="2"/>
        <v>15696.5</v>
      </c>
    </row>
    <row r="199" spans="1:9" x14ac:dyDescent="0.2">
      <c r="A199" s="33">
        <v>44867</v>
      </c>
      <c r="B199" s="36">
        <v>15645</v>
      </c>
      <c r="C199" s="7">
        <v>15650</v>
      </c>
      <c r="D199" s="7">
        <v>15666</v>
      </c>
      <c r="E199" s="7">
        <v>15620</v>
      </c>
      <c r="F199" s="7">
        <v>15644</v>
      </c>
      <c r="G199" s="34">
        <v>170</v>
      </c>
      <c r="H199" s="35">
        <v>20</v>
      </c>
      <c r="I199" s="38">
        <f t="shared" si="2"/>
        <v>15647.5</v>
      </c>
    </row>
    <row r="200" spans="1:9" x14ac:dyDescent="0.2">
      <c r="A200" s="33">
        <v>44866</v>
      </c>
      <c r="B200" s="36">
        <v>15625</v>
      </c>
      <c r="C200" s="7">
        <v>15630</v>
      </c>
      <c r="D200" s="7">
        <v>15658</v>
      </c>
      <c r="E200" s="7">
        <v>15550</v>
      </c>
      <c r="F200" s="7">
        <v>15620</v>
      </c>
      <c r="G200" s="34">
        <v>149</v>
      </c>
      <c r="H200" s="35">
        <v>30</v>
      </c>
      <c r="I200" s="38">
        <f t="shared" si="2"/>
        <v>15627.5</v>
      </c>
    </row>
    <row r="201" spans="1:9" x14ac:dyDescent="0.2">
      <c r="A201" s="33">
        <v>44865</v>
      </c>
      <c r="B201" s="36">
        <v>15595</v>
      </c>
      <c r="C201" s="7">
        <v>15600</v>
      </c>
      <c r="D201" s="7">
        <v>15610</v>
      </c>
      <c r="E201" s="7">
        <v>15550</v>
      </c>
      <c r="F201" s="7">
        <v>15565</v>
      </c>
      <c r="G201" s="34">
        <v>153</v>
      </c>
      <c r="H201" s="35">
        <v>47</v>
      </c>
      <c r="I201" s="38">
        <f t="shared" si="2"/>
        <v>15597.5</v>
      </c>
    </row>
    <row r="202" spans="1:9" x14ac:dyDescent="0.2">
      <c r="A202" s="33">
        <v>44862</v>
      </c>
      <c r="B202" s="36">
        <v>15548</v>
      </c>
      <c r="C202" s="7">
        <v>15555</v>
      </c>
      <c r="D202" s="7">
        <v>15555</v>
      </c>
      <c r="E202" s="7">
        <v>15517</v>
      </c>
      <c r="F202" s="7">
        <v>15555</v>
      </c>
      <c r="G202" s="34">
        <v>123</v>
      </c>
      <c r="H202" s="35">
        <v>-17</v>
      </c>
      <c r="I202" s="38">
        <f t="shared" si="2"/>
        <v>15551.5</v>
      </c>
    </row>
    <row r="203" spans="1:9" x14ac:dyDescent="0.2">
      <c r="A203" s="33">
        <v>44861</v>
      </c>
      <c r="B203" s="36">
        <v>15565</v>
      </c>
      <c r="C203" s="7">
        <v>15570</v>
      </c>
      <c r="D203" s="7">
        <v>15585</v>
      </c>
      <c r="E203" s="7">
        <v>15510</v>
      </c>
      <c r="F203" s="7">
        <v>15540</v>
      </c>
      <c r="G203" s="34">
        <v>158</v>
      </c>
      <c r="H203" s="35">
        <v>-4</v>
      </c>
      <c r="I203" s="38">
        <f t="shared" si="2"/>
        <v>15567.5</v>
      </c>
    </row>
    <row r="204" spans="1:9" x14ac:dyDescent="0.2">
      <c r="A204" s="33">
        <v>44860</v>
      </c>
      <c r="B204" s="36">
        <v>15569</v>
      </c>
      <c r="C204" s="7">
        <v>15570</v>
      </c>
      <c r="D204" s="7">
        <v>15608</v>
      </c>
      <c r="E204" s="7">
        <v>15550</v>
      </c>
      <c r="F204" s="7">
        <v>15570</v>
      </c>
      <c r="G204" s="34">
        <v>165</v>
      </c>
      <c r="H204" s="35">
        <v>-51</v>
      </c>
      <c r="I204" s="38">
        <f t="shared" si="2"/>
        <v>15569.5</v>
      </c>
    </row>
    <row r="205" spans="1:9" x14ac:dyDescent="0.2">
      <c r="A205" s="33">
        <v>44859</v>
      </c>
      <c r="B205" s="36">
        <v>15620</v>
      </c>
      <c r="C205" s="7">
        <v>15625</v>
      </c>
      <c r="D205" s="7">
        <v>15621</v>
      </c>
      <c r="E205" s="7">
        <v>15580</v>
      </c>
      <c r="F205" s="7">
        <v>15580</v>
      </c>
      <c r="G205" s="34">
        <v>140</v>
      </c>
      <c r="H205" s="35">
        <v>35</v>
      </c>
      <c r="I205" s="38">
        <f t="shared" si="2"/>
        <v>15622.5</v>
      </c>
    </row>
    <row r="206" spans="1:9" x14ac:dyDescent="0.2">
      <c r="A206" s="33">
        <v>44858</v>
      </c>
      <c r="B206" s="36">
        <v>15585</v>
      </c>
      <c r="C206" s="7">
        <v>15589</v>
      </c>
      <c r="D206" s="7">
        <v>15605</v>
      </c>
      <c r="E206" s="7">
        <v>15550</v>
      </c>
      <c r="F206" s="7">
        <v>15550</v>
      </c>
      <c r="G206" s="34">
        <v>176</v>
      </c>
      <c r="H206" s="35">
        <v>-45</v>
      </c>
      <c r="I206" s="38">
        <f t="shared" si="2"/>
        <v>15587</v>
      </c>
    </row>
    <row r="207" spans="1:9" x14ac:dyDescent="0.2">
      <c r="A207" s="33">
        <v>44855</v>
      </c>
      <c r="B207" s="36">
        <v>15630</v>
      </c>
      <c r="C207" s="7">
        <v>15635</v>
      </c>
      <c r="D207" s="7">
        <v>15633</v>
      </c>
      <c r="E207" s="7">
        <v>15570</v>
      </c>
      <c r="F207" s="7">
        <v>15570</v>
      </c>
      <c r="G207" s="34">
        <v>214</v>
      </c>
      <c r="H207" s="35">
        <v>60</v>
      </c>
      <c r="I207" s="38">
        <f t="shared" si="2"/>
        <v>15632.5</v>
      </c>
    </row>
    <row r="208" spans="1:9" x14ac:dyDescent="0.2">
      <c r="A208" s="33">
        <v>44854</v>
      </c>
      <c r="B208" s="36">
        <v>15570</v>
      </c>
      <c r="C208" s="7">
        <v>15575</v>
      </c>
      <c r="D208" s="7">
        <v>15585</v>
      </c>
      <c r="E208" s="7">
        <v>15470</v>
      </c>
      <c r="F208" s="7">
        <v>15530</v>
      </c>
      <c r="G208" s="34">
        <v>231</v>
      </c>
      <c r="H208" s="35">
        <v>75</v>
      </c>
      <c r="I208" s="38">
        <f t="shared" si="2"/>
        <v>15572.5</v>
      </c>
    </row>
    <row r="209" spans="1:9" x14ac:dyDescent="0.2">
      <c r="A209" s="33">
        <v>44853</v>
      </c>
      <c r="B209" s="36">
        <v>15495</v>
      </c>
      <c r="C209" s="7">
        <v>15501</v>
      </c>
      <c r="D209" s="7">
        <v>15501</v>
      </c>
      <c r="E209" s="7">
        <v>15460</v>
      </c>
      <c r="F209" s="7">
        <v>15465</v>
      </c>
      <c r="G209" s="34">
        <v>158</v>
      </c>
      <c r="H209" s="35">
        <v>30</v>
      </c>
      <c r="I209" s="38">
        <f t="shared" si="2"/>
        <v>15498</v>
      </c>
    </row>
    <row r="210" spans="1:9" x14ac:dyDescent="0.2">
      <c r="A210" s="33">
        <v>44852</v>
      </c>
      <c r="B210" s="36">
        <v>15465</v>
      </c>
      <c r="C210" s="7">
        <v>15468</v>
      </c>
      <c r="D210" s="7">
        <v>15480</v>
      </c>
      <c r="E210" s="7">
        <v>15445</v>
      </c>
      <c r="F210" s="7">
        <v>15450</v>
      </c>
      <c r="G210" s="34">
        <v>187</v>
      </c>
      <c r="H210" s="35">
        <v>-20</v>
      </c>
      <c r="I210" s="38">
        <f t="shared" si="2"/>
        <v>15466.5</v>
      </c>
    </row>
    <row r="211" spans="1:9" x14ac:dyDescent="0.2">
      <c r="A211" s="33">
        <v>44851</v>
      </c>
      <c r="B211" s="36">
        <v>15485</v>
      </c>
      <c r="C211" s="7">
        <v>15490</v>
      </c>
      <c r="D211" s="7">
        <v>15493</v>
      </c>
      <c r="E211" s="7">
        <v>15450</v>
      </c>
      <c r="F211" s="7">
        <v>15465</v>
      </c>
      <c r="G211" s="34">
        <v>170</v>
      </c>
      <c r="H211" s="35">
        <v>60</v>
      </c>
      <c r="I211" s="38">
        <f t="shared" si="2"/>
        <v>15487.5</v>
      </c>
    </row>
    <row r="212" spans="1:9" x14ac:dyDescent="0.2">
      <c r="A212" s="33">
        <v>44848</v>
      </c>
      <c r="B212" s="36">
        <v>15425</v>
      </c>
      <c r="C212" s="7">
        <v>15428</v>
      </c>
      <c r="D212" s="7">
        <v>15425</v>
      </c>
      <c r="E212" s="7">
        <v>15355</v>
      </c>
      <c r="F212" s="7">
        <v>15355</v>
      </c>
      <c r="G212" s="34">
        <v>171</v>
      </c>
      <c r="H212" s="35">
        <v>65</v>
      </c>
      <c r="I212" s="38">
        <f t="shared" si="2"/>
        <v>15426.5</v>
      </c>
    </row>
    <row r="213" spans="1:9" x14ac:dyDescent="0.2">
      <c r="A213" s="33">
        <v>44847</v>
      </c>
      <c r="B213" s="36">
        <v>15360</v>
      </c>
      <c r="C213" s="7">
        <v>15363</v>
      </c>
      <c r="D213" s="7">
        <v>15365</v>
      </c>
      <c r="E213" s="7">
        <v>15335</v>
      </c>
      <c r="F213" s="7">
        <v>15345</v>
      </c>
      <c r="G213" s="34">
        <v>148</v>
      </c>
      <c r="H213" s="35">
        <v>5</v>
      </c>
      <c r="I213" s="38">
        <f t="shared" si="2"/>
        <v>15361.5</v>
      </c>
    </row>
    <row r="214" spans="1:9" x14ac:dyDescent="0.2">
      <c r="A214" s="33">
        <v>44846</v>
      </c>
      <c r="B214" s="36">
        <v>15355</v>
      </c>
      <c r="C214" s="7">
        <v>15360</v>
      </c>
      <c r="D214" s="7">
        <v>15385</v>
      </c>
      <c r="E214" s="7">
        <v>15353</v>
      </c>
      <c r="F214" s="7">
        <v>15355</v>
      </c>
      <c r="G214" s="34">
        <v>190</v>
      </c>
      <c r="H214" s="35">
        <v>0</v>
      </c>
      <c r="I214" s="38">
        <f t="shared" si="2"/>
        <v>15357.5</v>
      </c>
    </row>
    <row r="215" spans="1:9" x14ac:dyDescent="0.2">
      <c r="A215" s="33">
        <v>44845</v>
      </c>
      <c r="B215" s="36">
        <v>15355</v>
      </c>
      <c r="C215" s="7">
        <v>15360</v>
      </c>
      <c r="D215" s="7">
        <v>15370</v>
      </c>
      <c r="E215" s="7">
        <v>15325</v>
      </c>
      <c r="F215" s="7">
        <v>15325</v>
      </c>
      <c r="G215" s="34">
        <v>181</v>
      </c>
      <c r="H215" s="35">
        <v>45</v>
      </c>
      <c r="I215" s="38">
        <f t="shared" si="2"/>
        <v>15357.5</v>
      </c>
    </row>
    <row r="216" spans="1:9" x14ac:dyDescent="0.2">
      <c r="A216" s="33">
        <v>44844</v>
      </c>
      <c r="B216" s="36">
        <v>15310</v>
      </c>
      <c r="C216" s="7">
        <v>15315</v>
      </c>
      <c r="D216" s="7">
        <v>15310</v>
      </c>
      <c r="E216" s="7">
        <v>15260</v>
      </c>
      <c r="F216" s="7">
        <v>15260</v>
      </c>
      <c r="G216" s="34">
        <v>210</v>
      </c>
      <c r="H216" s="35">
        <v>60</v>
      </c>
      <c r="I216" s="38">
        <f t="shared" si="2"/>
        <v>15312.5</v>
      </c>
    </row>
    <row r="217" spans="1:9" x14ac:dyDescent="0.2">
      <c r="A217" s="33">
        <v>44841</v>
      </c>
      <c r="B217" s="36">
        <v>15250</v>
      </c>
      <c r="C217" s="7">
        <v>15255</v>
      </c>
      <c r="D217" s="7">
        <v>15260</v>
      </c>
      <c r="E217" s="7">
        <v>15208</v>
      </c>
      <c r="F217" s="7">
        <v>15210</v>
      </c>
      <c r="G217" s="34">
        <v>209</v>
      </c>
      <c r="H217" s="35">
        <v>65</v>
      </c>
      <c r="I217" s="38">
        <f t="shared" si="2"/>
        <v>15252.5</v>
      </c>
    </row>
    <row r="218" spans="1:9" x14ac:dyDescent="0.2">
      <c r="A218" s="33">
        <v>44840</v>
      </c>
      <c r="B218" s="36">
        <v>15185</v>
      </c>
      <c r="C218" s="7">
        <v>15190</v>
      </c>
      <c r="D218" s="7">
        <v>15202</v>
      </c>
      <c r="E218" s="7">
        <v>15180</v>
      </c>
      <c r="F218" s="7">
        <v>15190</v>
      </c>
      <c r="G218" s="34">
        <v>189</v>
      </c>
      <c r="H218" s="35">
        <v>-5</v>
      </c>
      <c r="I218" s="38">
        <f t="shared" si="2"/>
        <v>15187.5</v>
      </c>
    </row>
    <row r="219" spans="1:9" x14ac:dyDescent="0.2">
      <c r="A219" s="33">
        <v>44839</v>
      </c>
      <c r="B219" s="36">
        <v>15190</v>
      </c>
      <c r="C219" s="7">
        <v>15195</v>
      </c>
      <c r="D219" s="7">
        <v>15215</v>
      </c>
      <c r="E219" s="7">
        <v>15150</v>
      </c>
      <c r="F219" s="7">
        <v>15150</v>
      </c>
      <c r="G219" s="34">
        <v>251</v>
      </c>
      <c r="H219" s="35">
        <v>-55</v>
      </c>
      <c r="I219" s="38">
        <f t="shared" si="2"/>
        <v>15192.5</v>
      </c>
    </row>
    <row r="220" spans="1:9" x14ac:dyDescent="0.2">
      <c r="A220" s="33">
        <v>44838</v>
      </c>
      <c r="B220" s="36">
        <v>15245</v>
      </c>
      <c r="C220" s="7">
        <v>15250</v>
      </c>
      <c r="D220" s="7">
        <v>15310</v>
      </c>
      <c r="E220" s="7">
        <v>15235</v>
      </c>
      <c r="F220" s="7">
        <v>15270</v>
      </c>
      <c r="G220" s="34">
        <v>154</v>
      </c>
      <c r="H220" s="35">
        <v>-55</v>
      </c>
      <c r="I220" s="38">
        <f t="shared" si="2"/>
        <v>15247.5</v>
      </c>
    </row>
    <row r="221" spans="1:9" x14ac:dyDescent="0.2">
      <c r="A221" s="33">
        <v>44837</v>
      </c>
      <c r="B221" s="36">
        <v>15300</v>
      </c>
      <c r="C221" s="7">
        <v>15305</v>
      </c>
      <c r="D221" s="7">
        <v>15305</v>
      </c>
      <c r="E221" s="7">
        <v>15230</v>
      </c>
      <c r="F221" s="7">
        <v>15230</v>
      </c>
      <c r="G221" s="34">
        <v>143</v>
      </c>
      <c r="H221" s="35">
        <v>75</v>
      </c>
      <c r="I221" s="38">
        <f t="shared" si="2"/>
        <v>15302.5</v>
      </c>
    </row>
    <row r="222" spans="1:9" x14ac:dyDescent="0.2">
      <c r="A222" s="33">
        <v>44834</v>
      </c>
      <c r="B222" s="36">
        <v>15225</v>
      </c>
      <c r="C222" s="7">
        <v>15230</v>
      </c>
      <c r="D222" s="7">
        <v>15245</v>
      </c>
      <c r="E222" s="7">
        <v>15150</v>
      </c>
      <c r="F222" s="7">
        <v>15150</v>
      </c>
      <c r="G222" s="34">
        <v>183</v>
      </c>
      <c r="H222" s="35">
        <v>-35</v>
      </c>
      <c r="I222" s="38">
        <f t="shared" si="2"/>
        <v>15227.5</v>
      </c>
    </row>
    <row r="223" spans="1:9" x14ac:dyDescent="0.2">
      <c r="A223" s="33">
        <v>44833</v>
      </c>
      <c r="B223" s="36">
        <v>15260</v>
      </c>
      <c r="C223" s="7">
        <v>15265</v>
      </c>
      <c r="D223" s="7">
        <v>15275</v>
      </c>
      <c r="E223" s="7">
        <v>15200</v>
      </c>
      <c r="F223" s="7">
        <v>15200</v>
      </c>
      <c r="G223" s="34">
        <v>207</v>
      </c>
      <c r="H223" s="35">
        <v>0</v>
      </c>
      <c r="I223" s="38">
        <f t="shared" si="2"/>
        <v>15262.5</v>
      </c>
    </row>
    <row r="224" spans="1:9" x14ac:dyDescent="0.2">
      <c r="A224" s="33">
        <v>44832</v>
      </c>
      <c r="B224" s="36">
        <v>15260</v>
      </c>
      <c r="C224" s="7">
        <v>15265</v>
      </c>
      <c r="D224" s="7">
        <v>15273</v>
      </c>
      <c r="E224" s="7">
        <v>15150</v>
      </c>
      <c r="F224" s="7">
        <v>15150</v>
      </c>
      <c r="G224" s="34">
        <v>154</v>
      </c>
      <c r="H224" s="35">
        <v>140</v>
      </c>
      <c r="I224" s="38">
        <f t="shared" ref="I224:I287" si="3">+(B224+C224)*0.5</f>
        <v>15262.5</v>
      </c>
    </row>
    <row r="225" spans="1:9" x14ac:dyDescent="0.2">
      <c r="A225" s="33">
        <v>44831</v>
      </c>
      <c r="B225" s="36">
        <v>15120</v>
      </c>
      <c r="C225" s="7">
        <v>15125</v>
      </c>
      <c r="D225" s="7">
        <v>15169</v>
      </c>
      <c r="E225" s="7">
        <v>15120</v>
      </c>
      <c r="F225" s="7">
        <v>15125</v>
      </c>
      <c r="G225" s="34">
        <v>178</v>
      </c>
      <c r="H225" s="35">
        <v>-5</v>
      </c>
      <c r="I225" s="38">
        <f t="shared" si="3"/>
        <v>15122.5</v>
      </c>
    </row>
    <row r="226" spans="1:9" x14ac:dyDescent="0.2">
      <c r="A226" s="33">
        <v>44830</v>
      </c>
      <c r="B226" s="36">
        <v>15125</v>
      </c>
      <c r="C226" s="7">
        <v>15130</v>
      </c>
      <c r="D226" s="7">
        <v>15130</v>
      </c>
      <c r="E226" s="7">
        <v>15050</v>
      </c>
      <c r="F226" s="7">
        <v>15050</v>
      </c>
      <c r="G226" s="34">
        <v>122</v>
      </c>
      <c r="H226" s="35">
        <v>90</v>
      </c>
      <c r="I226" s="38">
        <f t="shared" si="3"/>
        <v>15127.5</v>
      </c>
    </row>
    <row r="227" spans="1:9" x14ac:dyDescent="0.2">
      <c r="A227" s="33">
        <v>44827</v>
      </c>
      <c r="B227" s="36">
        <v>15035</v>
      </c>
      <c r="C227" s="7">
        <v>15040</v>
      </c>
      <c r="D227" s="7">
        <v>15042</v>
      </c>
      <c r="E227" s="7">
        <v>15000</v>
      </c>
      <c r="F227" s="7">
        <v>15000</v>
      </c>
      <c r="G227" s="34">
        <v>109</v>
      </c>
      <c r="H227" s="35">
        <v>20</v>
      </c>
      <c r="I227" s="38">
        <f t="shared" si="3"/>
        <v>15037.5</v>
      </c>
    </row>
    <row r="228" spans="1:9" x14ac:dyDescent="0.2">
      <c r="A228" s="33">
        <v>44826</v>
      </c>
      <c r="B228" s="36">
        <v>15015</v>
      </c>
      <c r="C228" s="7">
        <v>15020</v>
      </c>
      <c r="D228" s="7">
        <v>15040</v>
      </c>
      <c r="E228" s="7">
        <v>15000</v>
      </c>
      <c r="F228" s="7">
        <v>15000</v>
      </c>
      <c r="G228" s="34">
        <v>142</v>
      </c>
      <c r="H228" s="35">
        <v>20</v>
      </c>
      <c r="I228" s="38">
        <f t="shared" si="3"/>
        <v>15017.5</v>
      </c>
    </row>
    <row r="229" spans="1:9" x14ac:dyDescent="0.2">
      <c r="A229" s="33">
        <v>44825</v>
      </c>
      <c r="B229" s="36">
        <v>14995</v>
      </c>
      <c r="C229" s="7">
        <v>15000</v>
      </c>
      <c r="D229" s="7">
        <v>15013</v>
      </c>
      <c r="E229" s="7">
        <v>14995</v>
      </c>
      <c r="F229" s="7">
        <v>15000</v>
      </c>
      <c r="G229" s="34">
        <v>175</v>
      </c>
      <c r="H229" s="35">
        <v>15</v>
      </c>
      <c r="I229" s="38">
        <f t="shared" si="3"/>
        <v>14997.5</v>
      </c>
    </row>
    <row r="230" spans="1:9" x14ac:dyDescent="0.2">
      <c r="A230" s="33">
        <v>44824</v>
      </c>
      <c r="B230" s="36">
        <v>14980</v>
      </c>
      <c r="C230" s="7">
        <v>14985</v>
      </c>
      <c r="D230" s="7">
        <v>14985</v>
      </c>
      <c r="E230" s="7">
        <v>14960</v>
      </c>
      <c r="F230" s="7">
        <v>14965</v>
      </c>
      <c r="G230" s="34">
        <v>194</v>
      </c>
      <c r="H230" s="35">
        <v>5</v>
      </c>
      <c r="I230" s="38">
        <f t="shared" si="3"/>
        <v>14982.5</v>
      </c>
    </row>
    <row r="231" spans="1:9" x14ac:dyDescent="0.2">
      <c r="A231" s="33">
        <v>44823</v>
      </c>
      <c r="B231" s="36">
        <v>14975</v>
      </c>
      <c r="C231" s="7">
        <v>14980</v>
      </c>
      <c r="D231" s="7">
        <v>14988</v>
      </c>
      <c r="E231" s="7">
        <v>14950</v>
      </c>
      <c r="F231" s="7">
        <v>14950</v>
      </c>
      <c r="G231" s="34">
        <v>178</v>
      </c>
      <c r="H231" s="35">
        <v>25</v>
      </c>
      <c r="I231" s="38">
        <f t="shared" si="3"/>
        <v>14977.5</v>
      </c>
    </row>
    <row r="232" spans="1:9" x14ac:dyDescent="0.2">
      <c r="A232" s="33">
        <v>44820</v>
      </c>
      <c r="B232" s="36">
        <v>14950</v>
      </c>
      <c r="C232" s="7">
        <v>14955</v>
      </c>
      <c r="D232" s="7">
        <v>14960</v>
      </c>
      <c r="E232" s="7">
        <v>14920</v>
      </c>
      <c r="F232" s="7">
        <v>14920</v>
      </c>
      <c r="G232" s="34">
        <v>214</v>
      </c>
      <c r="H232" s="35">
        <v>55</v>
      </c>
      <c r="I232" s="38">
        <f t="shared" si="3"/>
        <v>14952.5</v>
      </c>
    </row>
    <row r="233" spans="1:9" x14ac:dyDescent="0.2">
      <c r="A233" s="33">
        <v>44819</v>
      </c>
      <c r="B233" s="36">
        <v>14895</v>
      </c>
      <c r="C233" s="7">
        <v>14900</v>
      </c>
      <c r="D233" s="7">
        <v>14905</v>
      </c>
      <c r="E233" s="7">
        <v>14875</v>
      </c>
      <c r="F233" s="7">
        <v>14900</v>
      </c>
      <c r="G233" s="34">
        <v>176</v>
      </c>
      <c r="H233" s="35">
        <v>-10</v>
      </c>
      <c r="I233" s="38">
        <f t="shared" si="3"/>
        <v>14897.5</v>
      </c>
    </row>
    <row r="234" spans="1:9" x14ac:dyDescent="0.2">
      <c r="A234" s="33">
        <v>44818</v>
      </c>
      <c r="B234" s="36">
        <v>14905</v>
      </c>
      <c r="C234" s="7">
        <v>14910</v>
      </c>
      <c r="D234" s="7">
        <v>14938</v>
      </c>
      <c r="E234" s="7">
        <v>14838</v>
      </c>
      <c r="F234" s="7">
        <v>14920</v>
      </c>
      <c r="G234" s="34">
        <v>269</v>
      </c>
      <c r="H234" s="35">
        <v>55</v>
      </c>
      <c r="I234" s="38">
        <f t="shared" si="3"/>
        <v>14907.5</v>
      </c>
    </row>
    <row r="235" spans="1:9" x14ac:dyDescent="0.2">
      <c r="A235" s="33">
        <v>44817</v>
      </c>
      <c r="B235" s="36">
        <v>14850</v>
      </c>
      <c r="C235" s="7">
        <v>14853</v>
      </c>
      <c r="D235" s="7">
        <v>14872</v>
      </c>
      <c r="E235" s="7">
        <v>14840</v>
      </c>
      <c r="F235" s="7">
        <v>14840</v>
      </c>
      <c r="G235" s="34">
        <v>208</v>
      </c>
      <c r="H235" s="35">
        <v>10</v>
      </c>
      <c r="I235" s="38">
        <f t="shared" si="3"/>
        <v>14851.5</v>
      </c>
    </row>
    <row r="236" spans="1:9" x14ac:dyDescent="0.2">
      <c r="A236" s="33">
        <v>44816</v>
      </c>
      <c r="B236" s="36">
        <v>14840</v>
      </c>
      <c r="C236" s="7">
        <v>14844</v>
      </c>
      <c r="D236" s="7">
        <v>14843</v>
      </c>
      <c r="E236" s="7">
        <v>14810</v>
      </c>
      <c r="F236" s="7">
        <v>14810</v>
      </c>
      <c r="G236" s="34">
        <v>173</v>
      </c>
      <c r="H236" s="35">
        <v>12</v>
      </c>
      <c r="I236" s="38">
        <f t="shared" si="3"/>
        <v>14842</v>
      </c>
    </row>
    <row r="237" spans="1:9" x14ac:dyDescent="0.2">
      <c r="A237" s="33">
        <v>44813</v>
      </c>
      <c r="B237" s="36">
        <v>14828</v>
      </c>
      <c r="C237" s="7">
        <v>14832</v>
      </c>
      <c r="D237" s="7">
        <v>14875</v>
      </c>
      <c r="E237" s="7">
        <v>14815</v>
      </c>
      <c r="F237" s="7">
        <v>14860</v>
      </c>
      <c r="G237" s="34">
        <v>189</v>
      </c>
      <c r="H237" s="35">
        <v>-67</v>
      </c>
      <c r="I237" s="38">
        <f t="shared" si="3"/>
        <v>14830</v>
      </c>
    </row>
    <row r="238" spans="1:9" x14ac:dyDescent="0.2">
      <c r="A238" s="33">
        <v>44812</v>
      </c>
      <c r="B238" s="36">
        <v>14895</v>
      </c>
      <c r="C238" s="7">
        <v>14900</v>
      </c>
      <c r="D238" s="7">
        <v>14910</v>
      </c>
      <c r="E238" s="7">
        <v>14890</v>
      </c>
      <c r="F238" s="7">
        <v>14890</v>
      </c>
      <c r="G238" s="34">
        <v>160</v>
      </c>
      <c r="H238" s="35">
        <v>-20</v>
      </c>
      <c r="I238" s="38">
        <f t="shared" si="3"/>
        <v>14897.5</v>
      </c>
    </row>
    <row r="239" spans="1:9" x14ac:dyDescent="0.2">
      <c r="A239" s="33">
        <v>44811</v>
      </c>
      <c r="B239" s="36">
        <v>14915</v>
      </c>
      <c r="C239" s="7">
        <v>14920</v>
      </c>
      <c r="D239" s="7">
        <v>14933</v>
      </c>
      <c r="E239" s="7">
        <v>14820</v>
      </c>
      <c r="F239" s="7">
        <v>14905</v>
      </c>
      <c r="G239" s="34">
        <v>199</v>
      </c>
      <c r="H239" s="35">
        <v>30</v>
      </c>
      <c r="I239" s="38">
        <f t="shared" si="3"/>
        <v>14917.5</v>
      </c>
    </row>
    <row r="240" spans="1:9" x14ac:dyDescent="0.2">
      <c r="A240" s="33">
        <v>44810</v>
      </c>
      <c r="B240" s="36">
        <v>14885</v>
      </c>
      <c r="C240" s="7">
        <v>14888</v>
      </c>
      <c r="D240" s="7">
        <v>14890</v>
      </c>
      <c r="E240" s="7">
        <v>14860</v>
      </c>
      <c r="F240" s="7">
        <v>14875</v>
      </c>
      <c r="G240" s="34">
        <v>169</v>
      </c>
      <c r="H240" s="35">
        <v>-15</v>
      </c>
      <c r="I240" s="38">
        <f t="shared" si="3"/>
        <v>14886.5</v>
      </c>
    </row>
    <row r="241" spans="1:9" x14ac:dyDescent="0.2">
      <c r="A241" s="33">
        <v>44809</v>
      </c>
      <c r="B241" s="36">
        <v>14900</v>
      </c>
      <c r="C241" s="7">
        <v>14905</v>
      </c>
      <c r="D241" s="7">
        <v>14930</v>
      </c>
      <c r="E241" s="7">
        <v>14880</v>
      </c>
      <c r="F241" s="7">
        <v>14880</v>
      </c>
      <c r="G241" s="34">
        <v>176</v>
      </c>
      <c r="H241" s="35">
        <v>5</v>
      </c>
      <c r="I241" s="38">
        <f t="shared" si="3"/>
        <v>14902.5</v>
      </c>
    </row>
    <row r="242" spans="1:9" x14ac:dyDescent="0.2">
      <c r="A242" s="33">
        <v>44806</v>
      </c>
      <c r="B242" s="36">
        <v>14895</v>
      </c>
      <c r="C242" s="7">
        <v>14899</v>
      </c>
      <c r="D242" s="7">
        <v>14905</v>
      </c>
      <c r="E242" s="7">
        <v>14850</v>
      </c>
      <c r="F242" s="7">
        <v>14890</v>
      </c>
      <c r="G242" s="34">
        <v>144</v>
      </c>
      <c r="H242" s="35">
        <v>15</v>
      </c>
      <c r="I242" s="38">
        <f t="shared" si="3"/>
        <v>14897</v>
      </c>
    </row>
    <row r="243" spans="1:9" x14ac:dyDescent="0.2">
      <c r="A243" s="33">
        <v>44805</v>
      </c>
      <c r="B243" s="36">
        <v>14880</v>
      </c>
      <c r="C243" s="7">
        <v>14885</v>
      </c>
      <c r="D243" s="7">
        <v>14890</v>
      </c>
      <c r="E243" s="7">
        <v>14860</v>
      </c>
      <c r="F243" s="7">
        <v>14860</v>
      </c>
      <c r="G243" s="34">
        <v>136</v>
      </c>
      <c r="H243" s="35">
        <v>40</v>
      </c>
      <c r="I243" s="38">
        <f t="shared" si="3"/>
        <v>14882.5</v>
      </c>
    </row>
    <row r="244" spans="1:9" x14ac:dyDescent="0.2">
      <c r="A244" s="33">
        <v>44804</v>
      </c>
      <c r="B244" s="36">
        <v>14840</v>
      </c>
      <c r="C244" s="7">
        <v>14845</v>
      </c>
      <c r="D244" s="7">
        <v>14860</v>
      </c>
      <c r="E244" s="7">
        <v>14835</v>
      </c>
      <c r="F244" s="7">
        <v>14835</v>
      </c>
      <c r="G244" s="34">
        <v>155</v>
      </c>
      <c r="H244" s="35">
        <v>0</v>
      </c>
      <c r="I244" s="38">
        <f t="shared" si="3"/>
        <v>14842.5</v>
      </c>
    </row>
    <row r="245" spans="1:9" x14ac:dyDescent="0.2">
      <c r="A245" s="33">
        <v>44803</v>
      </c>
      <c r="B245" s="36">
        <v>14840</v>
      </c>
      <c r="C245" s="7">
        <v>14845</v>
      </c>
      <c r="D245" s="7">
        <v>14892</v>
      </c>
      <c r="E245" s="7">
        <v>14835</v>
      </c>
      <c r="F245" s="7">
        <v>14875</v>
      </c>
      <c r="G245" s="34">
        <v>170</v>
      </c>
      <c r="H245" s="35">
        <v>-55</v>
      </c>
      <c r="I245" s="38">
        <f t="shared" si="3"/>
        <v>14842.5</v>
      </c>
    </row>
    <row r="246" spans="1:9" x14ac:dyDescent="0.2">
      <c r="A246" s="33">
        <v>44802</v>
      </c>
      <c r="B246" s="36">
        <v>14895</v>
      </c>
      <c r="C246" s="7">
        <v>14899</v>
      </c>
      <c r="D246" s="7">
        <v>14900</v>
      </c>
      <c r="E246" s="7">
        <v>14820</v>
      </c>
      <c r="F246" s="7">
        <v>14850</v>
      </c>
      <c r="G246" s="34">
        <v>130</v>
      </c>
      <c r="H246" s="35">
        <v>80</v>
      </c>
      <c r="I246" s="38">
        <f t="shared" si="3"/>
        <v>14897</v>
      </c>
    </row>
    <row r="247" spans="1:9" x14ac:dyDescent="0.2">
      <c r="A247" s="33">
        <v>44799</v>
      </c>
      <c r="B247" s="36">
        <v>14815</v>
      </c>
      <c r="C247" s="7">
        <v>14820</v>
      </c>
      <c r="D247" s="7">
        <v>14828</v>
      </c>
      <c r="E247" s="7">
        <v>14790</v>
      </c>
      <c r="F247" s="7">
        <v>14790</v>
      </c>
      <c r="G247" s="34">
        <v>168</v>
      </c>
      <c r="H247" s="35">
        <v>-5</v>
      </c>
      <c r="I247" s="38">
        <f t="shared" si="3"/>
        <v>14817.5</v>
      </c>
    </row>
    <row r="248" spans="1:9" x14ac:dyDescent="0.2">
      <c r="A248" s="33">
        <v>44798</v>
      </c>
      <c r="B248" s="36">
        <v>14820</v>
      </c>
      <c r="C248" s="7">
        <v>14825</v>
      </c>
      <c r="D248" s="7">
        <v>14835</v>
      </c>
      <c r="E248" s="7">
        <v>14810</v>
      </c>
      <c r="F248" s="7">
        <v>14820</v>
      </c>
      <c r="G248" s="34">
        <v>147</v>
      </c>
      <c r="H248" s="35">
        <v>-25</v>
      </c>
      <c r="I248" s="38">
        <f t="shared" si="3"/>
        <v>14822.5</v>
      </c>
    </row>
    <row r="249" spans="1:9" x14ac:dyDescent="0.2">
      <c r="A249" s="33">
        <v>44797</v>
      </c>
      <c r="B249" s="36">
        <v>14845</v>
      </c>
      <c r="C249" s="7">
        <v>14850</v>
      </c>
      <c r="D249" s="7">
        <v>14870</v>
      </c>
      <c r="E249" s="7">
        <v>14817</v>
      </c>
      <c r="F249" s="7">
        <v>14835</v>
      </c>
      <c r="G249" s="34">
        <v>148</v>
      </c>
      <c r="H249" s="35">
        <v>10</v>
      </c>
      <c r="I249" s="38">
        <f t="shared" si="3"/>
        <v>14847.5</v>
      </c>
    </row>
    <row r="250" spans="1:9" x14ac:dyDescent="0.2">
      <c r="A250" s="33">
        <v>44796</v>
      </c>
      <c r="B250" s="36">
        <v>14835</v>
      </c>
      <c r="C250" s="7">
        <v>14840</v>
      </c>
      <c r="D250" s="7">
        <v>14918</v>
      </c>
      <c r="E250" s="7">
        <v>14820</v>
      </c>
      <c r="F250" s="7">
        <v>14885</v>
      </c>
      <c r="G250" s="34">
        <v>132</v>
      </c>
      <c r="H250" s="35">
        <v>-50</v>
      </c>
      <c r="I250" s="38">
        <f t="shared" si="3"/>
        <v>14837.5</v>
      </c>
    </row>
    <row r="251" spans="1:9" x14ac:dyDescent="0.2">
      <c r="A251" s="33">
        <v>44795</v>
      </c>
      <c r="B251" s="36">
        <v>14885</v>
      </c>
      <c r="C251" s="7">
        <v>14890</v>
      </c>
      <c r="D251" s="7">
        <v>14890</v>
      </c>
      <c r="E251" s="7">
        <v>14850</v>
      </c>
      <c r="F251" s="7">
        <v>14850</v>
      </c>
      <c r="G251" s="34">
        <v>129</v>
      </c>
      <c r="H251" s="35">
        <v>50</v>
      </c>
      <c r="I251" s="38">
        <f t="shared" si="3"/>
        <v>14887.5</v>
      </c>
    </row>
    <row r="252" spans="1:9" x14ac:dyDescent="0.2">
      <c r="A252" s="33">
        <v>44792</v>
      </c>
      <c r="B252" s="36">
        <v>14835</v>
      </c>
      <c r="C252" s="7">
        <v>14840</v>
      </c>
      <c r="D252" s="7">
        <v>14870</v>
      </c>
      <c r="E252" s="7">
        <v>14835</v>
      </c>
      <c r="F252" s="7">
        <v>14840</v>
      </c>
      <c r="G252" s="34">
        <v>166</v>
      </c>
      <c r="H252" s="35">
        <v>5</v>
      </c>
      <c r="I252" s="38">
        <f t="shared" si="3"/>
        <v>14837.5</v>
      </c>
    </row>
    <row r="253" spans="1:9" x14ac:dyDescent="0.2">
      <c r="A253" s="33">
        <v>44791</v>
      </c>
      <c r="B253" s="36">
        <v>14830</v>
      </c>
      <c r="C253" s="7">
        <v>14835</v>
      </c>
      <c r="D253" s="7">
        <v>14843</v>
      </c>
      <c r="E253" s="7">
        <v>14775</v>
      </c>
      <c r="F253" s="7">
        <v>14775</v>
      </c>
      <c r="G253" s="34">
        <v>155</v>
      </c>
      <c r="H253" s="35">
        <v>65</v>
      </c>
      <c r="I253" s="38">
        <f t="shared" si="3"/>
        <v>14832.5</v>
      </c>
    </row>
    <row r="254" spans="1:9" x14ac:dyDescent="0.2">
      <c r="A254" s="33">
        <v>44790</v>
      </c>
      <c r="B254" s="36">
        <v>14765</v>
      </c>
      <c r="C254" s="7">
        <v>14770</v>
      </c>
      <c r="D254" s="7"/>
      <c r="E254" s="7"/>
      <c r="F254" s="7"/>
      <c r="G254" s="34"/>
      <c r="H254" s="35">
        <v>0</v>
      </c>
      <c r="I254" s="38">
        <f t="shared" si="3"/>
        <v>14767.5</v>
      </c>
    </row>
    <row r="255" spans="1:9" x14ac:dyDescent="0.2">
      <c r="A255" s="33">
        <v>44789</v>
      </c>
      <c r="B255" s="36">
        <v>14765</v>
      </c>
      <c r="C255" s="7">
        <v>14770</v>
      </c>
      <c r="D255" s="7">
        <v>14780</v>
      </c>
      <c r="E255" s="7">
        <v>14750</v>
      </c>
      <c r="F255" s="7">
        <v>14770</v>
      </c>
      <c r="G255" s="34">
        <v>145</v>
      </c>
      <c r="H255" s="35">
        <v>25</v>
      </c>
      <c r="I255" s="38">
        <f t="shared" si="3"/>
        <v>14767.5</v>
      </c>
    </row>
    <row r="256" spans="1:9" x14ac:dyDescent="0.2">
      <c r="A256" s="33">
        <v>44788</v>
      </c>
      <c r="B256" s="36">
        <v>14740</v>
      </c>
      <c r="C256" s="7">
        <v>14745</v>
      </c>
      <c r="D256" s="7">
        <v>14743</v>
      </c>
      <c r="E256" s="7">
        <v>14680</v>
      </c>
      <c r="F256" s="7">
        <v>14680</v>
      </c>
      <c r="G256" s="34">
        <v>164</v>
      </c>
      <c r="H256" s="35">
        <v>75</v>
      </c>
      <c r="I256" s="38">
        <f t="shared" si="3"/>
        <v>14742.5</v>
      </c>
    </row>
    <row r="257" spans="1:9" x14ac:dyDescent="0.2">
      <c r="A257" s="33">
        <v>44785</v>
      </c>
      <c r="B257" s="36">
        <v>14665</v>
      </c>
      <c r="C257" s="7">
        <v>14670</v>
      </c>
      <c r="D257" s="7">
        <v>14740</v>
      </c>
      <c r="E257" s="7">
        <v>14655</v>
      </c>
      <c r="F257" s="7">
        <v>14720</v>
      </c>
      <c r="G257" s="34">
        <v>143</v>
      </c>
      <c r="H257" s="35">
        <v>-100</v>
      </c>
      <c r="I257" s="38">
        <f t="shared" si="3"/>
        <v>14667.5</v>
      </c>
    </row>
    <row r="258" spans="1:9" x14ac:dyDescent="0.2">
      <c r="A258" s="33">
        <v>44784</v>
      </c>
      <c r="B258" s="36">
        <v>14765</v>
      </c>
      <c r="C258" s="7">
        <v>14770</v>
      </c>
      <c r="D258" s="7">
        <v>14865</v>
      </c>
      <c r="E258" s="7">
        <v>14755</v>
      </c>
      <c r="F258" s="7">
        <v>14810</v>
      </c>
      <c r="G258" s="34">
        <v>175</v>
      </c>
      <c r="H258" s="35">
        <v>-105</v>
      </c>
      <c r="I258" s="38">
        <f t="shared" si="3"/>
        <v>14767.5</v>
      </c>
    </row>
    <row r="259" spans="1:9" x14ac:dyDescent="0.2">
      <c r="A259" s="33">
        <v>44783</v>
      </c>
      <c r="B259" s="36">
        <v>14870</v>
      </c>
      <c r="C259" s="7">
        <v>14874</v>
      </c>
      <c r="D259" s="7">
        <v>14878</v>
      </c>
      <c r="E259" s="7">
        <v>14860</v>
      </c>
      <c r="F259" s="7">
        <v>14860</v>
      </c>
      <c r="G259" s="34">
        <v>123</v>
      </c>
      <c r="H259" s="35">
        <v>20</v>
      </c>
      <c r="I259" s="38">
        <f t="shared" si="3"/>
        <v>14872</v>
      </c>
    </row>
    <row r="260" spans="1:9" x14ac:dyDescent="0.2">
      <c r="A260" s="33">
        <v>44782</v>
      </c>
      <c r="B260" s="36">
        <v>14850</v>
      </c>
      <c r="C260" s="7">
        <v>14855</v>
      </c>
      <c r="D260" s="7">
        <v>14872</v>
      </c>
      <c r="E260" s="7">
        <v>14845</v>
      </c>
      <c r="F260" s="7">
        <v>14855</v>
      </c>
      <c r="G260" s="34">
        <v>222</v>
      </c>
      <c r="H260" s="35">
        <v>-25</v>
      </c>
      <c r="I260" s="38">
        <f t="shared" si="3"/>
        <v>14852.5</v>
      </c>
    </row>
    <row r="261" spans="1:9" x14ac:dyDescent="0.2">
      <c r="A261" s="33">
        <v>44781</v>
      </c>
      <c r="B261" s="36">
        <v>14875</v>
      </c>
      <c r="C261" s="7">
        <v>14880</v>
      </c>
      <c r="D261" s="7">
        <v>14930</v>
      </c>
      <c r="E261" s="7">
        <v>14875</v>
      </c>
      <c r="F261" s="7">
        <v>14895</v>
      </c>
      <c r="G261" s="34">
        <v>174</v>
      </c>
      <c r="H261" s="35">
        <v>-15</v>
      </c>
      <c r="I261" s="38">
        <f t="shared" si="3"/>
        <v>14877.5</v>
      </c>
    </row>
    <row r="262" spans="1:9" x14ac:dyDescent="0.2">
      <c r="A262" s="33">
        <v>44778</v>
      </c>
      <c r="B262" s="36">
        <v>14890</v>
      </c>
      <c r="C262" s="7">
        <v>14895</v>
      </c>
      <c r="D262" s="7">
        <v>14910</v>
      </c>
      <c r="E262" s="7">
        <v>14860</v>
      </c>
      <c r="F262" s="7">
        <v>14860</v>
      </c>
      <c r="G262" s="34">
        <v>135</v>
      </c>
      <c r="H262" s="35">
        <v>-40</v>
      </c>
      <c r="I262" s="38">
        <f t="shared" si="3"/>
        <v>14892.5</v>
      </c>
    </row>
    <row r="263" spans="1:9" x14ac:dyDescent="0.2">
      <c r="A263" s="33">
        <v>44777</v>
      </c>
      <c r="B263" s="36">
        <v>14930</v>
      </c>
      <c r="C263" s="7">
        <v>14935</v>
      </c>
      <c r="D263" s="7">
        <v>14938</v>
      </c>
      <c r="E263" s="7">
        <v>14890</v>
      </c>
      <c r="F263" s="7">
        <v>14900</v>
      </c>
      <c r="G263" s="34">
        <v>157</v>
      </c>
      <c r="H263" s="35">
        <v>20</v>
      </c>
      <c r="I263" s="38">
        <f t="shared" si="3"/>
        <v>14932.5</v>
      </c>
    </row>
    <row r="264" spans="1:9" x14ac:dyDescent="0.2">
      <c r="A264" s="33">
        <v>44776</v>
      </c>
      <c r="B264" s="36">
        <v>14910</v>
      </c>
      <c r="C264" s="7">
        <v>14915</v>
      </c>
      <c r="D264" s="7">
        <v>14920</v>
      </c>
      <c r="E264" s="7">
        <v>14880</v>
      </c>
      <c r="F264" s="7">
        <v>14890</v>
      </c>
      <c r="G264" s="34">
        <v>165</v>
      </c>
      <c r="H264" s="35">
        <v>20</v>
      </c>
      <c r="I264" s="38">
        <f t="shared" si="3"/>
        <v>14912.5</v>
      </c>
    </row>
    <row r="265" spans="1:9" x14ac:dyDescent="0.2">
      <c r="A265" s="33">
        <v>44775</v>
      </c>
      <c r="B265" s="36">
        <v>14890</v>
      </c>
      <c r="C265" s="7">
        <v>14895</v>
      </c>
      <c r="D265" s="7">
        <v>14990</v>
      </c>
      <c r="E265" s="7">
        <v>14855</v>
      </c>
      <c r="F265" s="7">
        <v>14855</v>
      </c>
      <c r="G265" s="34">
        <v>192</v>
      </c>
      <c r="H265" s="35">
        <v>20</v>
      </c>
      <c r="I265" s="38">
        <f t="shared" si="3"/>
        <v>14892.5</v>
      </c>
    </row>
    <row r="266" spans="1:9" x14ac:dyDescent="0.2">
      <c r="A266" s="33">
        <v>44774</v>
      </c>
      <c r="B266" s="36">
        <v>14870</v>
      </c>
      <c r="C266" s="7">
        <v>14875</v>
      </c>
      <c r="D266" s="7">
        <v>14885</v>
      </c>
      <c r="E266" s="7">
        <v>14835</v>
      </c>
      <c r="F266" s="7">
        <v>14835</v>
      </c>
      <c r="G266" s="34">
        <v>129</v>
      </c>
      <c r="H266" s="35">
        <v>40</v>
      </c>
      <c r="I266" s="38">
        <f t="shared" si="3"/>
        <v>14872.5</v>
      </c>
    </row>
    <row r="267" spans="1:9" x14ac:dyDescent="0.2">
      <c r="A267" s="33">
        <v>44771</v>
      </c>
      <c r="B267" s="36">
        <v>14830</v>
      </c>
      <c r="C267" s="7">
        <v>14835</v>
      </c>
      <c r="D267" s="7">
        <v>14880</v>
      </c>
      <c r="E267" s="7">
        <v>14825</v>
      </c>
      <c r="F267" s="7">
        <v>14850</v>
      </c>
      <c r="G267" s="34">
        <v>163</v>
      </c>
      <c r="H267" s="35">
        <v>-100</v>
      </c>
      <c r="I267" s="38">
        <f t="shared" si="3"/>
        <v>14832.5</v>
      </c>
    </row>
    <row r="268" spans="1:9" x14ac:dyDescent="0.2">
      <c r="A268" s="33">
        <v>44770</v>
      </c>
      <c r="B268" s="36">
        <v>14930</v>
      </c>
      <c r="C268" s="7">
        <v>14935</v>
      </c>
      <c r="D268" s="7">
        <v>14975</v>
      </c>
      <c r="E268" s="7">
        <v>14915</v>
      </c>
      <c r="F268" s="7">
        <v>14925</v>
      </c>
      <c r="G268" s="34">
        <v>182</v>
      </c>
      <c r="H268" s="35">
        <v>-80</v>
      </c>
      <c r="I268" s="38">
        <f t="shared" si="3"/>
        <v>14932.5</v>
      </c>
    </row>
    <row r="269" spans="1:9" x14ac:dyDescent="0.2">
      <c r="A269" s="33">
        <v>44769</v>
      </c>
      <c r="B269" s="36">
        <v>15010</v>
      </c>
      <c r="C269" s="7">
        <v>15014</v>
      </c>
      <c r="D269" s="7">
        <v>15020</v>
      </c>
      <c r="E269" s="7">
        <v>14918</v>
      </c>
      <c r="F269" s="7">
        <v>14995</v>
      </c>
      <c r="G269" s="34">
        <v>152</v>
      </c>
      <c r="H269" s="35">
        <v>15</v>
      </c>
      <c r="I269" s="38">
        <f t="shared" si="3"/>
        <v>15012</v>
      </c>
    </row>
    <row r="270" spans="1:9" x14ac:dyDescent="0.2">
      <c r="A270" s="33">
        <v>44768</v>
      </c>
      <c r="B270" s="36">
        <v>14995</v>
      </c>
      <c r="C270" s="7">
        <v>14999</v>
      </c>
      <c r="D270" s="7">
        <v>15000</v>
      </c>
      <c r="E270" s="7">
        <v>14930</v>
      </c>
      <c r="F270" s="7">
        <v>14930</v>
      </c>
      <c r="G270" s="34">
        <v>99</v>
      </c>
      <c r="H270" s="35">
        <v>0</v>
      </c>
      <c r="I270" s="38">
        <f t="shared" si="3"/>
        <v>14997</v>
      </c>
    </row>
    <row r="271" spans="1:9" x14ac:dyDescent="0.2">
      <c r="A271" s="33">
        <v>44767</v>
      </c>
      <c r="B271" s="36">
        <v>14995</v>
      </c>
      <c r="C271" s="7">
        <v>15000</v>
      </c>
      <c r="D271" s="7">
        <v>15000</v>
      </c>
      <c r="E271" s="7">
        <v>14965</v>
      </c>
      <c r="F271" s="7">
        <v>14980</v>
      </c>
      <c r="G271" s="34">
        <v>121</v>
      </c>
      <c r="H271" s="35">
        <v>-20</v>
      </c>
      <c r="I271" s="38">
        <f t="shared" si="3"/>
        <v>14997.5</v>
      </c>
    </row>
    <row r="272" spans="1:9" x14ac:dyDescent="0.2">
      <c r="A272" s="33">
        <v>44764</v>
      </c>
      <c r="B272" s="36">
        <v>15015</v>
      </c>
      <c r="C272" s="7">
        <v>15020</v>
      </c>
      <c r="D272" s="7">
        <v>15035</v>
      </c>
      <c r="E272" s="7">
        <v>15000</v>
      </c>
      <c r="F272" s="7">
        <v>15020</v>
      </c>
      <c r="G272" s="34">
        <v>135</v>
      </c>
      <c r="H272" s="35">
        <v>-15</v>
      </c>
      <c r="I272" s="38">
        <f t="shared" si="3"/>
        <v>15017.5</v>
      </c>
    </row>
    <row r="273" spans="1:9" x14ac:dyDescent="0.2">
      <c r="A273" s="33">
        <v>44763</v>
      </c>
      <c r="B273" s="36">
        <v>15030</v>
      </c>
      <c r="C273" s="7">
        <v>15035</v>
      </c>
      <c r="D273" s="7">
        <v>15033</v>
      </c>
      <c r="E273" s="7">
        <v>14985</v>
      </c>
      <c r="F273" s="7">
        <v>14985</v>
      </c>
      <c r="G273" s="34">
        <v>193</v>
      </c>
      <c r="H273" s="35">
        <v>45</v>
      </c>
      <c r="I273" s="38">
        <f t="shared" si="3"/>
        <v>15032.5</v>
      </c>
    </row>
    <row r="274" spans="1:9" x14ac:dyDescent="0.2">
      <c r="A274" s="33">
        <v>44762</v>
      </c>
      <c r="B274" s="36">
        <v>14985</v>
      </c>
      <c r="C274" s="7">
        <v>14990</v>
      </c>
      <c r="D274" s="7">
        <v>14989</v>
      </c>
      <c r="E274" s="7">
        <v>14960</v>
      </c>
      <c r="F274" s="7">
        <v>14965</v>
      </c>
      <c r="G274" s="34">
        <v>99</v>
      </c>
      <c r="H274" s="35">
        <v>10</v>
      </c>
      <c r="I274" s="38">
        <f t="shared" si="3"/>
        <v>14987.5</v>
      </c>
    </row>
    <row r="275" spans="1:9" x14ac:dyDescent="0.2">
      <c r="A275" s="33">
        <v>44761</v>
      </c>
      <c r="B275" s="36">
        <v>14975</v>
      </c>
      <c r="C275" s="7">
        <v>14980</v>
      </c>
      <c r="D275" s="7">
        <v>14994</v>
      </c>
      <c r="E275" s="7">
        <v>14974</v>
      </c>
      <c r="F275" s="7">
        <v>14975</v>
      </c>
      <c r="G275" s="34">
        <v>138</v>
      </c>
      <c r="H275" s="35">
        <v>-7</v>
      </c>
      <c r="I275" s="38">
        <f t="shared" si="3"/>
        <v>14977.5</v>
      </c>
    </row>
    <row r="276" spans="1:9" x14ac:dyDescent="0.2">
      <c r="A276" s="33">
        <v>44760</v>
      </c>
      <c r="B276" s="36">
        <v>14982</v>
      </c>
      <c r="C276" s="7">
        <v>14985</v>
      </c>
      <c r="D276" s="7">
        <v>14991</v>
      </c>
      <c r="E276" s="7">
        <v>14940</v>
      </c>
      <c r="F276" s="7">
        <v>14950</v>
      </c>
      <c r="G276" s="34">
        <v>148</v>
      </c>
      <c r="H276" s="35">
        <v>-8</v>
      </c>
      <c r="I276" s="38">
        <f t="shared" si="3"/>
        <v>14983.5</v>
      </c>
    </row>
    <row r="277" spans="1:9" x14ac:dyDescent="0.2">
      <c r="A277" s="33">
        <v>44757</v>
      </c>
      <c r="B277" s="36">
        <v>14990</v>
      </c>
      <c r="C277" s="7">
        <v>14995</v>
      </c>
      <c r="D277" s="7">
        <v>14997</v>
      </c>
      <c r="E277" s="7">
        <v>14960</v>
      </c>
      <c r="F277" s="7">
        <v>14990</v>
      </c>
      <c r="G277" s="34">
        <v>81</v>
      </c>
      <c r="H277" s="35">
        <v>0</v>
      </c>
      <c r="I277" s="38">
        <f t="shared" si="3"/>
        <v>14992.5</v>
      </c>
    </row>
    <row r="278" spans="1:9" x14ac:dyDescent="0.2">
      <c r="A278" s="33">
        <v>44756</v>
      </c>
      <c r="B278" s="36">
        <v>14990</v>
      </c>
      <c r="C278" s="7">
        <v>14995</v>
      </c>
      <c r="D278" s="7">
        <v>14997</v>
      </c>
      <c r="E278" s="7">
        <v>14978</v>
      </c>
      <c r="F278" s="7">
        <v>14990</v>
      </c>
      <c r="G278" s="34">
        <v>141</v>
      </c>
      <c r="H278" s="35">
        <v>5</v>
      </c>
      <c r="I278" s="38">
        <f t="shared" si="3"/>
        <v>14992.5</v>
      </c>
    </row>
    <row r="279" spans="1:9" x14ac:dyDescent="0.2">
      <c r="A279" s="33">
        <v>44755</v>
      </c>
      <c r="B279" s="36">
        <v>14985</v>
      </c>
      <c r="C279" s="7">
        <v>14990</v>
      </c>
      <c r="D279" s="7">
        <v>14993</v>
      </c>
      <c r="E279" s="7">
        <v>14958</v>
      </c>
      <c r="F279" s="7">
        <v>14970</v>
      </c>
      <c r="G279" s="34">
        <v>125</v>
      </c>
      <c r="H279" s="35">
        <v>0</v>
      </c>
      <c r="I279" s="38">
        <f t="shared" si="3"/>
        <v>14987.5</v>
      </c>
    </row>
    <row r="280" spans="1:9" x14ac:dyDescent="0.2">
      <c r="A280" s="33">
        <v>44754</v>
      </c>
      <c r="B280" s="36">
        <v>14985</v>
      </c>
      <c r="C280" s="7">
        <v>14990</v>
      </c>
      <c r="D280" s="7">
        <v>14992</v>
      </c>
      <c r="E280" s="7">
        <v>14967</v>
      </c>
      <c r="F280" s="7">
        <v>14980</v>
      </c>
      <c r="G280" s="34">
        <v>143</v>
      </c>
      <c r="H280" s="35">
        <v>15</v>
      </c>
      <c r="I280" s="38">
        <f t="shared" si="3"/>
        <v>14987.5</v>
      </c>
    </row>
    <row r="281" spans="1:9" x14ac:dyDescent="0.2">
      <c r="A281" s="33">
        <v>44753</v>
      </c>
      <c r="B281" s="36">
        <v>14970</v>
      </c>
      <c r="C281" s="7">
        <v>14975</v>
      </c>
      <c r="D281" s="7">
        <v>14980</v>
      </c>
      <c r="E281" s="7">
        <v>14943</v>
      </c>
      <c r="F281" s="7">
        <v>14980</v>
      </c>
      <c r="G281" s="34">
        <v>138</v>
      </c>
      <c r="H281" s="35">
        <v>-5</v>
      </c>
      <c r="I281" s="38">
        <f t="shared" si="3"/>
        <v>14972.5</v>
      </c>
    </row>
    <row r="282" spans="1:9" x14ac:dyDescent="0.2">
      <c r="A282" s="33">
        <v>44750</v>
      </c>
      <c r="B282" s="36">
        <v>14975</v>
      </c>
      <c r="C282" s="7">
        <v>14979</v>
      </c>
      <c r="D282" s="7">
        <v>14982</v>
      </c>
      <c r="E282" s="7">
        <v>14940</v>
      </c>
      <c r="F282" s="7">
        <v>14975</v>
      </c>
      <c r="G282" s="34">
        <v>200</v>
      </c>
      <c r="H282" s="35">
        <v>-20</v>
      </c>
      <c r="I282" s="38">
        <f t="shared" si="3"/>
        <v>14977</v>
      </c>
    </row>
    <row r="283" spans="1:9" x14ac:dyDescent="0.2">
      <c r="A283" s="33">
        <v>44749</v>
      </c>
      <c r="B283" s="36">
        <v>14995</v>
      </c>
      <c r="C283" s="7">
        <v>14997</v>
      </c>
      <c r="D283" s="7">
        <v>14995</v>
      </c>
      <c r="E283" s="7">
        <v>14960</v>
      </c>
      <c r="F283" s="7">
        <v>14970</v>
      </c>
      <c r="G283" s="34">
        <v>186</v>
      </c>
      <c r="H283" s="35">
        <v>0</v>
      </c>
      <c r="I283" s="38">
        <f t="shared" si="3"/>
        <v>14996</v>
      </c>
    </row>
    <row r="284" spans="1:9" x14ac:dyDescent="0.2">
      <c r="A284" s="33">
        <v>44748</v>
      </c>
      <c r="B284" s="36">
        <v>14995</v>
      </c>
      <c r="C284" s="7">
        <v>14999</v>
      </c>
      <c r="D284" s="7">
        <v>15020</v>
      </c>
      <c r="E284" s="7">
        <v>14981</v>
      </c>
      <c r="F284" s="7">
        <v>14990</v>
      </c>
      <c r="G284" s="34">
        <v>173</v>
      </c>
      <c r="H284" s="35">
        <v>10</v>
      </c>
      <c r="I284" s="38">
        <f t="shared" si="3"/>
        <v>14997</v>
      </c>
    </row>
    <row r="285" spans="1:9" x14ac:dyDescent="0.2">
      <c r="A285" s="33">
        <v>44747</v>
      </c>
      <c r="B285" s="36">
        <v>14985</v>
      </c>
      <c r="C285" s="7">
        <v>14990</v>
      </c>
      <c r="D285" s="7">
        <v>14990</v>
      </c>
      <c r="E285" s="7">
        <v>14950</v>
      </c>
      <c r="F285" s="7">
        <v>14950</v>
      </c>
      <c r="G285" s="34">
        <v>152</v>
      </c>
      <c r="H285" s="35">
        <v>20</v>
      </c>
      <c r="I285" s="38">
        <f t="shared" si="3"/>
        <v>14987.5</v>
      </c>
    </row>
    <row r="286" spans="1:9" x14ac:dyDescent="0.2">
      <c r="A286" s="33">
        <v>44746</v>
      </c>
      <c r="B286" s="36">
        <v>14965</v>
      </c>
      <c r="C286" s="7">
        <v>14970</v>
      </c>
      <c r="D286" s="7">
        <v>14968</v>
      </c>
      <c r="E286" s="7">
        <v>14915</v>
      </c>
      <c r="F286" s="7">
        <v>14915</v>
      </c>
      <c r="G286" s="34">
        <v>143</v>
      </c>
      <c r="H286" s="35">
        <v>30</v>
      </c>
      <c r="I286" s="38">
        <f t="shared" si="3"/>
        <v>14967.5</v>
      </c>
    </row>
    <row r="287" spans="1:9" x14ac:dyDescent="0.2">
      <c r="A287" s="33">
        <v>44743</v>
      </c>
      <c r="B287" s="36">
        <v>14935</v>
      </c>
      <c r="C287" s="7">
        <v>14940</v>
      </c>
      <c r="D287" s="7">
        <v>14970</v>
      </c>
      <c r="E287" s="7">
        <v>14860</v>
      </c>
      <c r="F287" s="7">
        <v>14910</v>
      </c>
      <c r="G287" s="34">
        <v>150</v>
      </c>
      <c r="H287" s="35">
        <v>40</v>
      </c>
      <c r="I287" s="38">
        <f t="shared" si="3"/>
        <v>14937.5</v>
      </c>
    </row>
    <row r="288" spans="1:9" x14ac:dyDescent="0.2">
      <c r="A288" s="33">
        <v>44742</v>
      </c>
      <c r="B288" s="36">
        <v>14895</v>
      </c>
      <c r="C288" s="7">
        <v>14900</v>
      </c>
      <c r="D288" s="7">
        <v>14895</v>
      </c>
      <c r="E288" s="7">
        <v>14820</v>
      </c>
      <c r="F288" s="7">
        <v>14850</v>
      </c>
      <c r="G288" s="34">
        <v>189</v>
      </c>
      <c r="H288" s="35">
        <v>46</v>
      </c>
      <c r="I288" s="38">
        <f t="shared" ref="I288:I351" si="4">+(B288+C288)*0.5</f>
        <v>14897.5</v>
      </c>
    </row>
    <row r="289" spans="1:9" x14ac:dyDescent="0.2">
      <c r="A289" s="33">
        <v>44741</v>
      </c>
      <c r="B289" s="36">
        <v>14849</v>
      </c>
      <c r="C289" s="7">
        <v>14850</v>
      </c>
      <c r="D289" s="7">
        <v>14852</v>
      </c>
      <c r="E289" s="7">
        <v>14800</v>
      </c>
      <c r="F289" s="7">
        <v>14840</v>
      </c>
      <c r="G289" s="34">
        <v>155</v>
      </c>
      <c r="H289" s="35">
        <v>14</v>
      </c>
      <c r="I289" s="38">
        <f t="shared" si="4"/>
        <v>14849.5</v>
      </c>
    </row>
    <row r="290" spans="1:9" x14ac:dyDescent="0.2">
      <c r="A290" s="33">
        <v>44740</v>
      </c>
      <c r="B290" s="36">
        <v>14835</v>
      </c>
      <c r="C290" s="7">
        <v>14839</v>
      </c>
      <c r="D290" s="7">
        <v>14845</v>
      </c>
      <c r="E290" s="7">
        <v>14785</v>
      </c>
      <c r="F290" s="7">
        <v>14820</v>
      </c>
      <c r="G290" s="34">
        <v>167</v>
      </c>
      <c r="H290" s="35">
        <v>35</v>
      </c>
      <c r="I290" s="38">
        <f t="shared" si="4"/>
        <v>14837</v>
      </c>
    </row>
    <row r="291" spans="1:9" x14ac:dyDescent="0.2">
      <c r="A291" s="33">
        <v>44739</v>
      </c>
      <c r="B291" s="36">
        <v>14800</v>
      </c>
      <c r="C291" s="7">
        <v>14805</v>
      </c>
      <c r="D291" s="7">
        <v>14810</v>
      </c>
      <c r="E291" s="7">
        <v>14780</v>
      </c>
      <c r="F291" s="7">
        <v>14790</v>
      </c>
      <c r="G291" s="34">
        <v>113</v>
      </c>
      <c r="H291" s="35">
        <v>-45</v>
      </c>
      <c r="I291" s="38">
        <f t="shared" si="4"/>
        <v>14802.5</v>
      </c>
    </row>
    <row r="292" spans="1:9" x14ac:dyDescent="0.2">
      <c r="A292" s="33">
        <v>44736</v>
      </c>
      <c r="B292" s="36">
        <v>14845</v>
      </c>
      <c r="C292" s="7">
        <v>14850</v>
      </c>
      <c r="D292" s="7">
        <v>14850</v>
      </c>
      <c r="E292" s="7">
        <v>14820</v>
      </c>
      <c r="F292" s="7">
        <v>14833</v>
      </c>
      <c r="G292" s="34">
        <v>155</v>
      </c>
      <c r="H292" s="35">
        <v>10</v>
      </c>
      <c r="I292" s="38">
        <f t="shared" si="4"/>
        <v>14847.5</v>
      </c>
    </row>
    <row r="293" spans="1:9" x14ac:dyDescent="0.2">
      <c r="A293" s="33">
        <v>44735</v>
      </c>
      <c r="B293" s="36">
        <v>14835</v>
      </c>
      <c r="C293" s="7">
        <v>14840</v>
      </c>
      <c r="D293" s="7">
        <v>14840</v>
      </c>
      <c r="E293" s="7">
        <v>14800</v>
      </c>
      <c r="F293" s="7">
        <v>14825</v>
      </c>
      <c r="G293" s="34">
        <v>174</v>
      </c>
      <c r="H293" s="35">
        <v>-30</v>
      </c>
      <c r="I293" s="38">
        <f t="shared" si="4"/>
        <v>14837.5</v>
      </c>
    </row>
    <row r="294" spans="1:9" x14ac:dyDescent="0.2">
      <c r="A294" s="33">
        <v>44734</v>
      </c>
      <c r="B294" s="36">
        <v>14865</v>
      </c>
      <c r="C294" s="7">
        <v>14870</v>
      </c>
      <c r="D294" s="7">
        <v>14872</v>
      </c>
      <c r="E294" s="7">
        <v>14790</v>
      </c>
      <c r="F294" s="7">
        <v>14800</v>
      </c>
      <c r="G294" s="34">
        <v>194</v>
      </c>
      <c r="H294" s="35">
        <v>55</v>
      </c>
      <c r="I294" s="38">
        <f t="shared" si="4"/>
        <v>14867.5</v>
      </c>
    </row>
    <row r="295" spans="1:9" x14ac:dyDescent="0.2">
      <c r="A295" s="33">
        <v>44733</v>
      </c>
      <c r="B295" s="36">
        <v>14810</v>
      </c>
      <c r="C295" s="7">
        <v>14814</v>
      </c>
      <c r="D295" s="7">
        <v>14825</v>
      </c>
      <c r="E295" s="7">
        <v>14750</v>
      </c>
      <c r="F295" s="7">
        <v>14810</v>
      </c>
      <c r="G295" s="34">
        <v>212</v>
      </c>
      <c r="H295" s="35">
        <v>-20</v>
      </c>
      <c r="I295" s="38">
        <f t="shared" si="4"/>
        <v>14812</v>
      </c>
    </row>
    <row r="296" spans="1:9" x14ac:dyDescent="0.2">
      <c r="A296" s="33">
        <v>44732</v>
      </c>
      <c r="B296" s="36">
        <v>14830</v>
      </c>
      <c r="C296" s="7">
        <v>14835</v>
      </c>
      <c r="D296" s="7">
        <v>14843</v>
      </c>
      <c r="E296" s="7">
        <v>14800</v>
      </c>
      <c r="F296" s="7">
        <v>14820</v>
      </c>
      <c r="G296" s="34">
        <v>150</v>
      </c>
      <c r="H296" s="35">
        <v>9</v>
      </c>
      <c r="I296" s="38">
        <f t="shared" si="4"/>
        <v>14832.5</v>
      </c>
    </row>
    <row r="297" spans="1:9" x14ac:dyDescent="0.2">
      <c r="A297" s="33">
        <v>44729</v>
      </c>
      <c r="B297" s="36">
        <v>14821</v>
      </c>
      <c r="C297" s="7">
        <v>14825</v>
      </c>
      <c r="D297" s="7">
        <v>14833</v>
      </c>
      <c r="E297" s="7">
        <v>14720</v>
      </c>
      <c r="F297" s="7">
        <v>14820</v>
      </c>
      <c r="G297" s="34">
        <v>210</v>
      </c>
      <c r="H297" s="35">
        <v>56</v>
      </c>
      <c r="I297" s="38">
        <f t="shared" si="4"/>
        <v>14823</v>
      </c>
    </row>
    <row r="298" spans="1:9" x14ac:dyDescent="0.2">
      <c r="A298" s="33">
        <v>44728</v>
      </c>
      <c r="B298" s="36">
        <v>14765</v>
      </c>
      <c r="C298" s="7">
        <v>14769</v>
      </c>
      <c r="D298" s="7">
        <v>14765</v>
      </c>
      <c r="E298" s="7">
        <v>14690</v>
      </c>
      <c r="F298" s="7">
        <v>14711</v>
      </c>
      <c r="G298" s="34">
        <v>172</v>
      </c>
      <c r="H298" s="35">
        <v>25</v>
      </c>
      <c r="I298" s="38">
        <f t="shared" si="4"/>
        <v>14767</v>
      </c>
    </row>
    <row r="299" spans="1:9" x14ac:dyDescent="0.2">
      <c r="A299" s="33">
        <v>44727</v>
      </c>
      <c r="B299" s="36">
        <v>14740</v>
      </c>
      <c r="C299" s="7">
        <v>14745</v>
      </c>
      <c r="D299" s="7">
        <v>14758</v>
      </c>
      <c r="E299" s="7">
        <v>14685</v>
      </c>
      <c r="F299" s="7">
        <v>14685</v>
      </c>
      <c r="G299" s="34">
        <v>221</v>
      </c>
      <c r="H299" s="35">
        <v>45</v>
      </c>
      <c r="I299" s="38">
        <f t="shared" si="4"/>
        <v>14742.5</v>
      </c>
    </row>
    <row r="300" spans="1:9" x14ac:dyDescent="0.2">
      <c r="A300" s="33">
        <v>44726</v>
      </c>
      <c r="B300" s="36">
        <v>14695</v>
      </c>
      <c r="C300" s="7">
        <v>14700</v>
      </c>
      <c r="D300" s="7">
        <v>14762</v>
      </c>
      <c r="E300" s="7">
        <v>14680</v>
      </c>
      <c r="F300" s="7">
        <v>14700</v>
      </c>
      <c r="G300" s="34">
        <v>200</v>
      </c>
      <c r="H300" s="35">
        <v>17</v>
      </c>
      <c r="I300" s="38">
        <f t="shared" si="4"/>
        <v>14697.5</v>
      </c>
    </row>
    <row r="301" spans="1:9" x14ac:dyDescent="0.2">
      <c r="A301" s="33">
        <v>44725</v>
      </c>
      <c r="B301" s="36">
        <v>14678</v>
      </c>
      <c r="C301" s="7">
        <v>14683</v>
      </c>
      <c r="D301" s="7">
        <v>14683</v>
      </c>
      <c r="E301" s="7">
        <v>14630</v>
      </c>
      <c r="F301" s="7">
        <v>14640</v>
      </c>
      <c r="G301" s="34">
        <v>166</v>
      </c>
      <c r="H301" s="35">
        <v>128</v>
      </c>
      <c r="I301" s="38">
        <f t="shared" si="4"/>
        <v>14680.5</v>
      </c>
    </row>
    <row r="302" spans="1:9" x14ac:dyDescent="0.2">
      <c r="A302" s="33">
        <v>44722</v>
      </c>
      <c r="B302" s="36">
        <v>14550</v>
      </c>
      <c r="C302" s="7">
        <v>14555</v>
      </c>
      <c r="D302" s="7">
        <v>14580</v>
      </c>
      <c r="E302" s="7">
        <v>14540</v>
      </c>
      <c r="F302" s="7">
        <v>14570</v>
      </c>
      <c r="G302" s="34">
        <v>154</v>
      </c>
      <c r="H302" s="35">
        <v>-10</v>
      </c>
      <c r="I302" s="38">
        <f t="shared" si="4"/>
        <v>14552.5</v>
      </c>
    </row>
    <row r="303" spans="1:9" x14ac:dyDescent="0.2">
      <c r="A303" s="33">
        <v>44721</v>
      </c>
      <c r="B303" s="36">
        <v>14560</v>
      </c>
      <c r="C303" s="7">
        <v>14565</v>
      </c>
      <c r="D303" s="7">
        <v>14567</v>
      </c>
      <c r="E303" s="7">
        <v>14500</v>
      </c>
      <c r="F303" s="7">
        <v>14500</v>
      </c>
      <c r="G303" s="34">
        <v>156</v>
      </c>
      <c r="H303" s="35">
        <v>70</v>
      </c>
      <c r="I303" s="38">
        <f t="shared" si="4"/>
        <v>14562.5</v>
      </c>
    </row>
    <row r="304" spans="1:9" x14ac:dyDescent="0.2">
      <c r="A304" s="33">
        <v>44720</v>
      </c>
      <c r="B304" s="36">
        <v>14490</v>
      </c>
      <c r="C304" s="7">
        <v>14495</v>
      </c>
      <c r="D304" s="7">
        <v>14495</v>
      </c>
      <c r="E304" s="7">
        <v>14450</v>
      </c>
      <c r="F304" s="7">
        <v>14455</v>
      </c>
      <c r="G304" s="34">
        <v>115</v>
      </c>
      <c r="H304" s="35">
        <v>36</v>
      </c>
      <c r="I304" s="38">
        <f t="shared" si="4"/>
        <v>14492.5</v>
      </c>
    </row>
    <row r="305" spans="1:9" x14ac:dyDescent="0.2">
      <c r="A305" s="33">
        <v>44719</v>
      </c>
      <c r="B305" s="36">
        <v>14454</v>
      </c>
      <c r="C305" s="7">
        <v>14459</v>
      </c>
      <c r="D305" s="7">
        <v>14470</v>
      </c>
      <c r="E305" s="7">
        <v>14450</v>
      </c>
      <c r="F305" s="7">
        <v>14450</v>
      </c>
      <c r="G305" s="34">
        <v>180</v>
      </c>
      <c r="H305" s="35">
        <v>4</v>
      </c>
      <c r="I305" s="38">
        <f t="shared" si="4"/>
        <v>14456.5</v>
      </c>
    </row>
    <row r="306" spans="1:9" x14ac:dyDescent="0.2">
      <c r="A306" s="33">
        <v>44718</v>
      </c>
      <c r="B306" s="36">
        <v>14450</v>
      </c>
      <c r="C306" s="7">
        <v>14453</v>
      </c>
      <c r="D306" s="7">
        <v>14465</v>
      </c>
      <c r="E306" s="7">
        <v>14445</v>
      </c>
      <c r="F306" s="7">
        <v>14445</v>
      </c>
      <c r="G306" s="34">
        <v>160</v>
      </c>
      <c r="H306" s="35">
        <v>15</v>
      </c>
      <c r="I306" s="38">
        <f t="shared" si="4"/>
        <v>14451.5</v>
      </c>
    </row>
    <row r="307" spans="1:9" x14ac:dyDescent="0.2">
      <c r="A307" s="33">
        <v>44715</v>
      </c>
      <c r="B307" s="36">
        <v>14435</v>
      </c>
      <c r="C307" s="7">
        <v>14440</v>
      </c>
      <c r="D307" s="7">
        <v>14450</v>
      </c>
      <c r="E307" s="7">
        <v>14415</v>
      </c>
      <c r="F307" s="7">
        <v>14420</v>
      </c>
      <c r="G307" s="34">
        <v>114</v>
      </c>
      <c r="H307" s="35">
        <v>-45</v>
      </c>
      <c r="I307" s="38">
        <f t="shared" si="4"/>
        <v>14437.5</v>
      </c>
    </row>
    <row r="308" spans="1:9" x14ac:dyDescent="0.2">
      <c r="A308" s="33">
        <v>44714</v>
      </c>
      <c r="B308" s="36">
        <v>14480</v>
      </c>
      <c r="C308" s="7">
        <v>14485</v>
      </c>
      <c r="D308" s="7">
        <v>14580</v>
      </c>
      <c r="E308" s="7">
        <v>14475</v>
      </c>
      <c r="F308" s="7">
        <v>14555</v>
      </c>
      <c r="G308" s="34">
        <v>160</v>
      </c>
      <c r="H308" s="35">
        <v>-100</v>
      </c>
      <c r="I308" s="38">
        <f t="shared" si="4"/>
        <v>14482.5</v>
      </c>
    </row>
    <row r="309" spans="1:9" x14ac:dyDescent="0.2">
      <c r="A309" s="33">
        <v>44713</v>
      </c>
      <c r="B309" s="36">
        <v>14580</v>
      </c>
      <c r="C309" s="7">
        <v>14582</v>
      </c>
      <c r="D309" s="7"/>
      <c r="E309" s="7"/>
      <c r="F309" s="7"/>
      <c r="G309" s="34"/>
      <c r="H309" s="35">
        <v>0</v>
      </c>
      <c r="I309" s="38">
        <f t="shared" si="4"/>
        <v>14581</v>
      </c>
    </row>
    <row r="310" spans="1:9" x14ac:dyDescent="0.2">
      <c r="A310" s="33">
        <v>44712</v>
      </c>
      <c r="B310" s="36">
        <v>14580</v>
      </c>
      <c r="C310" s="7">
        <v>14582</v>
      </c>
      <c r="D310" s="7">
        <v>14599</v>
      </c>
      <c r="E310" s="7">
        <v>14530</v>
      </c>
      <c r="F310" s="7">
        <v>14550</v>
      </c>
      <c r="G310" s="34">
        <v>179</v>
      </c>
      <c r="H310" s="35">
        <v>23</v>
      </c>
      <c r="I310" s="38">
        <f t="shared" si="4"/>
        <v>14581</v>
      </c>
    </row>
    <row r="311" spans="1:9" x14ac:dyDescent="0.2">
      <c r="A311" s="33">
        <v>44711</v>
      </c>
      <c r="B311" s="36">
        <v>14557</v>
      </c>
      <c r="C311" s="7">
        <v>14560</v>
      </c>
      <c r="D311" s="7">
        <v>14557</v>
      </c>
      <c r="E311" s="7">
        <v>14505</v>
      </c>
      <c r="F311" s="7">
        <v>14505</v>
      </c>
      <c r="G311" s="34">
        <v>127</v>
      </c>
      <c r="H311" s="35">
        <v>-18</v>
      </c>
      <c r="I311" s="38">
        <f t="shared" si="4"/>
        <v>14558.5</v>
      </c>
    </row>
    <row r="312" spans="1:9" x14ac:dyDescent="0.2">
      <c r="A312" s="33">
        <v>44708</v>
      </c>
      <c r="B312" s="36">
        <v>14575</v>
      </c>
      <c r="C312" s="7">
        <v>14579</v>
      </c>
      <c r="D312" s="7">
        <v>14595</v>
      </c>
      <c r="E312" s="7">
        <v>14550</v>
      </c>
      <c r="F312" s="7">
        <v>14590</v>
      </c>
      <c r="G312" s="34">
        <v>125</v>
      </c>
      <c r="H312" s="35">
        <v>-55</v>
      </c>
      <c r="I312" s="38">
        <f t="shared" si="4"/>
        <v>14577</v>
      </c>
    </row>
    <row r="313" spans="1:9" x14ac:dyDescent="0.2">
      <c r="A313" s="33">
        <v>44707</v>
      </c>
      <c r="B313" s="36">
        <v>14630</v>
      </c>
      <c r="C313" s="7">
        <v>14635</v>
      </c>
      <c r="D313" s="7"/>
      <c r="E313" s="7"/>
      <c r="F313" s="7"/>
      <c r="G313" s="34"/>
      <c r="H313" s="35">
        <v>0</v>
      </c>
      <c r="I313" s="38">
        <f t="shared" si="4"/>
        <v>14632.5</v>
      </c>
    </row>
    <row r="314" spans="1:9" x14ac:dyDescent="0.2">
      <c r="A314" s="33">
        <v>44706</v>
      </c>
      <c r="B314" s="36">
        <v>14630</v>
      </c>
      <c r="C314" s="7">
        <v>14635</v>
      </c>
      <c r="D314" s="7">
        <v>14657</v>
      </c>
      <c r="E314" s="7">
        <v>14620</v>
      </c>
      <c r="F314" s="7">
        <v>14625</v>
      </c>
      <c r="G314" s="34">
        <v>158</v>
      </c>
      <c r="H314" s="35">
        <v>-25</v>
      </c>
      <c r="I314" s="38">
        <f t="shared" si="4"/>
        <v>14632.5</v>
      </c>
    </row>
    <row r="315" spans="1:9" x14ac:dyDescent="0.2">
      <c r="A315" s="33">
        <v>44705</v>
      </c>
      <c r="B315" s="36">
        <v>14655</v>
      </c>
      <c r="C315" s="7">
        <v>14660</v>
      </c>
      <c r="D315" s="7">
        <v>14665</v>
      </c>
      <c r="E315" s="7">
        <v>14640</v>
      </c>
      <c r="F315" s="7">
        <v>14650</v>
      </c>
      <c r="G315" s="34">
        <v>153</v>
      </c>
      <c r="H315" s="35">
        <v>-15</v>
      </c>
      <c r="I315" s="38">
        <f t="shared" si="4"/>
        <v>14657.5</v>
      </c>
    </row>
    <row r="316" spans="1:9" x14ac:dyDescent="0.2">
      <c r="A316" s="33">
        <v>44704</v>
      </c>
      <c r="B316" s="36">
        <v>14670</v>
      </c>
      <c r="C316" s="7">
        <v>14677</v>
      </c>
      <c r="D316" s="7">
        <v>14675</v>
      </c>
      <c r="E316" s="7">
        <v>14630</v>
      </c>
      <c r="F316" s="7">
        <v>14630</v>
      </c>
      <c r="G316" s="34">
        <v>109</v>
      </c>
      <c r="H316" s="35">
        <v>20</v>
      </c>
      <c r="I316" s="38">
        <f t="shared" si="4"/>
        <v>14673.5</v>
      </c>
    </row>
    <row r="317" spans="1:9" x14ac:dyDescent="0.2">
      <c r="A317" s="33">
        <v>44701</v>
      </c>
      <c r="B317" s="36">
        <v>14650</v>
      </c>
      <c r="C317" s="7">
        <v>14654</v>
      </c>
      <c r="D317" s="7">
        <v>14675</v>
      </c>
      <c r="E317" s="7">
        <v>14600</v>
      </c>
      <c r="F317" s="7">
        <v>14600</v>
      </c>
      <c r="G317" s="34">
        <v>132</v>
      </c>
      <c r="H317" s="35">
        <v>-80</v>
      </c>
      <c r="I317" s="38">
        <f t="shared" si="4"/>
        <v>14652</v>
      </c>
    </row>
    <row r="318" spans="1:9" x14ac:dyDescent="0.2">
      <c r="A318" s="33">
        <v>44700</v>
      </c>
      <c r="B318" s="36">
        <v>14730</v>
      </c>
      <c r="C318" s="7">
        <v>14735</v>
      </c>
      <c r="D318" s="7">
        <v>14736</v>
      </c>
      <c r="E318" s="7">
        <v>14670</v>
      </c>
      <c r="F318" s="7">
        <v>14670</v>
      </c>
      <c r="G318" s="34">
        <v>140</v>
      </c>
      <c r="H318" s="35">
        <v>45</v>
      </c>
      <c r="I318" s="38">
        <f t="shared" si="4"/>
        <v>14732.5</v>
      </c>
    </row>
    <row r="319" spans="1:9" x14ac:dyDescent="0.2">
      <c r="A319" s="33">
        <v>44699</v>
      </c>
      <c r="B319" s="36">
        <v>14685</v>
      </c>
      <c r="C319" s="7">
        <v>14690</v>
      </c>
      <c r="D319" s="7">
        <v>14690</v>
      </c>
      <c r="E319" s="7">
        <v>14635</v>
      </c>
      <c r="F319" s="7">
        <v>14635</v>
      </c>
      <c r="G319" s="34">
        <v>150</v>
      </c>
      <c r="H319" s="35">
        <v>40</v>
      </c>
      <c r="I319" s="38">
        <f t="shared" si="4"/>
        <v>14687.5</v>
      </c>
    </row>
    <row r="320" spans="1:9" x14ac:dyDescent="0.2">
      <c r="A320" s="33">
        <v>44698</v>
      </c>
      <c r="B320" s="36">
        <v>14645</v>
      </c>
      <c r="C320" s="7">
        <v>14650</v>
      </c>
      <c r="D320" s="7">
        <v>14665</v>
      </c>
      <c r="E320" s="7">
        <v>14600</v>
      </c>
      <c r="F320" s="7">
        <v>14600</v>
      </c>
      <c r="G320" s="34">
        <v>176</v>
      </c>
      <c r="H320" s="35">
        <v>35</v>
      </c>
      <c r="I320" s="38">
        <f t="shared" si="4"/>
        <v>14647.5</v>
      </c>
    </row>
    <row r="321" spans="1:9" x14ac:dyDescent="0.2">
      <c r="A321" s="33">
        <v>44697</v>
      </c>
      <c r="B321" s="36">
        <v>14610</v>
      </c>
      <c r="C321" s="7">
        <v>14615</v>
      </c>
      <c r="D321" s="7"/>
      <c r="E321" s="7"/>
      <c r="F321" s="7"/>
      <c r="G321" s="34"/>
      <c r="H321" s="35">
        <v>0</v>
      </c>
      <c r="I321" s="38">
        <f t="shared" si="4"/>
        <v>14612.5</v>
      </c>
    </row>
    <row r="322" spans="1:9" x14ac:dyDescent="0.2">
      <c r="A322" s="33">
        <v>44694</v>
      </c>
      <c r="B322" s="36">
        <v>14610</v>
      </c>
      <c r="C322" s="7">
        <v>14615</v>
      </c>
      <c r="D322" s="7">
        <v>14625</v>
      </c>
      <c r="E322" s="7">
        <v>14575</v>
      </c>
      <c r="F322" s="7">
        <v>14595</v>
      </c>
      <c r="G322" s="34">
        <v>115</v>
      </c>
      <c r="H322" s="35">
        <v>15</v>
      </c>
      <c r="I322" s="38">
        <f t="shared" si="4"/>
        <v>14612.5</v>
      </c>
    </row>
    <row r="323" spans="1:9" x14ac:dyDescent="0.2">
      <c r="A323" s="33">
        <v>44693</v>
      </c>
      <c r="B323" s="36">
        <v>14595</v>
      </c>
      <c r="C323" s="7">
        <v>14599</v>
      </c>
      <c r="D323" s="7">
        <v>14600</v>
      </c>
      <c r="E323" s="7">
        <v>14525</v>
      </c>
      <c r="F323" s="7">
        <v>14525</v>
      </c>
      <c r="G323" s="34">
        <v>115</v>
      </c>
      <c r="H323" s="35">
        <v>40</v>
      </c>
      <c r="I323" s="38">
        <f t="shared" si="4"/>
        <v>14597</v>
      </c>
    </row>
    <row r="324" spans="1:9" x14ac:dyDescent="0.2">
      <c r="A324" s="33">
        <v>44692</v>
      </c>
      <c r="B324" s="36">
        <v>14555</v>
      </c>
      <c r="C324" s="7">
        <v>14560</v>
      </c>
      <c r="D324" s="7">
        <v>14560</v>
      </c>
      <c r="E324" s="7">
        <v>14520</v>
      </c>
      <c r="F324" s="7">
        <v>14520</v>
      </c>
      <c r="G324" s="34">
        <v>88</v>
      </c>
      <c r="H324" s="35">
        <v>0</v>
      </c>
      <c r="I324" s="38">
        <f t="shared" si="4"/>
        <v>14557.5</v>
      </c>
    </row>
    <row r="325" spans="1:9" x14ac:dyDescent="0.2">
      <c r="A325" s="33">
        <v>44691</v>
      </c>
      <c r="B325" s="36">
        <v>14555</v>
      </c>
      <c r="C325" s="7">
        <v>14559</v>
      </c>
      <c r="D325" s="7">
        <v>14555</v>
      </c>
      <c r="E325" s="7">
        <v>14527</v>
      </c>
      <c r="F325" s="7">
        <v>14545</v>
      </c>
      <c r="G325" s="34">
        <v>105</v>
      </c>
      <c r="H325" s="35">
        <v>0</v>
      </c>
      <c r="I325" s="38">
        <f t="shared" si="4"/>
        <v>14557</v>
      </c>
    </row>
    <row r="326" spans="1:9" x14ac:dyDescent="0.2">
      <c r="A326" s="33">
        <v>44690</v>
      </c>
      <c r="B326" s="36">
        <v>14555</v>
      </c>
      <c r="C326" s="7">
        <v>14560</v>
      </c>
      <c r="D326" s="7">
        <v>14560</v>
      </c>
      <c r="E326" s="7">
        <v>14490</v>
      </c>
      <c r="F326" s="7">
        <v>14490</v>
      </c>
      <c r="G326" s="34">
        <v>109</v>
      </c>
      <c r="H326" s="35">
        <v>60</v>
      </c>
      <c r="I326" s="38">
        <f t="shared" si="4"/>
        <v>14557.5</v>
      </c>
    </row>
    <row r="327" spans="1:9" x14ac:dyDescent="0.2">
      <c r="A327" s="33">
        <v>44687</v>
      </c>
      <c r="B327" s="36">
        <v>14495</v>
      </c>
      <c r="C327" s="7">
        <v>14499</v>
      </c>
      <c r="D327" s="7"/>
      <c r="E327" s="7"/>
      <c r="F327" s="7"/>
      <c r="G327" s="34"/>
      <c r="H327" s="35">
        <v>0</v>
      </c>
      <c r="I327" s="38">
        <f t="shared" si="4"/>
        <v>14497</v>
      </c>
    </row>
    <row r="328" spans="1:9" x14ac:dyDescent="0.2">
      <c r="A328" s="33">
        <v>44686</v>
      </c>
      <c r="B328" s="36">
        <v>14495</v>
      </c>
      <c r="C328" s="7">
        <v>14499</v>
      </c>
      <c r="D328" s="7"/>
      <c r="E328" s="7"/>
      <c r="F328" s="7"/>
      <c r="G328" s="34"/>
      <c r="H328" s="35">
        <v>0</v>
      </c>
      <c r="I328" s="38">
        <f t="shared" si="4"/>
        <v>14497</v>
      </c>
    </row>
    <row r="329" spans="1:9" x14ac:dyDescent="0.2">
      <c r="A329" s="33">
        <v>44685</v>
      </c>
      <c r="B329" s="36">
        <v>14495</v>
      </c>
      <c r="C329" s="7">
        <v>14499</v>
      </c>
      <c r="D329" s="7"/>
      <c r="E329" s="7"/>
      <c r="F329" s="7"/>
      <c r="G329" s="34"/>
      <c r="H329" s="35">
        <v>0</v>
      </c>
      <c r="I329" s="38">
        <f t="shared" si="4"/>
        <v>14497</v>
      </c>
    </row>
    <row r="330" spans="1:9" x14ac:dyDescent="0.2">
      <c r="A330" s="33">
        <v>44684</v>
      </c>
      <c r="B330" s="36">
        <v>14495</v>
      </c>
      <c r="C330" s="7">
        <v>14499</v>
      </c>
      <c r="D330" s="7"/>
      <c r="E330" s="7"/>
      <c r="F330" s="7"/>
      <c r="G330" s="34"/>
      <c r="H330" s="35">
        <v>0</v>
      </c>
      <c r="I330" s="38">
        <f t="shared" si="4"/>
        <v>14497</v>
      </c>
    </row>
    <row r="331" spans="1:9" x14ac:dyDescent="0.2">
      <c r="A331" s="33">
        <v>44683</v>
      </c>
      <c r="B331" s="36">
        <v>14495</v>
      </c>
      <c r="C331" s="7">
        <v>14499</v>
      </c>
      <c r="D331" s="7"/>
      <c r="E331" s="7"/>
      <c r="F331" s="7"/>
      <c r="G331" s="34"/>
      <c r="H331" s="35">
        <v>0</v>
      </c>
      <c r="I331" s="38">
        <f t="shared" si="4"/>
        <v>14497</v>
      </c>
    </row>
    <row r="332" spans="1:9" x14ac:dyDescent="0.2">
      <c r="A332" s="33">
        <v>44680</v>
      </c>
      <c r="B332" s="36">
        <v>14495</v>
      </c>
      <c r="C332" s="7">
        <v>14499</v>
      </c>
      <c r="D332" s="7"/>
      <c r="E332" s="7"/>
      <c r="F332" s="7"/>
      <c r="G332" s="34"/>
      <c r="H332" s="35">
        <v>0</v>
      </c>
      <c r="I332" s="38">
        <f t="shared" si="4"/>
        <v>14497</v>
      </c>
    </row>
    <row r="333" spans="1:9" x14ac:dyDescent="0.2">
      <c r="A333" s="33">
        <v>44679</v>
      </c>
      <c r="B333" s="36">
        <v>14495</v>
      </c>
      <c r="C333" s="7">
        <v>14499</v>
      </c>
      <c r="D333" s="7">
        <v>14500</v>
      </c>
      <c r="E333" s="7">
        <v>14420</v>
      </c>
      <c r="F333" s="7">
        <v>14435</v>
      </c>
      <c r="G333" s="34">
        <v>160</v>
      </c>
      <c r="H333" s="35">
        <v>75</v>
      </c>
      <c r="I333" s="38">
        <f t="shared" si="4"/>
        <v>14497</v>
      </c>
    </row>
    <row r="334" spans="1:9" x14ac:dyDescent="0.2">
      <c r="A334" s="33">
        <v>44678</v>
      </c>
      <c r="B334" s="36">
        <v>14420</v>
      </c>
      <c r="C334" s="7">
        <v>14424</v>
      </c>
      <c r="D334" s="7">
        <v>14430</v>
      </c>
      <c r="E334" s="7">
        <v>14400</v>
      </c>
      <c r="F334" s="7">
        <v>14400</v>
      </c>
      <c r="G334" s="34">
        <v>114</v>
      </c>
      <c r="H334" s="35">
        <v>10</v>
      </c>
      <c r="I334" s="38">
        <f t="shared" si="4"/>
        <v>14422</v>
      </c>
    </row>
    <row r="335" spans="1:9" x14ac:dyDescent="0.2">
      <c r="A335" s="33">
        <v>44677</v>
      </c>
      <c r="B335" s="36">
        <v>14410</v>
      </c>
      <c r="C335" s="7">
        <v>14412</v>
      </c>
      <c r="D335" s="7">
        <v>14440</v>
      </c>
      <c r="E335" s="7">
        <v>14388</v>
      </c>
      <c r="F335" s="7">
        <v>14435</v>
      </c>
      <c r="G335" s="34">
        <v>117</v>
      </c>
      <c r="H335" s="35">
        <v>-45</v>
      </c>
      <c r="I335" s="38">
        <f t="shared" si="4"/>
        <v>14411</v>
      </c>
    </row>
    <row r="336" spans="1:9" x14ac:dyDescent="0.2">
      <c r="A336" s="33">
        <v>44676</v>
      </c>
      <c r="B336" s="36">
        <v>14455</v>
      </c>
      <c r="C336" s="7">
        <v>14460</v>
      </c>
      <c r="D336" s="7">
        <v>14470</v>
      </c>
      <c r="E336" s="7">
        <v>14420</v>
      </c>
      <c r="F336" s="7">
        <v>14435</v>
      </c>
      <c r="G336" s="34">
        <v>174</v>
      </c>
      <c r="H336" s="35">
        <v>99</v>
      </c>
      <c r="I336" s="38">
        <f t="shared" si="4"/>
        <v>14457.5</v>
      </c>
    </row>
    <row r="337" spans="1:9" x14ac:dyDescent="0.2">
      <c r="A337" s="33">
        <v>44673</v>
      </c>
      <c r="B337" s="36">
        <v>14356</v>
      </c>
      <c r="C337" s="7">
        <v>14358</v>
      </c>
      <c r="D337" s="7">
        <v>14365</v>
      </c>
      <c r="E337" s="7">
        <v>14350</v>
      </c>
      <c r="F337" s="7">
        <v>14350</v>
      </c>
      <c r="G337" s="34">
        <v>158</v>
      </c>
      <c r="H337" s="35">
        <v>13</v>
      </c>
      <c r="I337" s="38">
        <f t="shared" si="4"/>
        <v>14357</v>
      </c>
    </row>
    <row r="338" spans="1:9" x14ac:dyDescent="0.2">
      <c r="A338" s="33">
        <v>44672</v>
      </c>
      <c r="B338" s="36">
        <v>14343</v>
      </c>
      <c r="C338" s="7">
        <v>14345</v>
      </c>
      <c r="D338" s="7">
        <v>14351</v>
      </c>
      <c r="E338" s="7">
        <v>14335</v>
      </c>
      <c r="F338" s="7">
        <v>14335</v>
      </c>
      <c r="G338" s="34">
        <v>144</v>
      </c>
      <c r="H338" s="35">
        <v>-12</v>
      </c>
      <c r="I338" s="38">
        <f t="shared" si="4"/>
        <v>14344</v>
      </c>
    </row>
    <row r="339" spans="1:9" x14ac:dyDescent="0.2">
      <c r="A339" s="33">
        <v>44671</v>
      </c>
      <c r="B339" s="36">
        <v>14355</v>
      </c>
      <c r="C339" s="7">
        <v>14357</v>
      </c>
      <c r="D339" s="7">
        <v>14360</v>
      </c>
      <c r="E339" s="7">
        <v>14340</v>
      </c>
      <c r="F339" s="7">
        <v>14340</v>
      </c>
      <c r="G339" s="34">
        <v>144</v>
      </c>
      <c r="H339" s="35">
        <v>20</v>
      </c>
      <c r="I339" s="38">
        <f t="shared" si="4"/>
        <v>14356</v>
      </c>
    </row>
    <row r="340" spans="1:9" x14ac:dyDescent="0.2">
      <c r="A340" s="33">
        <v>44670</v>
      </c>
      <c r="B340" s="36">
        <v>14335</v>
      </c>
      <c r="C340" s="7">
        <v>14345</v>
      </c>
      <c r="D340" s="7">
        <v>14355</v>
      </c>
      <c r="E340" s="7">
        <v>14323</v>
      </c>
      <c r="F340" s="7">
        <v>14350</v>
      </c>
      <c r="G340" s="34">
        <v>144</v>
      </c>
      <c r="H340" s="35">
        <v>-18</v>
      </c>
      <c r="I340" s="38">
        <f t="shared" si="4"/>
        <v>14340</v>
      </c>
    </row>
    <row r="341" spans="1:9" x14ac:dyDescent="0.2">
      <c r="A341" s="33">
        <v>44669</v>
      </c>
      <c r="B341" s="36">
        <v>14353</v>
      </c>
      <c r="C341" s="7">
        <v>14354</v>
      </c>
      <c r="D341" s="7">
        <v>14360</v>
      </c>
      <c r="E341" s="7">
        <v>14345</v>
      </c>
      <c r="F341" s="7">
        <v>14360</v>
      </c>
      <c r="G341" s="34">
        <v>83</v>
      </c>
      <c r="H341" s="35">
        <v>10</v>
      </c>
      <c r="I341" s="38">
        <f t="shared" si="4"/>
        <v>14353.5</v>
      </c>
    </row>
    <row r="342" spans="1:9" x14ac:dyDescent="0.2">
      <c r="A342" s="33">
        <v>44666</v>
      </c>
      <c r="B342" s="36">
        <v>14343</v>
      </c>
      <c r="C342" s="7">
        <v>14345</v>
      </c>
      <c r="D342" s="7"/>
      <c r="E342" s="7"/>
      <c r="F342" s="7"/>
      <c r="G342" s="34"/>
      <c r="H342" s="35">
        <v>0</v>
      </c>
      <c r="I342" s="38">
        <f t="shared" si="4"/>
        <v>14344</v>
      </c>
    </row>
    <row r="343" spans="1:9" x14ac:dyDescent="0.2">
      <c r="A343" s="33">
        <v>44665</v>
      </c>
      <c r="B343" s="36">
        <v>14343</v>
      </c>
      <c r="C343" s="7">
        <v>14345</v>
      </c>
      <c r="D343" s="7">
        <v>14355</v>
      </c>
      <c r="E343" s="7">
        <v>14340</v>
      </c>
      <c r="F343" s="7">
        <v>14354</v>
      </c>
      <c r="G343" s="34">
        <v>114</v>
      </c>
      <c r="H343" s="35">
        <v>-19</v>
      </c>
      <c r="I343" s="38">
        <f t="shared" si="4"/>
        <v>14344</v>
      </c>
    </row>
    <row r="344" spans="1:9" x14ac:dyDescent="0.2">
      <c r="A344" s="33">
        <v>44664</v>
      </c>
      <c r="B344" s="36">
        <v>14362</v>
      </c>
      <c r="C344" s="7">
        <v>14364</v>
      </c>
      <c r="D344" s="7">
        <v>14365</v>
      </c>
      <c r="E344" s="7">
        <v>14350</v>
      </c>
      <c r="F344" s="7">
        <v>14350</v>
      </c>
      <c r="G344" s="34">
        <v>102</v>
      </c>
      <c r="H344" s="35">
        <v>2</v>
      </c>
      <c r="I344" s="38">
        <f t="shared" si="4"/>
        <v>14363</v>
      </c>
    </row>
    <row r="345" spans="1:9" x14ac:dyDescent="0.2">
      <c r="A345" s="33">
        <v>44663</v>
      </c>
      <c r="B345" s="36">
        <v>14360</v>
      </c>
      <c r="C345" s="7">
        <v>14365</v>
      </c>
      <c r="D345" s="7">
        <v>14365</v>
      </c>
      <c r="E345" s="7">
        <v>14355</v>
      </c>
      <c r="F345" s="7">
        <v>14360</v>
      </c>
      <c r="G345" s="34">
        <v>108</v>
      </c>
      <c r="H345" s="35">
        <v>-5</v>
      </c>
      <c r="I345" s="38">
        <f t="shared" si="4"/>
        <v>14362.5</v>
      </c>
    </row>
    <row r="346" spans="1:9" x14ac:dyDescent="0.2">
      <c r="A346" s="33">
        <v>44662</v>
      </c>
      <c r="B346" s="36">
        <v>14365</v>
      </c>
      <c r="C346" s="7">
        <v>14367</v>
      </c>
      <c r="D346" s="7">
        <v>14375</v>
      </c>
      <c r="E346" s="7">
        <v>14360</v>
      </c>
      <c r="F346" s="7">
        <v>14365</v>
      </c>
      <c r="G346" s="34">
        <v>100</v>
      </c>
      <c r="H346" s="35">
        <v>5</v>
      </c>
      <c r="I346" s="38">
        <f t="shared" si="4"/>
        <v>14366</v>
      </c>
    </row>
    <row r="347" spans="1:9" x14ac:dyDescent="0.2">
      <c r="A347" s="33">
        <v>44659</v>
      </c>
      <c r="B347" s="36">
        <v>14360</v>
      </c>
      <c r="C347" s="7">
        <v>14363</v>
      </c>
      <c r="D347" s="7">
        <v>14377</v>
      </c>
      <c r="E347" s="7">
        <v>14350</v>
      </c>
      <c r="F347" s="7">
        <v>14355</v>
      </c>
      <c r="G347" s="34">
        <v>120</v>
      </c>
      <c r="H347" s="35">
        <v>2</v>
      </c>
      <c r="I347" s="38">
        <f t="shared" si="4"/>
        <v>14361.5</v>
      </c>
    </row>
    <row r="348" spans="1:9" x14ac:dyDescent="0.2">
      <c r="A348" s="33">
        <v>44658</v>
      </c>
      <c r="B348" s="36">
        <v>14358</v>
      </c>
      <c r="C348" s="7">
        <v>14359</v>
      </c>
      <c r="D348" s="7">
        <v>14362</v>
      </c>
      <c r="E348" s="7">
        <v>14345</v>
      </c>
      <c r="F348" s="7">
        <v>14355</v>
      </c>
      <c r="G348" s="34">
        <v>117</v>
      </c>
      <c r="H348" s="35">
        <v>3</v>
      </c>
      <c r="I348" s="38">
        <f t="shared" si="4"/>
        <v>14358.5</v>
      </c>
    </row>
    <row r="349" spans="1:9" x14ac:dyDescent="0.2">
      <c r="A349" s="33">
        <v>44657</v>
      </c>
      <c r="B349" s="36">
        <v>14355</v>
      </c>
      <c r="C349" s="7">
        <v>14359</v>
      </c>
      <c r="D349" s="7">
        <v>14373</v>
      </c>
      <c r="E349" s="7">
        <v>14349</v>
      </c>
      <c r="F349" s="7">
        <v>14350</v>
      </c>
      <c r="G349" s="34">
        <v>124</v>
      </c>
      <c r="H349" s="35">
        <v>10</v>
      </c>
      <c r="I349" s="38">
        <f t="shared" si="4"/>
        <v>14357</v>
      </c>
    </row>
    <row r="350" spans="1:9" x14ac:dyDescent="0.2">
      <c r="A350" s="33">
        <v>44656</v>
      </c>
      <c r="B350" s="36">
        <v>14345</v>
      </c>
      <c r="C350" s="7">
        <v>14348</v>
      </c>
      <c r="D350" s="7">
        <v>14352</v>
      </c>
      <c r="E350" s="7">
        <v>14335</v>
      </c>
      <c r="F350" s="7">
        <v>14335</v>
      </c>
      <c r="G350" s="34">
        <v>110</v>
      </c>
      <c r="H350" s="35">
        <v>-8</v>
      </c>
      <c r="I350" s="38">
        <f t="shared" si="4"/>
        <v>14346.5</v>
      </c>
    </row>
    <row r="351" spans="1:9" x14ac:dyDescent="0.2">
      <c r="A351" s="33">
        <v>44655</v>
      </c>
      <c r="B351" s="36">
        <v>14353</v>
      </c>
      <c r="C351" s="7">
        <v>14356</v>
      </c>
      <c r="D351" s="7">
        <v>14365</v>
      </c>
      <c r="E351" s="7">
        <v>14347</v>
      </c>
      <c r="F351" s="7">
        <v>14350</v>
      </c>
      <c r="G351" s="34">
        <v>81</v>
      </c>
      <c r="H351" s="35">
        <v>-12</v>
      </c>
      <c r="I351" s="38">
        <f t="shared" si="4"/>
        <v>14354.5</v>
      </c>
    </row>
    <row r="352" spans="1:9" x14ac:dyDescent="0.2">
      <c r="A352" s="33">
        <v>44652</v>
      </c>
      <c r="B352" s="36">
        <v>14365</v>
      </c>
      <c r="C352" s="7">
        <v>14370</v>
      </c>
      <c r="D352" s="7">
        <v>14365</v>
      </c>
      <c r="E352" s="7">
        <v>14345</v>
      </c>
      <c r="F352" s="7">
        <v>14350</v>
      </c>
      <c r="G352" s="34">
        <v>65</v>
      </c>
      <c r="H352" s="35">
        <v>-3</v>
      </c>
      <c r="I352" s="38">
        <f t="shared" ref="I352:I415" si="5">+(B352+C352)*0.5</f>
        <v>14367.5</v>
      </c>
    </row>
    <row r="353" spans="1:9" x14ac:dyDescent="0.2">
      <c r="A353" s="33">
        <v>44651</v>
      </c>
      <c r="B353" s="36">
        <v>14368</v>
      </c>
      <c r="C353" s="7">
        <v>14370</v>
      </c>
      <c r="D353" s="7">
        <v>14368</v>
      </c>
      <c r="E353" s="7">
        <v>14325</v>
      </c>
      <c r="F353" s="7">
        <v>14325</v>
      </c>
      <c r="G353" s="34">
        <v>87</v>
      </c>
      <c r="H353" s="35">
        <v>28</v>
      </c>
      <c r="I353" s="38">
        <f t="shared" si="5"/>
        <v>14369</v>
      </c>
    </row>
    <row r="354" spans="1:9" x14ac:dyDescent="0.2">
      <c r="A354" s="33">
        <v>44650</v>
      </c>
      <c r="B354" s="36">
        <v>14340</v>
      </c>
      <c r="C354" s="7">
        <v>14346</v>
      </c>
      <c r="D354" s="7">
        <v>14357</v>
      </c>
      <c r="E354" s="7">
        <v>14325</v>
      </c>
      <c r="F354" s="7">
        <v>14325</v>
      </c>
      <c r="G354" s="34">
        <v>84</v>
      </c>
      <c r="H354" s="35">
        <v>-23</v>
      </c>
      <c r="I354" s="38">
        <f t="shared" si="5"/>
        <v>14343</v>
      </c>
    </row>
    <row r="355" spans="1:9" x14ac:dyDescent="0.2">
      <c r="A355" s="33">
        <v>44649</v>
      </c>
      <c r="B355" s="36">
        <v>14363</v>
      </c>
      <c r="C355" s="7">
        <v>14365</v>
      </c>
      <c r="D355" s="7">
        <v>14367</v>
      </c>
      <c r="E355" s="7">
        <v>14345</v>
      </c>
      <c r="F355" s="7">
        <v>14360</v>
      </c>
      <c r="G355" s="34">
        <v>119</v>
      </c>
      <c r="H355" s="35">
        <v>1</v>
      </c>
      <c r="I355" s="38">
        <f t="shared" si="5"/>
        <v>14364</v>
      </c>
    </row>
    <row r="356" spans="1:9" x14ac:dyDescent="0.2">
      <c r="A356" s="33">
        <v>44648</v>
      </c>
      <c r="B356" s="36">
        <v>14362</v>
      </c>
      <c r="C356" s="7">
        <v>14363</v>
      </c>
      <c r="D356" s="7">
        <v>14363</v>
      </c>
      <c r="E356" s="7">
        <v>14330</v>
      </c>
      <c r="F356" s="7">
        <v>14330</v>
      </c>
      <c r="G356" s="34">
        <v>87</v>
      </c>
      <c r="H356" s="35">
        <v>22</v>
      </c>
      <c r="I356" s="38">
        <f t="shared" si="5"/>
        <v>14362.5</v>
      </c>
    </row>
    <row r="357" spans="1:9" x14ac:dyDescent="0.2">
      <c r="A357" s="33">
        <v>44645</v>
      </c>
      <c r="B357" s="36">
        <v>14340</v>
      </c>
      <c r="C357" s="7">
        <v>14342</v>
      </c>
      <c r="D357" s="7">
        <v>14345</v>
      </c>
      <c r="E357" s="7">
        <v>14330</v>
      </c>
      <c r="F357" s="7">
        <v>14330</v>
      </c>
      <c r="G357" s="34">
        <v>102</v>
      </c>
      <c r="H357" s="35">
        <v>-4</v>
      </c>
      <c r="I357" s="38">
        <f t="shared" si="5"/>
        <v>14341</v>
      </c>
    </row>
    <row r="358" spans="1:9" x14ac:dyDescent="0.2">
      <c r="A358" s="33">
        <v>44644</v>
      </c>
      <c r="B358" s="36">
        <v>14344</v>
      </c>
      <c r="C358" s="7">
        <v>14354</v>
      </c>
      <c r="D358" s="7">
        <v>14375</v>
      </c>
      <c r="E358" s="7">
        <v>14344</v>
      </c>
      <c r="F358" s="7">
        <v>14375</v>
      </c>
      <c r="G358" s="34">
        <v>121</v>
      </c>
      <c r="H358" s="35">
        <v>-1</v>
      </c>
      <c r="I358" s="38">
        <f t="shared" si="5"/>
        <v>14349</v>
      </c>
    </row>
    <row r="359" spans="1:9" x14ac:dyDescent="0.2">
      <c r="A359" s="33">
        <v>44643</v>
      </c>
      <c r="B359" s="36">
        <v>14345</v>
      </c>
      <c r="C359" s="7">
        <v>14348</v>
      </c>
      <c r="D359" s="7">
        <v>14358</v>
      </c>
      <c r="E359" s="7">
        <v>14330</v>
      </c>
      <c r="F359" s="7">
        <v>14330</v>
      </c>
      <c r="G359" s="34">
        <v>102</v>
      </c>
      <c r="H359" s="35">
        <v>-11</v>
      </c>
      <c r="I359" s="38">
        <f t="shared" si="5"/>
        <v>14346.5</v>
      </c>
    </row>
    <row r="360" spans="1:9" x14ac:dyDescent="0.2">
      <c r="A360" s="33">
        <v>44642</v>
      </c>
      <c r="B360" s="36">
        <v>14356</v>
      </c>
      <c r="C360" s="7">
        <v>14357</v>
      </c>
      <c r="D360" s="7">
        <v>14360</v>
      </c>
      <c r="E360" s="7">
        <v>14340</v>
      </c>
      <c r="F360" s="7">
        <v>14340</v>
      </c>
      <c r="G360" s="34">
        <v>102</v>
      </c>
      <c r="H360" s="35">
        <v>18</v>
      </c>
      <c r="I360" s="38">
        <f t="shared" si="5"/>
        <v>14356.5</v>
      </c>
    </row>
    <row r="361" spans="1:9" x14ac:dyDescent="0.2">
      <c r="A361" s="33">
        <v>44641</v>
      </c>
      <c r="B361" s="36">
        <v>14338</v>
      </c>
      <c r="C361" s="7">
        <v>14342</v>
      </c>
      <c r="D361" s="7">
        <v>14345</v>
      </c>
      <c r="E361" s="7">
        <v>14324</v>
      </c>
      <c r="F361" s="7">
        <v>14340</v>
      </c>
      <c r="G361" s="34">
        <v>133</v>
      </c>
      <c r="H361" s="35">
        <v>-2</v>
      </c>
      <c r="I361" s="38">
        <f t="shared" si="5"/>
        <v>14340</v>
      </c>
    </row>
    <row r="362" spans="1:9" x14ac:dyDescent="0.2">
      <c r="A362" s="33">
        <v>44638</v>
      </c>
      <c r="B362" s="36">
        <v>14340</v>
      </c>
      <c r="C362" s="7">
        <v>14343</v>
      </c>
      <c r="D362" s="7">
        <v>14345</v>
      </c>
      <c r="E362" s="7">
        <v>14300</v>
      </c>
      <c r="F362" s="7">
        <v>14300</v>
      </c>
      <c r="G362" s="34">
        <v>94</v>
      </c>
      <c r="H362" s="35">
        <v>40</v>
      </c>
      <c r="I362" s="38">
        <f t="shared" si="5"/>
        <v>14341.5</v>
      </c>
    </row>
    <row r="363" spans="1:9" x14ac:dyDescent="0.2">
      <c r="A363" s="33">
        <v>44637</v>
      </c>
      <c r="B363" s="36">
        <v>14300</v>
      </c>
      <c r="C363" s="7">
        <v>14305</v>
      </c>
      <c r="D363" s="7">
        <v>14300</v>
      </c>
      <c r="E363" s="7">
        <v>14250</v>
      </c>
      <c r="F363" s="7">
        <v>14280</v>
      </c>
      <c r="G363" s="34">
        <v>82</v>
      </c>
      <c r="H363" s="35">
        <v>-10</v>
      </c>
      <c r="I363" s="38">
        <f t="shared" si="5"/>
        <v>14302.5</v>
      </c>
    </row>
    <row r="364" spans="1:9" x14ac:dyDescent="0.2">
      <c r="A364" s="33">
        <v>44636</v>
      </c>
      <c r="B364" s="36">
        <v>14310</v>
      </c>
      <c r="C364" s="7">
        <v>14314</v>
      </c>
      <c r="D364" s="7">
        <v>14320</v>
      </c>
      <c r="E364" s="7">
        <v>14285</v>
      </c>
      <c r="F364" s="7">
        <v>14285</v>
      </c>
      <c r="G364" s="34">
        <v>99</v>
      </c>
      <c r="H364" s="35">
        <v>-15</v>
      </c>
      <c r="I364" s="38">
        <f t="shared" si="5"/>
        <v>14312</v>
      </c>
    </row>
    <row r="365" spans="1:9" x14ac:dyDescent="0.2">
      <c r="A365" s="33">
        <v>44635</v>
      </c>
      <c r="B365" s="36">
        <v>14325</v>
      </c>
      <c r="C365" s="7">
        <v>14335</v>
      </c>
      <c r="D365" s="7">
        <v>14340</v>
      </c>
      <c r="E365" s="7">
        <v>14290</v>
      </c>
      <c r="F365" s="7">
        <v>14335</v>
      </c>
      <c r="G365" s="34">
        <v>171</v>
      </c>
      <c r="H365" s="35">
        <v>-5</v>
      </c>
      <c r="I365" s="38">
        <f t="shared" si="5"/>
        <v>14330</v>
      </c>
    </row>
    <row r="366" spans="1:9" x14ac:dyDescent="0.2">
      <c r="A366" s="33">
        <v>44634</v>
      </c>
      <c r="B366" s="36">
        <v>14330</v>
      </c>
      <c r="C366" s="7">
        <v>14335</v>
      </c>
      <c r="D366" s="7">
        <v>14335</v>
      </c>
      <c r="E366" s="7">
        <v>14300</v>
      </c>
      <c r="F366" s="7">
        <v>14300</v>
      </c>
      <c r="G366" s="34">
        <v>113</v>
      </c>
      <c r="H366" s="35">
        <v>30</v>
      </c>
      <c r="I366" s="38">
        <f t="shared" si="5"/>
        <v>14332.5</v>
      </c>
    </row>
    <row r="367" spans="1:9" x14ac:dyDescent="0.2">
      <c r="A367" s="33">
        <v>44631</v>
      </c>
      <c r="B367" s="36">
        <v>14300</v>
      </c>
      <c r="C367" s="7">
        <v>14305</v>
      </c>
      <c r="D367" s="7">
        <v>14315</v>
      </c>
      <c r="E367" s="7">
        <v>14270</v>
      </c>
      <c r="F367" s="7">
        <v>14270</v>
      </c>
      <c r="G367" s="34">
        <v>118</v>
      </c>
      <c r="H367" s="35">
        <v>25</v>
      </c>
      <c r="I367" s="38">
        <f t="shared" si="5"/>
        <v>14302.5</v>
      </c>
    </row>
    <row r="368" spans="1:9" x14ac:dyDescent="0.2">
      <c r="A368" s="33">
        <v>44630</v>
      </c>
      <c r="B368" s="36">
        <v>14275</v>
      </c>
      <c r="C368" s="7">
        <v>14285</v>
      </c>
      <c r="D368" s="7">
        <v>14315</v>
      </c>
      <c r="E368" s="7">
        <v>14240</v>
      </c>
      <c r="F368" s="7">
        <v>14280</v>
      </c>
      <c r="G368" s="34">
        <v>117</v>
      </c>
      <c r="H368" s="35">
        <v>-70</v>
      </c>
      <c r="I368" s="38">
        <f t="shared" si="5"/>
        <v>14280</v>
      </c>
    </row>
    <row r="369" spans="1:9" x14ac:dyDescent="0.2">
      <c r="A369" s="33">
        <v>44629</v>
      </c>
      <c r="B369" s="36">
        <v>14345</v>
      </c>
      <c r="C369" s="7">
        <v>14350</v>
      </c>
      <c r="D369" s="7">
        <v>14382</v>
      </c>
      <c r="E369" s="7">
        <v>14340</v>
      </c>
      <c r="F369" s="7">
        <v>14340</v>
      </c>
      <c r="G369" s="34">
        <v>121</v>
      </c>
      <c r="H369" s="35">
        <v>-50</v>
      </c>
      <c r="I369" s="38">
        <f t="shared" si="5"/>
        <v>14347.5</v>
      </c>
    </row>
    <row r="370" spans="1:9" x14ac:dyDescent="0.2">
      <c r="A370" s="33">
        <v>44628</v>
      </c>
      <c r="B370" s="36">
        <v>14395</v>
      </c>
      <c r="C370" s="7">
        <v>14400</v>
      </c>
      <c r="D370" s="7">
        <v>14400</v>
      </c>
      <c r="E370" s="7">
        <v>14380</v>
      </c>
      <c r="F370" s="7">
        <v>14385</v>
      </c>
      <c r="G370" s="34">
        <v>109</v>
      </c>
      <c r="H370" s="35">
        <v>-10</v>
      </c>
      <c r="I370" s="38">
        <f t="shared" si="5"/>
        <v>14397.5</v>
      </c>
    </row>
    <row r="371" spans="1:9" x14ac:dyDescent="0.2">
      <c r="A371" s="33">
        <v>44627</v>
      </c>
      <c r="B371" s="36">
        <v>14405</v>
      </c>
      <c r="C371" s="7">
        <v>14410</v>
      </c>
      <c r="D371" s="7">
        <v>14410</v>
      </c>
      <c r="E371" s="7">
        <v>14395</v>
      </c>
      <c r="F371" s="7">
        <v>14400</v>
      </c>
      <c r="G371" s="34">
        <v>116</v>
      </c>
      <c r="H371" s="35">
        <v>20</v>
      </c>
      <c r="I371" s="38">
        <f t="shared" si="5"/>
        <v>14407.5</v>
      </c>
    </row>
    <row r="372" spans="1:9" x14ac:dyDescent="0.2">
      <c r="A372" s="33">
        <v>44624</v>
      </c>
      <c r="B372" s="36">
        <v>14385</v>
      </c>
      <c r="C372" s="7">
        <v>14390</v>
      </c>
      <c r="D372" s="7">
        <v>14390</v>
      </c>
      <c r="E372" s="7">
        <v>14370</v>
      </c>
      <c r="F372" s="7">
        <v>14370</v>
      </c>
      <c r="G372" s="34">
        <v>90</v>
      </c>
      <c r="H372" s="35">
        <v>0</v>
      </c>
      <c r="I372" s="38">
        <f t="shared" si="5"/>
        <v>14387.5</v>
      </c>
    </row>
    <row r="373" spans="1:9" x14ac:dyDescent="0.2">
      <c r="A373" s="33">
        <v>44623</v>
      </c>
      <c r="B373" s="36">
        <v>14385</v>
      </c>
      <c r="C373" s="7">
        <v>14388</v>
      </c>
      <c r="D373" s="7"/>
      <c r="E373" s="7"/>
      <c r="F373" s="7"/>
      <c r="G373" s="34"/>
      <c r="H373" s="35">
        <v>0</v>
      </c>
      <c r="I373" s="38">
        <f t="shared" si="5"/>
        <v>14386.5</v>
      </c>
    </row>
    <row r="374" spans="1:9" x14ac:dyDescent="0.2">
      <c r="A374" s="33">
        <v>44622</v>
      </c>
      <c r="B374" s="36">
        <v>14385</v>
      </c>
      <c r="C374" s="7">
        <v>14388</v>
      </c>
      <c r="D374" s="7">
        <v>14385</v>
      </c>
      <c r="E374" s="7">
        <v>14335</v>
      </c>
      <c r="F374" s="7">
        <v>14335</v>
      </c>
      <c r="G374" s="34">
        <v>123</v>
      </c>
      <c r="H374" s="35">
        <v>50</v>
      </c>
      <c r="I374" s="38">
        <f t="shared" si="5"/>
        <v>14386.5</v>
      </c>
    </row>
    <row r="375" spans="1:9" x14ac:dyDescent="0.2">
      <c r="A375" s="33">
        <v>44621</v>
      </c>
      <c r="B375" s="36">
        <v>14335</v>
      </c>
      <c r="C375" s="7">
        <v>14339</v>
      </c>
      <c r="D375" s="7">
        <v>14360</v>
      </c>
      <c r="E375" s="7">
        <v>14330</v>
      </c>
      <c r="F375" s="7">
        <v>14330</v>
      </c>
      <c r="G375" s="34">
        <v>106</v>
      </c>
      <c r="H375" s="35">
        <v>-30</v>
      </c>
      <c r="I375" s="38">
        <f t="shared" si="5"/>
        <v>14337</v>
      </c>
    </row>
    <row r="376" spans="1:9" x14ac:dyDescent="0.2">
      <c r="A376" s="33">
        <v>44620</v>
      </c>
      <c r="B376" s="36">
        <v>14365</v>
      </c>
      <c r="C376" s="7">
        <v>14369</v>
      </c>
      <c r="D376" s="7"/>
      <c r="E376" s="7"/>
      <c r="F376" s="7"/>
      <c r="G376" s="34"/>
      <c r="H376" s="35">
        <v>0</v>
      </c>
      <c r="I376" s="38">
        <f t="shared" si="5"/>
        <v>14367</v>
      </c>
    </row>
    <row r="377" spans="1:9" x14ac:dyDescent="0.2">
      <c r="A377" s="33">
        <v>44617</v>
      </c>
      <c r="B377" s="36">
        <v>14365</v>
      </c>
      <c r="C377" s="7">
        <v>14369</v>
      </c>
      <c r="D377" s="7">
        <v>14375</v>
      </c>
      <c r="E377" s="7">
        <v>14355</v>
      </c>
      <c r="F377" s="7">
        <v>14365</v>
      </c>
      <c r="G377" s="34">
        <v>117</v>
      </c>
      <c r="H377" s="35">
        <v>-15</v>
      </c>
      <c r="I377" s="38">
        <f t="shared" si="5"/>
        <v>14367</v>
      </c>
    </row>
    <row r="378" spans="1:9" x14ac:dyDescent="0.2">
      <c r="A378" s="33">
        <v>44616</v>
      </c>
      <c r="B378" s="36">
        <v>14380</v>
      </c>
      <c r="C378" s="7">
        <v>14385</v>
      </c>
      <c r="D378" s="7">
        <v>14385</v>
      </c>
      <c r="E378" s="7">
        <v>14320</v>
      </c>
      <c r="F378" s="7">
        <v>14350</v>
      </c>
      <c r="G378" s="34">
        <v>134</v>
      </c>
      <c r="H378" s="35">
        <v>45</v>
      </c>
      <c r="I378" s="38">
        <f t="shared" si="5"/>
        <v>14382.5</v>
      </c>
    </row>
    <row r="379" spans="1:9" x14ac:dyDescent="0.2">
      <c r="A379" s="33">
        <v>44615</v>
      </c>
      <c r="B379" s="36">
        <v>14335</v>
      </c>
      <c r="C379" s="7">
        <v>14340</v>
      </c>
      <c r="D379" s="7">
        <v>14360</v>
      </c>
      <c r="E379" s="7">
        <v>14335</v>
      </c>
      <c r="F379" s="7">
        <v>14340</v>
      </c>
      <c r="G379" s="34">
        <v>133</v>
      </c>
      <c r="H379" s="35">
        <v>-26</v>
      </c>
      <c r="I379" s="38">
        <f t="shared" si="5"/>
        <v>14337.5</v>
      </c>
    </row>
    <row r="380" spans="1:9" x14ac:dyDescent="0.2">
      <c r="A380" s="33">
        <v>44614</v>
      </c>
      <c r="B380" s="36">
        <v>14361</v>
      </c>
      <c r="C380" s="7">
        <v>14366</v>
      </c>
      <c r="D380" s="7">
        <v>14370</v>
      </c>
      <c r="E380" s="7">
        <v>14310</v>
      </c>
      <c r="F380" s="7">
        <v>14330</v>
      </c>
      <c r="G380" s="34">
        <v>203</v>
      </c>
      <c r="H380" s="35">
        <v>36</v>
      </c>
      <c r="I380" s="38">
        <f t="shared" si="5"/>
        <v>14363.5</v>
      </c>
    </row>
    <row r="381" spans="1:9" x14ac:dyDescent="0.2">
      <c r="A381" s="33">
        <v>44613</v>
      </c>
      <c r="B381" s="36">
        <v>14325</v>
      </c>
      <c r="C381" s="7">
        <v>14330</v>
      </c>
      <c r="D381" s="7">
        <v>14340</v>
      </c>
      <c r="E381" s="7">
        <v>14312</v>
      </c>
      <c r="F381" s="7">
        <v>14340</v>
      </c>
      <c r="G381" s="34">
        <v>129</v>
      </c>
      <c r="H381" s="35">
        <v>0</v>
      </c>
      <c r="I381" s="38">
        <f t="shared" si="5"/>
        <v>14327.5</v>
      </c>
    </row>
    <row r="382" spans="1:9" x14ac:dyDescent="0.2">
      <c r="A382" s="33">
        <v>44610</v>
      </c>
      <c r="B382" s="36">
        <v>14325</v>
      </c>
      <c r="C382" s="7">
        <v>14331</v>
      </c>
      <c r="D382" s="7">
        <v>14350</v>
      </c>
      <c r="E382" s="7">
        <v>14310</v>
      </c>
      <c r="F382" s="7">
        <v>14315</v>
      </c>
      <c r="G382" s="34">
        <v>174</v>
      </c>
      <c r="H382" s="35">
        <v>10</v>
      </c>
      <c r="I382" s="38">
        <f t="shared" si="5"/>
        <v>14328</v>
      </c>
    </row>
    <row r="383" spans="1:9" x14ac:dyDescent="0.2">
      <c r="A383" s="33">
        <v>44609</v>
      </c>
      <c r="B383" s="36">
        <v>14315</v>
      </c>
      <c r="C383" s="7">
        <v>14320</v>
      </c>
      <c r="D383" s="7">
        <v>14320</v>
      </c>
      <c r="E383" s="7">
        <v>14240</v>
      </c>
      <c r="F383" s="7">
        <v>14240</v>
      </c>
      <c r="G383" s="34">
        <v>222</v>
      </c>
      <c r="H383" s="35">
        <v>60</v>
      </c>
      <c r="I383" s="38">
        <f t="shared" si="5"/>
        <v>14317.5</v>
      </c>
    </row>
    <row r="384" spans="1:9" x14ac:dyDescent="0.2">
      <c r="A384" s="33">
        <v>44608</v>
      </c>
      <c r="B384" s="36">
        <v>14255</v>
      </c>
      <c r="C384" s="7">
        <v>14260</v>
      </c>
      <c r="D384" s="7">
        <v>14295</v>
      </c>
      <c r="E384" s="7">
        <v>14245</v>
      </c>
      <c r="F384" s="7">
        <v>14265</v>
      </c>
      <c r="G384" s="34">
        <v>165</v>
      </c>
      <c r="H384" s="35">
        <v>-45</v>
      </c>
      <c r="I384" s="38">
        <f t="shared" si="5"/>
        <v>14257.5</v>
      </c>
    </row>
    <row r="385" spans="1:9" x14ac:dyDescent="0.2">
      <c r="A385" s="33">
        <v>44607</v>
      </c>
      <c r="B385" s="36">
        <v>14300</v>
      </c>
      <c r="C385" s="7">
        <v>14305</v>
      </c>
      <c r="D385" s="7">
        <v>14305</v>
      </c>
      <c r="E385" s="7">
        <v>14270</v>
      </c>
      <c r="F385" s="7">
        <v>14305</v>
      </c>
      <c r="G385" s="34">
        <v>131</v>
      </c>
      <c r="H385" s="35">
        <v>-25</v>
      </c>
      <c r="I385" s="38">
        <f t="shared" si="5"/>
        <v>14302.5</v>
      </c>
    </row>
    <row r="386" spans="1:9" x14ac:dyDescent="0.2">
      <c r="A386" s="33">
        <v>44606</v>
      </c>
      <c r="B386" s="36">
        <v>14325</v>
      </c>
      <c r="C386" s="7">
        <v>14330</v>
      </c>
      <c r="D386" s="7">
        <v>14350</v>
      </c>
      <c r="E386" s="7">
        <v>14316</v>
      </c>
      <c r="F386" s="7">
        <v>14340</v>
      </c>
      <c r="G386" s="34">
        <v>104</v>
      </c>
      <c r="H386" s="35">
        <v>-25</v>
      </c>
      <c r="I386" s="38">
        <f t="shared" si="5"/>
        <v>14327.5</v>
      </c>
    </row>
    <row r="387" spans="1:9" x14ac:dyDescent="0.2">
      <c r="A387" s="33">
        <v>44603</v>
      </c>
      <c r="B387" s="36">
        <v>14350</v>
      </c>
      <c r="C387" s="7">
        <v>14353</v>
      </c>
      <c r="D387" s="7">
        <v>14365</v>
      </c>
      <c r="E387" s="7">
        <v>14340</v>
      </c>
      <c r="F387" s="7">
        <v>14340</v>
      </c>
      <c r="G387" s="34">
        <v>150</v>
      </c>
      <c r="H387" s="35">
        <v>10</v>
      </c>
      <c r="I387" s="38">
        <f t="shared" si="5"/>
        <v>14351.5</v>
      </c>
    </row>
    <row r="388" spans="1:9" x14ac:dyDescent="0.2">
      <c r="A388" s="33">
        <v>44602</v>
      </c>
      <c r="B388" s="36">
        <v>14340</v>
      </c>
      <c r="C388" s="7">
        <v>14345</v>
      </c>
      <c r="D388" s="7">
        <v>14349</v>
      </c>
      <c r="E388" s="7">
        <v>14325</v>
      </c>
      <c r="F388" s="7">
        <v>14345</v>
      </c>
      <c r="G388" s="34">
        <v>79</v>
      </c>
      <c r="H388" s="35">
        <v>-15</v>
      </c>
      <c r="I388" s="38">
        <f t="shared" si="5"/>
        <v>14342.5</v>
      </c>
    </row>
    <row r="389" spans="1:9" x14ac:dyDescent="0.2">
      <c r="A389" s="33">
        <v>44601</v>
      </c>
      <c r="B389" s="36">
        <v>14355</v>
      </c>
      <c r="C389" s="7">
        <v>14360</v>
      </c>
      <c r="D389" s="7">
        <v>14375</v>
      </c>
      <c r="E389" s="7">
        <v>14355</v>
      </c>
      <c r="F389" s="7">
        <v>14365</v>
      </c>
      <c r="G389" s="34">
        <v>82</v>
      </c>
      <c r="H389" s="35">
        <v>-35</v>
      </c>
      <c r="I389" s="38">
        <f t="shared" si="5"/>
        <v>14357.5</v>
      </c>
    </row>
    <row r="390" spans="1:9" x14ac:dyDescent="0.2">
      <c r="A390" s="33">
        <v>44600</v>
      </c>
      <c r="B390" s="36">
        <v>14390</v>
      </c>
      <c r="C390" s="7">
        <v>14395</v>
      </c>
      <c r="D390" s="7">
        <v>14393</v>
      </c>
      <c r="E390" s="7">
        <v>14370</v>
      </c>
      <c r="F390" s="7">
        <v>14380</v>
      </c>
      <c r="G390" s="34">
        <v>98</v>
      </c>
      <c r="H390" s="35">
        <v>-5</v>
      </c>
      <c r="I390" s="38">
        <f t="shared" si="5"/>
        <v>14392.5</v>
      </c>
    </row>
    <row r="391" spans="1:9" x14ac:dyDescent="0.2">
      <c r="A391" s="33">
        <v>44599</v>
      </c>
      <c r="B391" s="36">
        <v>14395</v>
      </c>
      <c r="C391" s="7">
        <v>14398</v>
      </c>
      <c r="D391" s="7">
        <v>14408</v>
      </c>
      <c r="E391" s="7">
        <v>14360</v>
      </c>
      <c r="F391" s="7">
        <v>14380</v>
      </c>
      <c r="G391" s="34">
        <v>70</v>
      </c>
      <c r="H391" s="35">
        <v>17</v>
      </c>
      <c r="I391" s="38">
        <f t="shared" si="5"/>
        <v>14396.5</v>
      </c>
    </row>
    <row r="392" spans="1:9" x14ac:dyDescent="0.2">
      <c r="A392" s="33">
        <v>44596</v>
      </c>
      <c r="B392" s="36">
        <v>14378</v>
      </c>
      <c r="C392" s="7">
        <v>14382</v>
      </c>
      <c r="D392" s="7">
        <v>14378</v>
      </c>
      <c r="E392" s="7">
        <v>14360</v>
      </c>
      <c r="F392" s="7">
        <v>14370</v>
      </c>
      <c r="G392" s="34">
        <v>82</v>
      </c>
      <c r="H392" s="35">
        <v>3</v>
      </c>
      <c r="I392" s="38">
        <f t="shared" si="5"/>
        <v>14380</v>
      </c>
    </row>
    <row r="393" spans="1:9" x14ac:dyDescent="0.2">
      <c r="A393" s="33">
        <v>44595</v>
      </c>
      <c r="B393" s="36">
        <v>14375</v>
      </c>
      <c r="C393" s="7">
        <v>14380</v>
      </c>
      <c r="D393" s="7">
        <v>14385</v>
      </c>
      <c r="E393" s="7">
        <v>14340</v>
      </c>
      <c r="F393" s="7">
        <v>14355</v>
      </c>
      <c r="G393" s="34">
        <v>106</v>
      </c>
      <c r="H393" s="35">
        <v>20</v>
      </c>
      <c r="I393" s="38">
        <f t="shared" si="5"/>
        <v>14377.5</v>
      </c>
    </row>
    <row r="394" spans="1:9" x14ac:dyDescent="0.2">
      <c r="A394" s="33">
        <v>44594</v>
      </c>
      <c r="B394" s="36">
        <v>14355</v>
      </c>
      <c r="C394" s="7">
        <v>14360</v>
      </c>
      <c r="D394" s="7">
        <v>14355</v>
      </c>
      <c r="E394" s="7">
        <v>14305</v>
      </c>
      <c r="F394" s="7">
        <v>14305</v>
      </c>
      <c r="G394" s="34">
        <v>180</v>
      </c>
      <c r="H394" s="35">
        <v>-25</v>
      </c>
      <c r="I394" s="38">
        <f t="shared" si="5"/>
        <v>14357.5</v>
      </c>
    </row>
    <row r="395" spans="1:9" x14ac:dyDescent="0.2">
      <c r="A395" s="33">
        <v>44593</v>
      </c>
      <c r="B395" s="36">
        <v>14380</v>
      </c>
      <c r="C395" s="7">
        <v>14384</v>
      </c>
      <c r="D395" s="7"/>
      <c r="E395" s="7"/>
      <c r="F395" s="7"/>
      <c r="G395" s="34"/>
      <c r="H395" s="35">
        <v>0</v>
      </c>
      <c r="I395" s="38">
        <f t="shared" si="5"/>
        <v>14382</v>
      </c>
    </row>
    <row r="396" spans="1:9" x14ac:dyDescent="0.2">
      <c r="A396" s="33">
        <v>44592</v>
      </c>
      <c r="B396" s="36">
        <v>14380</v>
      </c>
      <c r="C396" s="7">
        <v>14384</v>
      </c>
      <c r="D396" s="7">
        <v>14405</v>
      </c>
      <c r="E396" s="7">
        <v>14360</v>
      </c>
      <c r="F396" s="7">
        <v>14390</v>
      </c>
      <c r="G396" s="34">
        <v>124</v>
      </c>
      <c r="H396" s="35">
        <v>-5</v>
      </c>
      <c r="I396" s="38">
        <f t="shared" si="5"/>
        <v>14382</v>
      </c>
    </row>
    <row r="397" spans="1:9" x14ac:dyDescent="0.2">
      <c r="A397" s="33">
        <v>44589</v>
      </c>
      <c r="B397" s="36">
        <v>14385</v>
      </c>
      <c r="C397" s="7">
        <v>14390</v>
      </c>
      <c r="D397" s="7">
        <v>14390</v>
      </c>
      <c r="E397" s="7">
        <v>14350</v>
      </c>
      <c r="F397" s="7">
        <v>14360</v>
      </c>
      <c r="G397" s="34">
        <v>171</v>
      </c>
      <c r="H397" s="35">
        <v>0</v>
      </c>
      <c r="I397" s="38">
        <f t="shared" si="5"/>
        <v>14387.5</v>
      </c>
    </row>
    <row r="398" spans="1:9" x14ac:dyDescent="0.2">
      <c r="A398" s="33">
        <v>44588</v>
      </c>
      <c r="B398" s="36">
        <v>14385</v>
      </c>
      <c r="C398" s="7">
        <v>14387</v>
      </c>
      <c r="D398" s="7">
        <v>14390</v>
      </c>
      <c r="E398" s="7">
        <v>14350</v>
      </c>
      <c r="F398" s="7">
        <v>14370</v>
      </c>
      <c r="G398" s="34">
        <v>129</v>
      </c>
      <c r="H398" s="35">
        <v>35</v>
      </c>
      <c r="I398" s="38">
        <f t="shared" si="5"/>
        <v>14386</v>
      </c>
    </row>
    <row r="399" spans="1:9" x14ac:dyDescent="0.2">
      <c r="A399" s="33">
        <v>44587</v>
      </c>
      <c r="B399" s="36">
        <v>14350</v>
      </c>
      <c r="C399" s="7">
        <v>14355</v>
      </c>
      <c r="D399" s="7">
        <v>14355</v>
      </c>
      <c r="E399" s="7">
        <v>14300</v>
      </c>
      <c r="F399" s="7">
        <v>14300</v>
      </c>
      <c r="G399" s="34">
        <v>121</v>
      </c>
      <c r="H399" s="35">
        <v>0</v>
      </c>
      <c r="I399" s="38">
        <f t="shared" si="5"/>
        <v>14352.5</v>
      </c>
    </row>
    <row r="400" spans="1:9" x14ac:dyDescent="0.2">
      <c r="A400" s="33">
        <v>44586</v>
      </c>
      <c r="B400" s="36">
        <v>14350</v>
      </c>
      <c r="C400" s="7">
        <v>14351</v>
      </c>
      <c r="D400" s="7">
        <v>14360</v>
      </c>
      <c r="E400" s="7">
        <v>14340</v>
      </c>
      <c r="F400" s="7">
        <v>14340</v>
      </c>
      <c r="G400" s="34">
        <v>163</v>
      </c>
      <c r="H400" s="35">
        <v>10</v>
      </c>
      <c r="I400" s="38">
        <f t="shared" si="5"/>
        <v>14350.5</v>
      </c>
    </row>
    <row r="401" spans="1:9" x14ac:dyDescent="0.2">
      <c r="A401" s="33">
        <v>44585</v>
      </c>
      <c r="B401" s="36">
        <v>14340</v>
      </c>
      <c r="C401" s="7">
        <v>14345</v>
      </c>
      <c r="D401" s="7">
        <v>14348</v>
      </c>
      <c r="E401" s="7">
        <v>14300</v>
      </c>
      <c r="F401" s="7">
        <v>14300</v>
      </c>
      <c r="G401" s="34">
        <v>121</v>
      </c>
      <c r="H401" s="35">
        <v>5</v>
      </c>
      <c r="I401" s="38">
        <f t="shared" si="5"/>
        <v>14342.5</v>
      </c>
    </row>
    <row r="402" spans="1:9" x14ac:dyDescent="0.2">
      <c r="A402" s="33">
        <v>44582</v>
      </c>
      <c r="B402" s="36">
        <v>14335</v>
      </c>
      <c r="C402" s="7">
        <v>14340</v>
      </c>
      <c r="D402" s="7">
        <v>14355</v>
      </c>
      <c r="E402" s="7">
        <v>14330</v>
      </c>
      <c r="F402" s="7">
        <v>14340</v>
      </c>
      <c r="G402" s="34">
        <v>162</v>
      </c>
      <c r="H402" s="35">
        <v>0</v>
      </c>
      <c r="I402" s="38">
        <f t="shared" si="5"/>
        <v>14337.5</v>
      </c>
    </row>
    <row r="403" spans="1:9" x14ac:dyDescent="0.2">
      <c r="A403" s="33">
        <v>44581</v>
      </c>
      <c r="B403" s="36">
        <v>14335</v>
      </c>
      <c r="C403" s="7">
        <v>14340</v>
      </c>
      <c r="D403" s="7">
        <v>14360</v>
      </c>
      <c r="E403" s="7">
        <v>14320</v>
      </c>
      <c r="F403" s="7">
        <v>14320</v>
      </c>
      <c r="G403" s="34">
        <v>170</v>
      </c>
      <c r="H403" s="35">
        <v>-25</v>
      </c>
      <c r="I403" s="38">
        <f t="shared" si="5"/>
        <v>14337.5</v>
      </c>
    </row>
    <row r="404" spans="1:9" x14ac:dyDescent="0.2">
      <c r="A404" s="33">
        <v>44580</v>
      </c>
      <c r="B404" s="36">
        <v>14360</v>
      </c>
      <c r="C404" s="7">
        <v>14365</v>
      </c>
      <c r="D404" s="7">
        <v>14375</v>
      </c>
      <c r="E404" s="7">
        <v>14310</v>
      </c>
      <c r="F404" s="7">
        <v>14340</v>
      </c>
      <c r="G404" s="34">
        <v>151</v>
      </c>
      <c r="H404" s="35">
        <v>25</v>
      </c>
      <c r="I404" s="38">
        <f t="shared" si="5"/>
        <v>14362.5</v>
      </c>
    </row>
    <row r="405" spans="1:9" x14ac:dyDescent="0.2">
      <c r="A405" s="33">
        <v>44579</v>
      </c>
      <c r="B405" s="36">
        <v>14335</v>
      </c>
      <c r="C405" s="7">
        <v>14340</v>
      </c>
      <c r="D405" s="7">
        <v>14342</v>
      </c>
      <c r="E405" s="7">
        <v>14290</v>
      </c>
      <c r="F405" s="7">
        <v>14295</v>
      </c>
      <c r="G405" s="34">
        <v>184</v>
      </c>
      <c r="H405" s="35">
        <v>20</v>
      </c>
      <c r="I405" s="38">
        <f t="shared" si="5"/>
        <v>14337.5</v>
      </c>
    </row>
    <row r="406" spans="1:9" x14ac:dyDescent="0.2">
      <c r="A406" s="33">
        <v>44578</v>
      </c>
      <c r="B406" s="36">
        <v>14315</v>
      </c>
      <c r="C406" s="7">
        <v>14320</v>
      </c>
      <c r="D406" s="7">
        <v>14325</v>
      </c>
      <c r="E406" s="7">
        <v>14275</v>
      </c>
      <c r="F406" s="7">
        <v>14300</v>
      </c>
      <c r="G406" s="34">
        <v>109</v>
      </c>
      <c r="H406" s="35">
        <v>20</v>
      </c>
      <c r="I406" s="38">
        <f t="shared" si="5"/>
        <v>14317.5</v>
      </c>
    </row>
    <row r="407" spans="1:9" x14ac:dyDescent="0.2">
      <c r="A407" s="33">
        <v>44575</v>
      </c>
      <c r="B407" s="36">
        <v>14295</v>
      </c>
      <c r="C407" s="7">
        <v>14299</v>
      </c>
      <c r="D407" s="7">
        <v>14317</v>
      </c>
      <c r="E407" s="7">
        <v>14288</v>
      </c>
      <c r="F407" s="7">
        <v>14300</v>
      </c>
      <c r="G407" s="34">
        <v>148</v>
      </c>
      <c r="H407" s="35">
        <v>5</v>
      </c>
      <c r="I407" s="38">
        <f t="shared" si="5"/>
        <v>14297</v>
      </c>
    </row>
    <row r="408" spans="1:9" x14ac:dyDescent="0.2">
      <c r="A408" s="33">
        <v>44574</v>
      </c>
      <c r="B408" s="36">
        <v>14290</v>
      </c>
      <c r="C408" s="7">
        <v>14295</v>
      </c>
      <c r="D408" s="7">
        <v>14317</v>
      </c>
      <c r="E408" s="7">
        <v>14289</v>
      </c>
      <c r="F408" s="7">
        <v>14305</v>
      </c>
      <c r="G408" s="34">
        <v>197</v>
      </c>
      <c r="H408" s="35">
        <v>-25</v>
      </c>
      <c r="I408" s="38">
        <f t="shared" si="5"/>
        <v>14292.5</v>
      </c>
    </row>
    <row r="409" spans="1:9" x14ac:dyDescent="0.2">
      <c r="A409" s="33">
        <v>44573</v>
      </c>
      <c r="B409" s="36">
        <v>14315</v>
      </c>
      <c r="C409" s="7">
        <v>14320</v>
      </c>
      <c r="D409" s="7">
        <v>14320</v>
      </c>
      <c r="E409" s="7">
        <v>14280</v>
      </c>
      <c r="F409" s="7">
        <v>14290</v>
      </c>
      <c r="G409" s="34">
        <v>237</v>
      </c>
      <c r="H409" s="35">
        <v>15</v>
      </c>
      <c r="I409" s="38">
        <f t="shared" si="5"/>
        <v>14317.5</v>
      </c>
    </row>
    <row r="410" spans="1:9" x14ac:dyDescent="0.2">
      <c r="A410" s="33">
        <v>44572</v>
      </c>
      <c r="B410" s="36">
        <v>14300</v>
      </c>
      <c r="C410" s="7">
        <v>14305</v>
      </c>
      <c r="D410" s="7">
        <v>14310</v>
      </c>
      <c r="E410" s="7">
        <v>14260</v>
      </c>
      <c r="F410" s="7">
        <v>14285</v>
      </c>
      <c r="G410" s="34">
        <v>212</v>
      </c>
      <c r="H410" s="35">
        <v>-5</v>
      </c>
      <c r="I410" s="38">
        <f t="shared" si="5"/>
        <v>14302.5</v>
      </c>
    </row>
    <row r="411" spans="1:9" x14ac:dyDescent="0.2">
      <c r="A411" s="33">
        <v>44571</v>
      </c>
      <c r="B411" s="36">
        <v>14305</v>
      </c>
      <c r="C411" s="7">
        <v>14310</v>
      </c>
      <c r="D411" s="7">
        <v>14335</v>
      </c>
      <c r="E411" s="7">
        <v>14290</v>
      </c>
      <c r="F411" s="7">
        <v>14290</v>
      </c>
      <c r="G411" s="34">
        <v>190</v>
      </c>
      <c r="H411" s="35">
        <v>-50</v>
      </c>
      <c r="I411" s="38">
        <f t="shared" si="5"/>
        <v>14307.5</v>
      </c>
    </row>
    <row r="412" spans="1:9" x14ac:dyDescent="0.2">
      <c r="A412" s="33">
        <v>44568</v>
      </c>
      <c r="B412" s="36">
        <v>14355</v>
      </c>
      <c r="C412" s="7">
        <v>14360</v>
      </c>
      <c r="D412" s="7">
        <v>14365</v>
      </c>
      <c r="E412" s="7">
        <v>14350</v>
      </c>
      <c r="F412" s="7">
        <v>14360</v>
      </c>
      <c r="G412" s="34">
        <v>116</v>
      </c>
      <c r="H412" s="35">
        <v>-35</v>
      </c>
      <c r="I412" s="38">
        <f t="shared" si="5"/>
        <v>14357.5</v>
      </c>
    </row>
    <row r="413" spans="1:9" x14ac:dyDescent="0.2">
      <c r="A413" s="33">
        <v>44567</v>
      </c>
      <c r="B413" s="36">
        <v>14390</v>
      </c>
      <c r="C413" s="7">
        <v>14395</v>
      </c>
      <c r="D413" s="7">
        <v>14398</v>
      </c>
      <c r="E413" s="7">
        <v>14372</v>
      </c>
      <c r="F413" s="7">
        <v>14388</v>
      </c>
      <c r="G413" s="34">
        <v>158</v>
      </c>
      <c r="H413" s="35">
        <v>35</v>
      </c>
      <c r="I413" s="38">
        <f t="shared" si="5"/>
        <v>14392.5</v>
      </c>
    </row>
    <row r="414" spans="1:9" x14ac:dyDescent="0.2">
      <c r="A414" s="33">
        <v>44566</v>
      </c>
      <c r="B414" s="36">
        <v>14355</v>
      </c>
      <c r="C414" s="7">
        <v>14360</v>
      </c>
      <c r="D414" s="7">
        <v>14368</v>
      </c>
      <c r="E414" s="7">
        <v>14320</v>
      </c>
      <c r="F414" s="7">
        <v>14320</v>
      </c>
      <c r="G414" s="34">
        <v>169</v>
      </c>
      <c r="H414" s="35">
        <v>55</v>
      </c>
      <c r="I414" s="38">
        <f t="shared" si="5"/>
        <v>14357.5</v>
      </c>
    </row>
    <row r="415" spans="1:9" x14ac:dyDescent="0.2">
      <c r="A415" s="33">
        <v>44565</v>
      </c>
      <c r="B415" s="36">
        <v>14300</v>
      </c>
      <c r="C415" s="7">
        <v>14305</v>
      </c>
      <c r="D415" s="7">
        <v>14325</v>
      </c>
      <c r="E415" s="7">
        <v>14250</v>
      </c>
      <c r="F415" s="7">
        <v>14275</v>
      </c>
      <c r="G415" s="34">
        <v>142</v>
      </c>
      <c r="H415" s="35">
        <v>36</v>
      </c>
      <c r="I415" s="38">
        <f t="shared" si="5"/>
        <v>14302.5</v>
      </c>
    </row>
    <row r="416" spans="1:9" x14ac:dyDescent="0.2">
      <c r="A416" s="33">
        <v>44564</v>
      </c>
      <c r="B416" s="36">
        <v>14264</v>
      </c>
      <c r="C416" s="7">
        <v>14268</v>
      </c>
      <c r="D416" s="7">
        <v>14273</v>
      </c>
      <c r="E416" s="7">
        <v>14235</v>
      </c>
      <c r="F416" s="7">
        <v>14235</v>
      </c>
      <c r="G416" s="34">
        <v>109</v>
      </c>
      <c r="H416" s="35">
        <v>14</v>
      </c>
      <c r="I416" s="38">
        <f t="shared" ref="I416:I479" si="6">+(B416+C416)*0.5</f>
        <v>14266</v>
      </c>
    </row>
    <row r="417" spans="1:9" x14ac:dyDescent="0.2">
      <c r="A417" s="33">
        <v>44561</v>
      </c>
      <c r="B417" s="36">
        <v>14250</v>
      </c>
      <c r="C417" s="7">
        <v>14255</v>
      </c>
      <c r="D417" s="7">
        <v>14280</v>
      </c>
      <c r="E417" s="7">
        <v>14225</v>
      </c>
      <c r="F417" s="7">
        <v>14265</v>
      </c>
      <c r="G417" s="34">
        <v>94</v>
      </c>
      <c r="H417" s="35">
        <v>-15</v>
      </c>
      <c r="I417" s="38">
        <f t="shared" si="6"/>
        <v>14252.5</v>
      </c>
    </row>
    <row r="418" spans="1:9" x14ac:dyDescent="0.2">
      <c r="A418" s="33">
        <v>44560</v>
      </c>
      <c r="B418" s="36">
        <v>14265</v>
      </c>
      <c r="C418" s="7">
        <v>14270</v>
      </c>
      <c r="D418" s="7">
        <v>14275</v>
      </c>
      <c r="E418" s="7">
        <v>14225</v>
      </c>
      <c r="F418" s="7">
        <v>14225</v>
      </c>
      <c r="G418" s="34">
        <v>111</v>
      </c>
      <c r="H418" s="35">
        <v>15</v>
      </c>
      <c r="I418" s="38">
        <f t="shared" si="6"/>
        <v>14267.5</v>
      </c>
    </row>
    <row r="419" spans="1:9" x14ac:dyDescent="0.2">
      <c r="A419" s="33">
        <v>44559</v>
      </c>
      <c r="B419" s="36">
        <v>14250</v>
      </c>
      <c r="C419" s="7">
        <v>14255</v>
      </c>
      <c r="D419" s="7">
        <v>14273</v>
      </c>
      <c r="E419" s="7">
        <v>14230</v>
      </c>
      <c r="F419" s="7">
        <v>14230</v>
      </c>
      <c r="G419" s="34">
        <v>173</v>
      </c>
      <c r="H419" s="35">
        <v>25</v>
      </c>
      <c r="I419" s="38">
        <f t="shared" si="6"/>
        <v>14252.5</v>
      </c>
    </row>
    <row r="420" spans="1:9" x14ac:dyDescent="0.2">
      <c r="A420" s="33">
        <v>44558</v>
      </c>
      <c r="B420" s="36">
        <v>14225</v>
      </c>
      <c r="C420" s="7">
        <v>14230</v>
      </c>
      <c r="D420" s="7">
        <v>14241</v>
      </c>
      <c r="E420" s="7">
        <v>14210</v>
      </c>
      <c r="F420" s="7">
        <v>14210</v>
      </c>
      <c r="G420" s="34">
        <v>130</v>
      </c>
      <c r="H420" s="35">
        <v>0</v>
      </c>
      <c r="I420" s="38">
        <f t="shared" si="6"/>
        <v>14227.5</v>
      </c>
    </row>
    <row r="421" spans="1:9" x14ac:dyDescent="0.2">
      <c r="A421" s="33">
        <v>44557</v>
      </c>
      <c r="B421" s="36">
        <v>14225</v>
      </c>
      <c r="C421" s="7">
        <v>14228</v>
      </c>
      <c r="D421" s="7">
        <v>14233</v>
      </c>
      <c r="E421" s="7">
        <v>14200</v>
      </c>
      <c r="F421" s="7">
        <v>14210</v>
      </c>
      <c r="G421" s="34">
        <v>139</v>
      </c>
      <c r="H421" s="35">
        <v>5</v>
      </c>
      <c r="I421" s="38">
        <f t="shared" si="6"/>
        <v>14226.5</v>
      </c>
    </row>
    <row r="422" spans="1:9" x14ac:dyDescent="0.2">
      <c r="A422" s="33">
        <v>44554</v>
      </c>
      <c r="B422" s="36">
        <v>14220</v>
      </c>
      <c r="C422" s="7">
        <v>14222</v>
      </c>
      <c r="D422" s="7">
        <v>14235</v>
      </c>
      <c r="E422" s="7">
        <v>14170</v>
      </c>
      <c r="F422" s="7">
        <v>14170</v>
      </c>
      <c r="G422" s="34">
        <v>95</v>
      </c>
      <c r="H422" s="35">
        <v>-27</v>
      </c>
      <c r="I422" s="38">
        <f t="shared" si="6"/>
        <v>14221</v>
      </c>
    </row>
    <row r="423" spans="1:9" x14ac:dyDescent="0.2">
      <c r="A423" s="33">
        <v>44553</v>
      </c>
      <c r="B423" s="36">
        <v>14247</v>
      </c>
      <c r="C423" s="7">
        <v>14250</v>
      </c>
      <c r="D423" s="7">
        <v>14255</v>
      </c>
      <c r="E423" s="7">
        <v>14200</v>
      </c>
      <c r="F423" s="7">
        <v>14200</v>
      </c>
      <c r="G423" s="34">
        <v>92</v>
      </c>
      <c r="H423" s="35">
        <v>-38</v>
      </c>
      <c r="I423" s="38">
        <f t="shared" si="6"/>
        <v>14248.5</v>
      </c>
    </row>
    <row r="424" spans="1:9" x14ac:dyDescent="0.2">
      <c r="A424" s="33">
        <v>44552</v>
      </c>
      <c r="B424" s="36">
        <v>14285</v>
      </c>
      <c r="C424" s="7">
        <v>14290</v>
      </c>
      <c r="D424" s="7">
        <v>14287</v>
      </c>
      <c r="E424" s="7">
        <v>14230</v>
      </c>
      <c r="F424" s="7">
        <v>14260</v>
      </c>
      <c r="G424" s="34">
        <v>136</v>
      </c>
      <c r="H424" s="35">
        <v>-28</v>
      </c>
      <c r="I424" s="38">
        <f t="shared" si="6"/>
        <v>14287.5</v>
      </c>
    </row>
    <row r="425" spans="1:9" x14ac:dyDescent="0.2">
      <c r="A425" s="33">
        <v>44551</v>
      </c>
      <c r="B425" s="36">
        <v>14313</v>
      </c>
      <c r="C425" s="7">
        <v>14315</v>
      </c>
      <c r="D425" s="7">
        <v>14385</v>
      </c>
      <c r="E425" s="7">
        <v>14300</v>
      </c>
      <c r="F425" s="7">
        <v>14375</v>
      </c>
      <c r="G425" s="34">
        <v>113</v>
      </c>
      <c r="H425" s="35">
        <v>-62</v>
      </c>
      <c r="I425" s="38">
        <f t="shared" si="6"/>
        <v>14314</v>
      </c>
    </row>
    <row r="426" spans="1:9" x14ac:dyDescent="0.2">
      <c r="A426" s="33">
        <v>44550</v>
      </c>
      <c r="B426" s="36">
        <v>14375</v>
      </c>
      <c r="C426" s="7">
        <v>14380</v>
      </c>
      <c r="D426" s="7">
        <v>14385</v>
      </c>
      <c r="E426" s="7">
        <v>14360</v>
      </c>
      <c r="F426" s="7">
        <v>14375</v>
      </c>
      <c r="G426" s="34">
        <v>108</v>
      </c>
      <c r="H426" s="35">
        <v>10</v>
      </c>
      <c r="I426" s="38">
        <f t="shared" si="6"/>
        <v>14377.5</v>
      </c>
    </row>
    <row r="427" spans="1:9" x14ac:dyDescent="0.2">
      <c r="A427" s="33">
        <v>44547</v>
      </c>
      <c r="B427" s="36">
        <v>14365</v>
      </c>
      <c r="C427" s="7">
        <v>14370</v>
      </c>
      <c r="D427" s="7">
        <v>14388</v>
      </c>
      <c r="E427" s="7">
        <v>14350</v>
      </c>
      <c r="F427" s="7">
        <v>14350</v>
      </c>
      <c r="G427" s="34">
        <v>121</v>
      </c>
      <c r="H427" s="35">
        <v>25</v>
      </c>
      <c r="I427" s="38">
        <f t="shared" si="6"/>
        <v>14367.5</v>
      </c>
    </row>
    <row r="428" spans="1:9" x14ac:dyDescent="0.2">
      <c r="A428" s="33">
        <v>44546</v>
      </c>
      <c r="B428" s="36">
        <v>14340</v>
      </c>
      <c r="C428" s="7">
        <v>14345</v>
      </c>
      <c r="D428" s="7">
        <v>14365</v>
      </c>
      <c r="E428" s="7">
        <v>14310</v>
      </c>
      <c r="F428" s="7">
        <v>14325</v>
      </c>
      <c r="G428" s="34">
        <v>133</v>
      </c>
      <c r="H428" s="35">
        <v>10</v>
      </c>
      <c r="I428" s="38">
        <f t="shared" si="6"/>
        <v>14342.5</v>
      </c>
    </row>
    <row r="429" spans="1:9" x14ac:dyDescent="0.2">
      <c r="A429" s="33">
        <v>44545</v>
      </c>
      <c r="B429" s="36">
        <v>14330</v>
      </c>
      <c r="C429" s="7">
        <v>14335</v>
      </c>
      <c r="D429" s="7">
        <v>14340</v>
      </c>
      <c r="E429" s="7">
        <v>14325</v>
      </c>
      <c r="F429" s="7">
        <v>14325</v>
      </c>
      <c r="G429" s="34">
        <v>99</v>
      </c>
      <c r="H429" s="35">
        <v>0</v>
      </c>
      <c r="I429" s="38">
        <f t="shared" si="6"/>
        <v>14332.5</v>
      </c>
    </row>
    <row r="430" spans="1:9" x14ac:dyDescent="0.2">
      <c r="A430" s="33">
        <v>44544</v>
      </c>
      <c r="B430" s="36">
        <v>14330</v>
      </c>
      <c r="C430" s="7">
        <v>14335</v>
      </c>
      <c r="D430" s="7">
        <v>14352</v>
      </c>
      <c r="E430" s="7">
        <v>14325</v>
      </c>
      <c r="F430" s="7">
        <v>14325</v>
      </c>
      <c r="G430" s="34">
        <v>86</v>
      </c>
      <c r="H430" s="35">
        <v>-10</v>
      </c>
      <c r="I430" s="38">
        <f t="shared" si="6"/>
        <v>14332.5</v>
      </c>
    </row>
    <row r="431" spans="1:9" x14ac:dyDescent="0.2">
      <c r="A431" s="33">
        <v>44543</v>
      </c>
      <c r="B431" s="36">
        <v>14340</v>
      </c>
      <c r="C431" s="7">
        <v>14345</v>
      </c>
      <c r="D431" s="7">
        <v>14358</v>
      </c>
      <c r="E431" s="7">
        <v>14325</v>
      </c>
      <c r="F431" s="7">
        <v>14340</v>
      </c>
      <c r="G431" s="34">
        <v>99</v>
      </c>
      <c r="H431" s="35">
        <v>-30</v>
      </c>
      <c r="I431" s="38">
        <f t="shared" si="6"/>
        <v>14342.5</v>
      </c>
    </row>
    <row r="432" spans="1:9" x14ac:dyDescent="0.2">
      <c r="A432" s="33">
        <v>44540</v>
      </c>
      <c r="B432" s="36">
        <v>14370</v>
      </c>
      <c r="C432" s="7">
        <v>14375</v>
      </c>
      <c r="D432" s="7">
        <v>14380</v>
      </c>
      <c r="E432" s="7">
        <v>14360</v>
      </c>
      <c r="F432" s="7">
        <v>14360</v>
      </c>
      <c r="G432" s="34">
        <v>128</v>
      </c>
      <c r="H432" s="35">
        <v>20</v>
      </c>
      <c r="I432" s="38">
        <f t="shared" si="6"/>
        <v>14372.5</v>
      </c>
    </row>
    <row r="433" spans="1:9" x14ac:dyDescent="0.2">
      <c r="A433" s="33">
        <v>44539</v>
      </c>
      <c r="B433" s="36">
        <v>14350</v>
      </c>
      <c r="C433" s="7">
        <v>14355</v>
      </c>
      <c r="D433" s="7">
        <v>14370</v>
      </c>
      <c r="E433" s="7">
        <v>14300</v>
      </c>
      <c r="F433" s="7">
        <v>14300</v>
      </c>
      <c r="G433" s="34">
        <v>146</v>
      </c>
      <c r="H433" s="35">
        <v>-5</v>
      </c>
      <c r="I433" s="38">
        <f t="shared" si="6"/>
        <v>14352.5</v>
      </c>
    </row>
    <row r="434" spans="1:9" x14ac:dyDescent="0.2">
      <c r="A434" s="33">
        <v>44538</v>
      </c>
      <c r="B434" s="36">
        <v>14355</v>
      </c>
      <c r="C434" s="7">
        <v>14360</v>
      </c>
      <c r="D434" s="7">
        <v>14360</v>
      </c>
      <c r="E434" s="7">
        <v>14330</v>
      </c>
      <c r="F434" s="7">
        <v>14340</v>
      </c>
      <c r="G434" s="34">
        <v>137</v>
      </c>
      <c r="H434" s="35">
        <v>-20</v>
      </c>
      <c r="I434" s="38">
        <f t="shared" si="6"/>
        <v>14357.5</v>
      </c>
    </row>
    <row r="435" spans="1:9" x14ac:dyDescent="0.2">
      <c r="A435" s="33">
        <v>44537</v>
      </c>
      <c r="B435" s="36">
        <v>14375</v>
      </c>
      <c r="C435" s="7">
        <v>14380</v>
      </c>
      <c r="D435" s="7">
        <v>14430</v>
      </c>
      <c r="E435" s="7">
        <v>14375</v>
      </c>
      <c r="F435" s="7">
        <v>14400</v>
      </c>
      <c r="G435" s="34">
        <v>163</v>
      </c>
      <c r="H435" s="35">
        <v>-60</v>
      </c>
      <c r="I435" s="38">
        <f t="shared" si="6"/>
        <v>14377.5</v>
      </c>
    </row>
    <row r="436" spans="1:9" x14ac:dyDescent="0.2">
      <c r="A436" s="33">
        <v>44536</v>
      </c>
      <c r="B436" s="36">
        <v>14435</v>
      </c>
      <c r="C436" s="7">
        <v>14440</v>
      </c>
      <c r="D436" s="7">
        <v>14448</v>
      </c>
      <c r="E436" s="7">
        <v>14400</v>
      </c>
      <c r="F436" s="7">
        <v>14430</v>
      </c>
      <c r="G436" s="34">
        <v>154</v>
      </c>
      <c r="H436" s="35">
        <v>40</v>
      </c>
      <c r="I436" s="38">
        <f t="shared" si="6"/>
        <v>14437.5</v>
      </c>
    </row>
    <row r="437" spans="1:9" x14ac:dyDescent="0.2">
      <c r="A437" s="33">
        <v>44533</v>
      </c>
      <c r="B437" s="36">
        <v>14395</v>
      </c>
      <c r="C437" s="7">
        <v>14400</v>
      </c>
      <c r="D437" s="7">
        <v>14405</v>
      </c>
      <c r="E437" s="7">
        <v>14390</v>
      </c>
      <c r="F437" s="7">
        <v>14390</v>
      </c>
      <c r="G437" s="34">
        <v>101</v>
      </c>
      <c r="H437" s="35">
        <v>20</v>
      </c>
      <c r="I437" s="38">
        <f t="shared" si="6"/>
        <v>14397.5</v>
      </c>
    </row>
    <row r="438" spans="1:9" x14ac:dyDescent="0.2">
      <c r="A438" s="33">
        <v>44532</v>
      </c>
      <c r="B438" s="36">
        <v>14375</v>
      </c>
      <c r="C438" s="7">
        <v>14380</v>
      </c>
      <c r="D438" s="7">
        <v>14380</v>
      </c>
      <c r="E438" s="7">
        <v>14340</v>
      </c>
      <c r="F438" s="7">
        <v>14340</v>
      </c>
      <c r="G438" s="34">
        <v>119</v>
      </c>
      <c r="H438" s="35">
        <v>35</v>
      </c>
      <c r="I438" s="38">
        <f t="shared" si="6"/>
        <v>14377.5</v>
      </c>
    </row>
    <row r="439" spans="1:9" x14ac:dyDescent="0.2">
      <c r="A439" s="33">
        <v>44531</v>
      </c>
      <c r="B439" s="36">
        <v>14340</v>
      </c>
      <c r="C439" s="7">
        <v>14345</v>
      </c>
      <c r="D439" s="7">
        <v>14360</v>
      </c>
      <c r="E439" s="7">
        <v>14330</v>
      </c>
      <c r="F439" s="7">
        <v>14333</v>
      </c>
      <c r="G439" s="34">
        <v>150</v>
      </c>
      <c r="H439" s="35">
        <v>20</v>
      </c>
      <c r="I439" s="38">
        <f t="shared" si="6"/>
        <v>14342.5</v>
      </c>
    </row>
    <row r="440" spans="1:9" x14ac:dyDescent="0.2">
      <c r="A440" s="33">
        <v>44530</v>
      </c>
      <c r="B440" s="36">
        <v>14320</v>
      </c>
      <c r="C440" s="7">
        <v>14325</v>
      </c>
      <c r="D440" s="7">
        <v>14345</v>
      </c>
      <c r="E440" s="7">
        <v>14290</v>
      </c>
      <c r="F440" s="7">
        <v>14300</v>
      </c>
      <c r="G440" s="34">
        <v>173</v>
      </c>
      <c r="H440" s="35">
        <v>0</v>
      </c>
      <c r="I440" s="38">
        <f t="shared" si="6"/>
        <v>14322.5</v>
      </c>
    </row>
    <row r="441" spans="1:9" x14ac:dyDescent="0.2">
      <c r="A441" s="33">
        <v>44529</v>
      </c>
      <c r="B441" s="36">
        <v>14320</v>
      </c>
      <c r="C441" s="7">
        <v>14325</v>
      </c>
      <c r="D441" s="7">
        <v>14360</v>
      </c>
      <c r="E441" s="7">
        <v>14300</v>
      </c>
      <c r="F441" s="7">
        <v>14350</v>
      </c>
      <c r="G441" s="34">
        <v>90</v>
      </c>
      <c r="H441" s="35">
        <v>20</v>
      </c>
      <c r="I441" s="38">
        <f t="shared" si="6"/>
        <v>14322.5</v>
      </c>
    </row>
    <row r="442" spans="1:9" x14ac:dyDescent="0.2">
      <c r="A442" s="33">
        <v>44526</v>
      </c>
      <c r="B442" s="36">
        <v>14300</v>
      </c>
      <c r="C442" s="7">
        <v>14305</v>
      </c>
      <c r="D442" s="7">
        <v>14340</v>
      </c>
      <c r="E442" s="7">
        <v>14270</v>
      </c>
      <c r="F442" s="7">
        <v>14270</v>
      </c>
      <c r="G442" s="34">
        <v>104</v>
      </c>
      <c r="H442" s="35">
        <v>35</v>
      </c>
      <c r="I442" s="38">
        <f t="shared" si="6"/>
        <v>14302.5</v>
      </c>
    </row>
    <row r="443" spans="1:9" x14ac:dyDescent="0.2">
      <c r="A443" s="33">
        <v>44525</v>
      </c>
      <c r="B443" s="36">
        <v>14265</v>
      </c>
      <c r="C443" s="7">
        <v>14270</v>
      </c>
      <c r="D443" s="7">
        <v>14285</v>
      </c>
      <c r="E443" s="7">
        <v>14255</v>
      </c>
      <c r="F443" s="7">
        <v>14255</v>
      </c>
      <c r="G443" s="34">
        <v>148</v>
      </c>
      <c r="H443" s="35">
        <v>10</v>
      </c>
      <c r="I443" s="38">
        <f t="shared" si="6"/>
        <v>14267.5</v>
      </c>
    </row>
    <row r="444" spans="1:9" x14ac:dyDescent="0.2">
      <c r="A444" s="33">
        <v>44524</v>
      </c>
      <c r="B444" s="36">
        <v>14255</v>
      </c>
      <c r="C444" s="7">
        <v>14260</v>
      </c>
      <c r="D444" s="7">
        <v>14276</v>
      </c>
      <c r="E444" s="7">
        <v>14255</v>
      </c>
      <c r="F444" s="7">
        <v>14265</v>
      </c>
      <c r="G444" s="34">
        <v>96</v>
      </c>
      <c r="H444" s="35">
        <v>0</v>
      </c>
      <c r="I444" s="38">
        <f t="shared" si="6"/>
        <v>14257.5</v>
      </c>
    </row>
    <row r="445" spans="1:9" x14ac:dyDescent="0.2">
      <c r="A445" s="33">
        <v>44523</v>
      </c>
      <c r="B445" s="36">
        <v>14255</v>
      </c>
      <c r="C445" s="7">
        <v>14260</v>
      </c>
      <c r="D445" s="7">
        <v>14275</v>
      </c>
      <c r="E445" s="7">
        <v>14250</v>
      </c>
      <c r="F445" s="7">
        <v>14250</v>
      </c>
      <c r="G445" s="34">
        <v>159</v>
      </c>
      <c r="H445" s="35">
        <v>10</v>
      </c>
      <c r="I445" s="38">
        <f t="shared" si="6"/>
        <v>14257.5</v>
      </c>
    </row>
    <row r="446" spans="1:9" x14ac:dyDescent="0.2">
      <c r="A446" s="33">
        <v>44522</v>
      </c>
      <c r="B446" s="36">
        <v>14245</v>
      </c>
      <c r="C446" s="7">
        <v>14250</v>
      </c>
      <c r="D446" s="7">
        <v>14260</v>
      </c>
      <c r="E446" s="7">
        <v>14240</v>
      </c>
      <c r="F446" s="7">
        <v>14240</v>
      </c>
      <c r="G446" s="34">
        <v>85</v>
      </c>
      <c r="H446" s="35">
        <v>10</v>
      </c>
      <c r="I446" s="38">
        <f t="shared" si="6"/>
        <v>14247.5</v>
      </c>
    </row>
    <row r="447" spans="1:9" x14ac:dyDescent="0.2">
      <c r="A447" s="33">
        <v>44519</v>
      </c>
      <c r="B447" s="36">
        <v>14235</v>
      </c>
      <c r="C447" s="7">
        <v>14240</v>
      </c>
      <c r="D447" s="7">
        <v>14240</v>
      </c>
      <c r="E447" s="7">
        <v>14200</v>
      </c>
      <c r="F447" s="7">
        <v>14200</v>
      </c>
      <c r="G447" s="34">
        <v>68</v>
      </c>
      <c r="H447" s="35">
        <v>10</v>
      </c>
      <c r="I447" s="38">
        <f t="shared" si="6"/>
        <v>14237.5</v>
      </c>
    </row>
    <row r="448" spans="1:9" x14ac:dyDescent="0.2">
      <c r="A448" s="33">
        <v>44518</v>
      </c>
      <c r="B448" s="36">
        <v>14225</v>
      </c>
      <c r="C448" s="7">
        <v>14229</v>
      </c>
      <c r="D448" s="7">
        <v>14235</v>
      </c>
      <c r="E448" s="7">
        <v>14220</v>
      </c>
      <c r="F448" s="7">
        <v>14230</v>
      </c>
      <c r="G448" s="34">
        <v>135</v>
      </c>
      <c r="H448" s="35">
        <v>-15</v>
      </c>
      <c r="I448" s="38">
        <f t="shared" si="6"/>
        <v>14227</v>
      </c>
    </row>
    <row r="449" spans="1:9" x14ac:dyDescent="0.2">
      <c r="A449" s="33">
        <v>44517</v>
      </c>
      <c r="B449" s="36">
        <v>14240</v>
      </c>
      <c r="C449" s="7">
        <v>14245</v>
      </c>
      <c r="D449" s="7">
        <v>14270</v>
      </c>
      <c r="E449" s="7">
        <v>14230</v>
      </c>
      <c r="F449" s="7">
        <v>14230</v>
      </c>
      <c r="G449" s="34">
        <v>157</v>
      </c>
      <c r="H449" s="35">
        <v>20</v>
      </c>
      <c r="I449" s="38">
        <f t="shared" si="6"/>
        <v>14242.5</v>
      </c>
    </row>
    <row r="450" spans="1:9" x14ac:dyDescent="0.2">
      <c r="A450" s="33">
        <v>44516</v>
      </c>
      <c r="B450" s="36">
        <v>14220</v>
      </c>
      <c r="C450" s="7">
        <v>14223</v>
      </c>
      <c r="D450" s="7">
        <v>14222</v>
      </c>
      <c r="E450" s="7">
        <v>14190</v>
      </c>
      <c r="F450" s="7">
        <v>14190</v>
      </c>
      <c r="G450" s="34">
        <v>124</v>
      </c>
      <c r="H450" s="35">
        <v>10</v>
      </c>
      <c r="I450" s="38">
        <f t="shared" si="6"/>
        <v>14221.5</v>
      </c>
    </row>
    <row r="451" spans="1:9" x14ac:dyDescent="0.2">
      <c r="A451" s="33">
        <v>44515</v>
      </c>
      <c r="B451" s="36">
        <v>14210</v>
      </c>
      <c r="C451" s="7">
        <v>14215</v>
      </c>
      <c r="D451" s="7">
        <v>14210</v>
      </c>
      <c r="E451" s="7">
        <v>14180</v>
      </c>
      <c r="F451" s="7">
        <v>14200</v>
      </c>
      <c r="G451" s="34">
        <v>97</v>
      </c>
      <c r="H451" s="35">
        <v>-23</v>
      </c>
      <c r="I451" s="38">
        <f t="shared" si="6"/>
        <v>14212.5</v>
      </c>
    </row>
    <row r="452" spans="1:9" x14ac:dyDescent="0.2">
      <c r="A452" s="33">
        <v>44512</v>
      </c>
      <c r="B452" s="36">
        <v>14233</v>
      </c>
      <c r="C452" s="7">
        <v>14238</v>
      </c>
      <c r="D452" s="7">
        <v>14263</v>
      </c>
      <c r="E452" s="7">
        <v>14230</v>
      </c>
      <c r="F452" s="7">
        <v>14255</v>
      </c>
      <c r="G452" s="34">
        <v>134</v>
      </c>
      <c r="H452" s="35">
        <v>-27</v>
      </c>
      <c r="I452" s="38">
        <f t="shared" si="6"/>
        <v>14235.5</v>
      </c>
    </row>
    <row r="453" spans="1:9" x14ac:dyDescent="0.2">
      <c r="A453" s="33">
        <v>44511</v>
      </c>
      <c r="B453" s="36">
        <v>14260</v>
      </c>
      <c r="C453" s="7">
        <v>14265</v>
      </c>
      <c r="D453" s="7">
        <v>14305</v>
      </c>
      <c r="E453" s="7">
        <v>14260</v>
      </c>
      <c r="F453" s="7">
        <v>14285</v>
      </c>
      <c r="G453" s="34">
        <v>122</v>
      </c>
      <c r="H453" s="35">
        <v>10</v>
      </c>
      <c r="I453" s="38">
        <f t="shared" si="6"/>
        <v>14262.5</v>
      </c>
    </row>
    <row r="454" spans="1:9" x14ac:dyDescent="0.2">
      <c r="A454" s="33">
        <v>44510</v>
      </c>
      <c r="B454" s="36">
        <v>14250</v>
      </c>
      <c r="C454" s="7">
        <v>14255</v>
      </c>
      <c r="D454" s="7">
        <v>14260</v>
      </c>
      <c r="E454" s="7">
        <v>14236</v>
      </c>
      <c r="F454" s="7">
        <v>14240</v>
      </c>
      <c r="G454" s="34">
        <v>115</v>
      </c>
      <c r="H454" s="35">
        <v>10</v>
      </c>
      <c r="I454" s="38">
        <f t="shared" si="6"/>
        <v>14252.5</v>
      </c>
    </row>
    <row r="455" spans="1:9" x14ac:dyDescent="0.2">
      <c r="A455" s="33">
        <v>44509</v>
      </c>
      <c r="B455" s="36">
        <v>14240</v>
      </c>
      <c r="C455" s="7">
        <v>14245</v>
      </c>
      <c r="D455" s="7">
        <v>14240</v>
      </c>
      <c r="E455" s="7">
        <v>14215</v>
      </c>
      <c r="F455" s="7">
        <v>14220</v>
      </c>
      <c r="G455" s="34">
        <v>139</v>
      </c>
      <c r="H455" s="35">
        <v>-15</v>
      </c>
      <c r="I455" s="38">
        <f t="shared" si="6"/>
        <v>14242.5</v>
      </c>
    </row>
    <row r="456" spans="1:9" x14ac:dyDescent="0.2">
      <c r="A456" s="33">
        <v>44508</v>
      </c>
      <c r="B456" s="36">
        <v>14255</v>
      </c>
      <c r="C456" s="7">
        <v>14260</v>
      </c>
      <c r="D456" s="7">
        <v>14315</v>
      </c>
      <c r="E456" s="7">
        <v>14250</v>
      </c>
      <c r="F456" s="7">
        <v>14300</v>
      </c>
      <c r="G456" s="34">
        <v>124</v>
      </c>
      <c r="H456" s="35">
        <v>-70</v>
      </c>
      <c r="I456" s="38">
        <f t="shared" si="6"/>
        <v>14257.5</v>
      </c>
    </row>
    <row r="457" spans="1:9" x14ac:dyDescent="0.2">
      <c r="A457" s="33">
        <v>44505</v>
      </c>
      <c r="B457" s="36">
        <v>14325</v>
      </c>
      <c r="C457" s="7">
        <v>14330</v>
      </c>
      <c r="D457" s="7">
        <v>14385</v>
      </c>
      <c r="E457" s="7">
        <v>14320</v>
      </c>
      <c r="F457" s="7">
        <v>14340</v>
      </c>
      <c r="G457" s="34">
        <v>132</v>
      </c>
      <c r="H457" s="35">
        <v>-10</v>
      </c>
      <c r="I457" s="38">
        <f t="shared" si="6"/>
        <v>14327.5</v>
      </c>
    </row>
    <row r="458" spans="1:9" x14ac:dyDescent="0.2">
      <c r="A458" s="33">
        <v>44504</v>
      </c>
      <c r="B458" s="36">
        <v>14335</v>
      </c>
      <c r="C458" s="7">
        <v>14340</v>
      </c>
      <c r="D458" s="7">
        <v>14345</v>
      </c>
      <c r="E458" s="7">
        <v>14290</v>
      </c>
      <c r="F458" s="7">
        <v>14300</v>
      </c>
      <c r="G458" s="34">
        <v>117</v>
      </c>
      <c r="H458" s="35">
        <v>40</v>
      </c>
      <c r="I458" s="38">
        <f t="shared" si="6"/>
        <v>14337.5</v>
      </c>
    </row>
    <row r="459" spans="1:9" x14ac:dyDescent="0.2">
      <c r="A459" s="33">
        <v>44503</v>
      </c>
      <c r="B459" s="36">
        <v>14295</v>
      </c>
      <c r="C459" s="7">
        <v>14300</v>
      </c>
      <c r="D459" s="7">
        <v>14310</v>
      </c>
      <c r="E459" s="7">
        <v>14250</v>
      </c>
      <c r="F459" s="7">
        <v>14260</v>
      </c>
      <c r="G459" s="34">
        <v>117</v>
      </c>
      <c r="H459" s="35">
        <v>45</v>
      </c>
      <c r="I459" s="38">
        <f t="shared" si="6"/>
        <v>14297.5</v>
      </c>
    </row>
    <row r="460" spans="1:9" x14ac:dyDescent="0.2">
      <c r="A460" s="33">
        <v>44502</v>
      </c>
      <c r="B460" s="36">
        <v>14250</v>
      </c>
      <c r="C460" s="7">
        <v>14255</v>
      </c>
      <c r="D460" s="7">
        <v>14262</v>
      </c>
      <c r="E460" s="7">
        <v>14235</v>
      </c>
      <c r="F460" s="7">
        <v>14240</v>
      </c>
      <c r="G460" s="34">
        <v>124</v>
      </c>
      <c r="H460" s="35">
        <v>5</v>
      </c>
      <c r="I460" s="38">
        <f t="shared" si="6"/>
        <v>14252.5</v>
      </c>
    </row>
    <row r="461" spans="1:9" x14ac:dyDescent="0.2">
      <c r="A461" s="33">
        <v>44501</v>
      </c>
      <c r="B461" s="36">
        <v>14245</v>
      </c>
      <c r="C461" s="7">
        <v>14250</v>
      </c>
      <c r="D461" s="7">
        <v>14255</v>
      </c>
      <c r="E461" s="7">
        <v>14170</v>
      </c>
      <c r="F461" s="7">
        <v>14170</v>
      </c>
      <c r="G461" s="34">
        <v>133</v>
      </c>
      <c r="H461" s="35">
        <v>80</v>
      </c>
      <c r="I461" s="38">
        <f t="shared" si="6"/>
        <v>14247.5</v>
      </c>
    </row>
    <row r="462" spans="1:9" x14ac:dyDescent="0.2">
      <c r="A462" s="33">
        <v>44498</v>
      </c>
      <c r="B462" s="36">
        <v>14165</v>
      </c>
      <c r="C462" s="7">
        <v>14170</v>
      </c>
      <c r="D462" s="7">
        <v>14170</v>
      </c>
      <c r="E462" s="7">
        <v>14150</v>
      </c>
      <c r="F462" s="7">
        <v>14150</v>
      </c>
      <c r="G462" s="34">
        <v>132</v>
      </c>
      <c r="H462" s="35">
        <v>-5</v>
      </c>
      <c r="I462" s="38">
        <f t="shared" si="6"/>
        <v>14167.5</v>
      </c>
    </row>
    <row r="463" spans="1:9" x14ac:dyDescent="0.2">
      <c r="A463" s="33">
        <v>44497</v>
      </c>
      <c r="B463" s="36">
        <v>14170</v>
      </c>
      <c r="C463" s="7">
        <v>14175</v>
      </c>
      <c r="D463" s="7">
        <v>14205</v>
      </c>
      <c r="E463" s="7">
        <v>14170</v>
      </c>
      <c r="F463" s="7">
        <v>14180</v>
      </c>
      <c r="G463" s="34">
        <v>134</v>
      </c>
      <c r="H463" s="35">
        <v>0</v>
      </c>
      <c r="I463" s="38">
        <f t="shared" si="6"/>
        <v>14172.5</v>
      </c>
    </row>
    <row r="464" spans="1:9" x14ac:dyDescent="0.2">
      <c r="A464" s="33">
        <v>44496</v>
      </c>
      <c r="B464" s="36">
        <v>14170</v>
      </c>
      <c r="C464" s="7">
        <v>14175</v>
      </c>
      <c r="D464" s="7">
        <v>14192</v>
      </c>
      <c r="E464" s="7">
        <v>14139</v>
      </c>
      <c r="F464" s="7">
        <v>14150</v>
      </c>
      <c r="G464" s="34">
        <v>131</v>
      </c>
      <c r="H464" s="35">
        <v>20</v>
      </c>
      <c r="I464" s="38">
        <f t="shared" si="6"/>
        <v>14172.5</v>
      </c>
    </row>
    <row r="465" spans="1:9" x14ac:dyDescent="0.2">
      <c r="A465" s="33">
        <v>44495</v>
      </c>
      <c r="B465" s="36">
        <v>14150</v>
      </c>
      <c r="C465" s="7">
        <v>14155</v>
      </c>
      <c r="D465" s="7">
        <v>14170</v>
      </c>
      <c r="E465" s="7">
        <v>14130</v>
      </c>
      <c r="F465" s="7">
        <v>14140</v>
      </c>
      <c r="G465" s="34">
        <v>127</v>
      </c>
      <c r="H465" s="35">
        <v>-5</v>
      </c>
      <c r="I465" s="38">
        <f t="shared" si="6"/>
        <v>14152.5</v>
      </c>
    </row>
    <row r="466" spans="1:9" x14ac:dyDescent="0.2">
      <c r="A466" s="33">
        <v>44494</v>
      </c>
      <c r="B466" s="36">
        <v>14155</v>
      </c>
      <c r="C466" s="7">
        <v>14160</v>
      </c>
      <c r="D466" s="7">
        <v>14185</v>
      </c>
      <c r="E466" s="7">
        <v>14155</v>
      </c>
      <c r="F466" s="7">
        <v>14160</v>
      </c>
      <c r="G466" s="34">
        <v>137</v>
      </c>
      <c r="H466" s="35">
        <v>35</v>
      </c>
      <c r="I466" s="38">
        <f t="shared" si="6"/>
        <v>14157.5</v>
      </c>
    </row>
    <row r="467" spans="1:9" x14ac:dyDescent="0.2">
      <c r="A467" s="33">
        <v>44491</v>
      </c>
      <c r="B467" s="36">
        <v>14120</v>
      </c>
      <c r="C467" s="7">
        <v>14125</v>
      </c>
      <c r="D467" s="7">
        <v>14165</v>
      </c>
      <c r="E467" s="7">
        <v>14120</v>
      </c>
      <c r="F467" s="7">
        <v>14120</v>
      </c>
      <c r="G467" s="34">
        <v>135</v>
      </c>
      <c r="H467" s="35">
        <v>0</v>
      </c>
      <c r="I467" s="38">
        <f t="shared" si="6"/>
        <v>14122.5</v>
      </c>
    </row>
    <row r="468" spans="1:9" x14ac:dyDescent="0.2">
      <c r="A468" s="33">
        <v>44490</v>
      </c>
      <c r="B468" s="36">
        <v>14120</v>
      </c>
      <c r="C468" s="7">
        <v>14125</v>
      </c>
      <c r="D468" s="7">
        <v>14150</v>
      </c>
      <c r="E468" s="7">
        <v>14080</v>
      </c>
      <c r="F468" s="7">
        <v>14080</v>
      </c>
      <c r="G468" s="34">
        <v>126</v>
      </c>
      <c r="H468" s="35">
        <v>47</v>
      </c>
      <c r="I468" s="38">
        <f t="shared" si="6"/>
        <v>14122.5</v>
      </c>
    </row>
    <row r="469" spans="1:9" x14ac:dyDescent="0.2">
      <c r="A469" s="33">
        <v>44489</v>
      </c>
      <c r="B469" s="36">
        <v>14073</v>
      </c>
      <c r="C469" s="7">
        <v>14078</v>
      </c>
      <c r="D469" s="7"/>
      <c r="E469" s="7"/>
      <c r="F469" s="7"/>
      <c r="G469" s="34"/>
      <c r="H469" s="35">
        <v>0</v>
      </c>
      <c r="I469" s="38">
        <f t="shared" si="6"/>
        <v>14075.5</v>
      </c>
    </row>
    <row r="470" spans="1:9" x14ac:dyDescent="0.2">
      <c r="A470" s="33">
        <v>44488</v>
      </c>
      <c r="B470" s="36">
        <v>14073</v>
      </c>
      <c r="C470" s="7">
        <v>14078</v>
      </c>
      <c r="D470" s="7">
        <v>14090</v>
      </c>
      <c r="E470" s="7">
        <v>14050</v>
      </c>
      <c r="F470" s="7">
        <v>14050</v>
      </c>
      <c r="G470" s="34">
        <v>152</v>
      </c>
      <c r="H470" s="35">
        <v>-32</v>
      </c>
      <c r="I470" s="38">
        <f t="shared" si="6"/>
        <v>14075.5</v>
      </c>
    </row>
    <row r="471" spans="1:9" x14ac:dyDescent="0.2">
      <c r="A471" s="33">
        <v>44487</v>
      </c>
      <c r="B471" s="36">
        <v>14105</v>
      </c>
      <c r="C471" s="7">
        <v>14115</v>
      </c>
      <c r="D471" s="7">
        <v>14110</v>
      </c>
      <c r="E471" s="7">
        <v>14020</v>
      </c>
      <c r="F471" s="7">
        <v>14030</v>
      </c>
      <c r="G471" s="34">
        <v>96</v>
      </c>
      <c r="H471" s="35">
        <v>35</v>
      </c>
      <c r="I471" s="38">
        <f t="shared" si="6"/>
        <v>14110</v>
      </c>
    </row>
    <row r="472" spans="1:9" x14ac:dyDescent="0.2">
      <c r="A472" s="33">
        <v>44484</v>
      </c>
      <c r="B472" s="36">
        <v>14070</v>
      </c>
      <c r="C472" s="7">
        <v>14078</v>
      </c>
      <c r="D472" s="7">
        <v>14095</v>
      </c>
      <c r="E472" s="7">
        <v>14050</v>
      </c>
      <c r="F472" s="7">
        <v>14070</v>
      </c>
      <c r="G472" s="34">
        <v>181</v>
      </c>
      <c r="H472" s="35">
        <v>-45</v>
      </c>
      <c r="I472" s="38">
        <f t="shared" si="6"/>
        <v>14074</v>
      </c>
    </row>
    <row r="473" spans="1:9" x14ac:dyDescent="0.2">
      <c r="A473" s="33">
        <v>44483</v>
      </c>
      <c r="B473" s="36">
        <v>14115</v>
      </c>
      <c r="C473" s="7">
        <v>14120</v>
      </c>
      <c r="D473" s="7">
        <v>14190</v>
      </c>
      <c r="E473" s="7">
        <v>14085</v>
      </c>
      <c r="F473" s="7">
        <v>14180</v>
      </c>
      <c r="G473" s="34">
        <v>239</v>
      </c>
      <c r="H473" s="35">
        <v>-100</v>
      </c>
      <c r="I473" s="38">
        <f t="shared" si="6"/>
        <v>14117.5</v>
      </c>
    </row>
    <row r="474" spans="1:9" x14ac:dyDescent="0.2">
      <c r="A474" s="33">
        <v>44482</v>
      </c>
      <c r="B474" s="36">
        <v>14215</v>
      </c>
      <c r="C474" s="7">
        <v>14220</v>
      </c>
      <c r="D474" s="7">
        <v>14223</v>
      </c>
      <c r="E474" s="7">
        <v>14205</v>
      </c>
      <c r="F474" s="7">
        <v>14205</v>
      </c>
      <c r="G474" s="34">
        <v>150</v>
      </c>
      <c r="H474" s="35">
        <v>0</v>
      </c>
      <c r="I474" s="38">
        <f t="shared" si="6"/>
        <v>14217.5</v>
      </c>
    </row>
    <row r="475" spans="1:9" x14ac:dyDescent="0.2">
      <c r="A475" s="33">
        <v>44481</v>
      </c>
      <c r="B475" s="36">
        <v>14215</v>
      </c>
      <c r="C475" s="7">
        <v>14220</v>
      </c>
      <c r="D475" s="7">
        <v>14220</v>
      </c>
      <c r="E475" s="7">
        <v>14198</v>
      </c>
      <c r="F475" s="7">
        <v>14200</v>
      </c>
      <c r="G475" s="34">
        <v>140</v>
      </c>
      <c r="H475" s="35">
        <v>10</v>
      </c>
      <c r="I475" s="38">
        <f t="shared" si="6"/>
        <v>14217.5</v>
      </c>
    </row>
    <row r="476" spans="1:9" x14ac:dyDescent="0.2">
      <c r="A476" s="33">
        <v>44480</v>
      </c>
      <c r="B476" s="36">
        <v>14205</v>
      </c>
      <c r="C476" s="7">
        <v>14210</v>
      </c>
      <c r="D476" s="7">
        <v>14216</v>
      </c>
      <c r="E476" s="7">
        <v>14200</v>
      </c>
      <c r="F476" s="7">
        <v>14200</v>
      </c>
      <c r="G476" s="34">
        <v>138</v>
      </c>
      <c r="H476" s="35">
        <v>-15</v>
      </c>
      <c r="I476" s="38">
        <f t="shared" si="6"/>
        <v>14207.5</v>
      </c>
    </row>
    <row r="477" spans="1:9" x14ac:dyDescent="0.2">
      <c r="A477" s="33">
        <v>44477</v>
      </c>
      <c r="B477" s="36">
        <v>14220</v>
      </c>
      <c r="C477" s="7">
        <v>14225</v>
      </c>
      <c r="D477" s="7">
        <v>14235</v>
      </c>
      <c r="E477" s="7">
        <v>14190</v>
      </c>
      <c r="F477" s="7">
        <v>14200</v>
      </c>
      <c r="G477" s="34">
        <v>124</v>
      </c>
      <c r="H477" s="35">
        <v>5</v>
      </c>
      <c r="I477" s="38">
        <f t="shared" si="6"/>
        <v>14222.5</v>
      </c>
    </row>
    <row r="478" spans="1:9" x14ac:dyDescent="0.2">
      <c r="A478" s="33">
        <v>44476</v>
      </c>
      <c r="B478" s="36">
        <v>14215</v>
      </c>
      <c r="C478" s="7">
        <v>14218</v>
      </c>
      <c r="D478" s="7">
        <v>14250</v>
      </c>
      <c r="E478" s="7">
        <v>14209</v>
      </c>
      <c r="F478" s="7">
        <v>14235</v>
      </c>
      <c r="G478" s="34">
        <v>134</v>
      </c>
      <c r="H478" s="35">
        <v>-35</v>
      </c>
      <c r="I478" s="38">
        <f t="shared" si="6"/>
        <v>14216.5</v>
      </c>
    </row>
    <row r="479" spans="1:9" x14ac:dyDescent="0.2">
      <c r="A479" s="33">
        <v>44475</v>
      </c>
      <c r="B479" s="36">
        <v>14250</v>
      </c>
      <c r="C479" s="7">
        <v>14255</v>
      </c>
      <c r="D479" s="7">
        <v>14255</v>
      </c>
      <c r="E479" s="7">
        <v>14220</v>
      </c>
      <c r="F479" s="7">
        <v>14225</v>
      </c>
      <c r="G479" s="34">
        <v>113</v>
      </c>
      <c r="H479" s="35">
        <v>2</v>
      </c>
      <c r="I479" s="38">
        <f t="shared" si="6"/>
        <v>14252.5</v>
      </c>
    </row>
    <row r="480" spans="1:9" x14ac:dyDescent="0.2">
      <c r="A480" s="33">
        <v>44474</v>
      </c>
      <c r="B480" s="36">
        <v>14248</v>
      </c>
      <c r="C480" s="7">
        <v>14258</v>
      </c>
      <c r="D480" s="7">
        <v>14270</v>
      </c>
      <c r="E480" s="7">
        <v>14242</v>
      </c>
      <c r="F480" s="7">
        <v>14260</v>
      </c>
      <c r="G480" s="34">
        <v>212</v>
      </c>
      <c r="H480" s="35">
        <v>-17</v>
      </c>
      <c r="I480" s="38">
        <f t="shared" ref="I480:I543" si="7">+(B480+C480)*0.5</f>
        <v>14253</v>
      </c>
    </row>
    <row r="481" spans="1:9" x14ac:dyDescent="0.2">
      <c r="A481" s="33">
        <v>44473</v>
      </c>
      <c r="B481" s="36">
        <v>14265</v>
      </c>
      <c r="C481" s="7">
        <v>14268</v>
      </c>
      <c r="D481" s="7">
        <v>14305</v>
      </c>
      <c r="E481" s="7">
        <v>14253</v>
      </c>
      <c r="F481" s="7">
        <v>14305</v>
      </c>
      <c r="G481" s="34">
        <v>126</v>
      </c>
      <c r="H481" s="35">
        <v>-40</v>
      </c>
      <c r="I481" s="38">
        <f t="shared" si="7"/>
        <v>14266.5</v>
      </c>
    </row>
    <row r="482" spans="1:9" x14ac:dyDescent="0.2">
      <c r="A482" s="33">
        <v>44470</v>
      </c>
      <c r="B482" s="36">
        <v>14305</v>
      </c>
      <c r="C482" s="7">
        <v>14310</v>
      </c>
      <c r="D482" s="7">
        <v>14320</v>
      </c>
      <c r="E482" s="7">
        <v>14300</v>
      </c>
      <c r="F482" s="7">
        <v>14300</v>
      </c>
      <c r="G482" s="34">
        <v>135</v>
      </c>
      <c r="H482" s="35">
        <v>-5</v>
      </c>
      <c r="I482" s="38">
        <f t="shared" si="7"/>
        <v>14307.5</v>
      </c>
    </row>
    <row r="483" spans="1:9" x14ac:dyDescent="0.2">
      <c r="A483" s="33">
        <v>44469</v>
      </c>
      <c r="B483" s="36">
        <v>14310</v>
      </c>
      <c r="C483" s="7">
        <v>14315</v>
      </c>
      <c r="D483" s="7">
        <v>14330</v>
      </c>
      <c r="E483" s="7">
        <v>14300</v>
      </c>
      <c r="F483" s="7">
        <v>14310</v>
      </c>
      <c r="G483" s="34">
        <v>132</v>
      </c>
      <c r="H483" s="35">
        <v>20</v>
      </c>
      <c r="I483" s="38">
        <f t="shared" si="7"/>
        <v>14312.5</v>
      </c>
    </row>
    <row r="484" spans="1:9" x14ac:dyDescent="0.2">
      <c r="A484" s="33">
        <v>44468</v>
      </c>
      <c r="B484" s="36">
        <v>14290</v>
      </c>
      <c r="C484" s="7">
        <v>14295</v>
      </c>
      <c r="D484" s="7">
        <v>14320</v>
      </c>
      <c r="E484" s="7">
        <v>14290</v>
      </c>
      <c r="F484" s="7">
        <v>14290</v>
      </c>
      <c r="G484" s="34">
        <v>121</v>
      </c>
      <c r="H484" s="35">
        <v>20</v>
      </c>
      <c r="I484" s="38">
        <f t="shared" si="7"/>
        <v>14292.5</v>
      </c>
    </row>
    <row r="485" spans="1:9" x14ac:dyDescent="0.2">
      <c r="A485" s="33">
        <v>44467</v>
      </c>
      <c r="B485" s="36">
        <v>14270</v>
      </c>
      <c r="C485" s="7">
        <v>14275</v>
      </c>
      <c r="D485" s="7">
        <v>14280</v>
      </c>
      <c r="E485" s="7">
        <v>14250</v>
      </c>
      <c r="F485" s="7">
        <v>14250</v>
      </c>
      <c r="G485" s="34">
        <v>158</v>
      </c>
      <c r="H485" s="35">
        <v>20</v>
      </c>
      <c r="I485" s="38">
        <f t="shared" si="7"/>
        <v>14272.5</v>
      </c>
    </row>
    <row r="486" spans="1:9" x14ac:dyDescent="0.2">
      <c r="A486" s="33">
        <v>44466</v>
      </c>
      <c r="B486" s="36">
        <v>14250</v>
      </c>
      <c r="C486" s="7">
        <v>14255</v>
      </c>
      <c r="D486" s="7">
        <v>14260</v>
      </c>
      <c r="E486" s="7">
        <v>14240</v>
      </c>
      <c r="F486" s="7">
        <v>14240</v>
      </c>
      <c r="G486" s="34">
        <v>123</v>
      </c>
      <c r="H486" s="35">
        <v>-5</v>
      </c>
      <c r="I486" s="38">
        <f t="shared" si="7"/>
        <v>14252.5</v>
      </c>
    </row>
    <row r="487" spans="1:9" x14ac:dyDescent="0.2">
      <c r="A487" s="33">
        <v>44463</v>
      </c>
      <c r="B487" s="36">
        <v>14255</v>
      </c>
      <c r="C487" s="7">
        <v>14260</v>
      </c>
      <c r="D487" s="7">
        <v>14263</v>
      </c>
      <c r="E487" s="7">
        <v>14220</v>
      </c>
      <c r="F487" s="7">
        <v>14220</v>
      </c>
      <c r="G487" s="34">
        <v>129</v>
      </c>
      <c r="H487" s="35">
        <v>15</v>
      </c>
      <c r="I487" s="38">
        <f t="shared" si="7"/>
        <v>14257.5</v>
      </c>
    </row>
    <row r="488" spans="1:9" x14ac:dyDescent="0.2">
      <c r="A488" s="33">
        <v>44462</v>
      </c>
      <c r="B488" s="36">
        <v>14240</v>
      </c>
      <c r="C488" s="7">
        <v>14245</v>
      </c>
      <c r="D488" s="7">
        <v>14260</v>
      </c>
      <c r="E488" s="7">
        <v>14230</v>
      </c>
      <c r="F488" s="7">
        <v>14230</v>
      </c>
      <c r="G488" s="34">
        <v>182</v>
      </c>
      <c r="H488" s="35">
        <v>0</v>
      </c>
      <c r="I488" s="38">
        <f t="shared" si="7"/>
        <v>14242.5</v>
      </c>
    </row>
    <row r="489" spans="1:9" x14ac:dyDescent="0.2">
      <c r="A489" s="33">
        <v>44461</v>
      </c>
      <c r="B489" s="36">
        <v>14240</v>
      </c>
      <c r="C489" s="7">
        <v>14245</v>
      </c>
      <c r="D489" s="7">
        <v>14252</v>
      </c>
      <c r="E489" s="7">
        <v>14228</v>
      </c>
      <c r="F489" s="7">
        <v>14230</v>
      </c>
      <c r="G489" s="34">
        <v>128</v>
      </c>
      <c r="H489" s="35">
        <v>5</v>
      </c>
      <c r="I489" s="38">
        <f t="shared" si="7"/>
        <v>14242.5</v>
      </c>
    </row>
    <row r="490" spans="1:9" x14ac:dyDescent="0.2">
      <c r="A490" s="33">
        <v>44460</v>
      </c>
      <c r="B490" s="36">
        <v>14235</v>
      </c>
      <c r="C490" s="7">
        <v>14240</v>
      </c>
      <c r="D490" s="7">
        <v>14250</v>
      </c>
      <c r="E490" s="7">
        <v>14233</v>
      </c>
      <c r="F490" s="7">
        <v>14240</v>
      </c>
      <c r="G490" s="34">
        <v>137</v>
      </c>
      <c r="H490" s="35">
        <v>-5</v>
      </c>
      <c r="I490" s="38">
        <f t="shared" si="7"/>
        <v>14237.5</v>
      </c>
    </row>
    <row r="491" spans="1:9" x14ac:dyDescent="0.2">
      <c r="A491" s="33">
        <v>44459</v>
      </c>
      <c r="B491" s="36">
        <v>14240</v>
      </c>
      <c r="C491" s="7">
        <v>14245</v>
      </c>
      <c r="D491" s="7">
        <v>14275</v>
      </c>
      <c r="E491" s="7">
        <v>14235</v>
      </c>
      <c r="F491" s="7">
        <v>14240</v>
      </c>
      <c r="G491" s="34">
        <v>124</v>
      </c>
      <c r="H491" s="35">
        <v>15</v>
      </c>
      <c r="I491" s="38">
        <f t="shared" si="7"/>
        <v>14242.5</v>
      </c>
    </row>
    <row r="492" spans="1:9" x14ac:dyDescent="0.2">
      <c r="A492" s="33">
        <v>44456</v>
      </c>
      <c r="B492" s="36">
        <v>14225</v>
      </c>
      <c r="C492" s="7">
        <v>14230</v>
      </c>
      <c r="D492" s="7">
        <v>14265</v>
      </c>
      <c r="E492" s="7">
        <v>14185</v>
      </c>
      <c r="F492" s="7">
        <v>14250</v>
      </c>
      <c r="G492" s="34">
        <v>153</v>
      </c>
      <c r="H492" s="35">
        <v>-25</v>
      </c>
      <c r="I492" s="38">
        <f t="shared" si="7"/>
        <v>14227.5</v>
      </c>
    </row>
    <row r="493" spans="1:9" x14ac:dyDescent="0.2">
      <c r="A493" s="33">
        <v>44455</v>
      </c>
      <c r="B493" s="36">
        <v>14250</v>
      </c>
      <c r="C493" s="7">
        <v>14255</v>
      </c>
      <c r="D493" s="7">
        <v>14258</v>
      </c>
      <c r="E493" s="7">
        <v>14210</v>
      </c>
      <c r="F493" s="7">
        <v>14210</v>
      </c>
      <c r="G493" s="34">
        <v>119</v>
      </c>
      <c r="H493" s="35">
        <v>10</v>
      </c>
      <c r="I493" s="38">
        <f t="shared" si="7"/>
        <v>14252.5</v>
      </c>
    </row>
    <row r="494" spans="1:9" x14ac:dyDescent="0.2">
      <c r="A494" s="33">
        <v>44454</v>
      </c>
      <c r="B494" s="36">
        <v>14240</v>
      </c>
      <c r="C494" s="7">
        <v>14245</v>
      </c>
      <c r="D494" s="7">
        <v>14265</v>
      </c>
      <c r="E494" s="7">
        <v>14230</v>
      </c>
      <c r="F494" s="7">
        <v>14250</v>
      </c>
      <c r="G494" s="34">
        <v>196</v>
      </c>
      <c r="H494" s="35">
        <v>-5</v>
      </c>
      <c r="I494" s="38">
        <f t="shared" si="7"/>
        <v>14242.5</v>
      </c>
    </row>
    <row r="495" spans="1:9" x14ac:dyDescent="0.2">
      <c r="A495" s="33">
        <v>44453</v>
      </c>
      <c r="B495" s="36">
        <v>14245</v>
      </c>
      <c r="C495" s="7">
        <v>14250</v>
      </c>
      <c r="D495" s="7">
        <v>14265</v>
      </c>
      <c r="E495" s="7">
        <v>14240</v>
      </c>
      <c r="F495" s="7">
        <v>14250</v>
      </c>
      <c r="G495" s="34">
        <v>171</v>
      </c>
      <c r="H495" s="35">
        <v>-5</v>
      </c>
      <c r="I495" s="38">
        <f t="shared" si="7"/>
        <v>14247.5</v>
      </c>
    </row>
    <row r="496" spans="1:9" x14ac:dyDescent="0.2">
      <c r="A496" s="33">
        <v>44452</v>
      </c>
      <c r="B496" s="36">
        <v>14250</v>
      </c>
      <c r="C496" s="7">
        <v>14255</v>
      </c>
      <c r="D496" s="7">
        <v>14265</v>
      </c>
      <c r="E496" s="7">
        <v>14200</v>
      </c>
      <c r="F496" s="7">
        <v>14230</v>
      </c>
      <c r="G496" s="34">
        <v>164</v>
      </c>
      <c r="H496" s="35">
        <v>50</v>
      </c>
      <c r="I496" s="38">
        <f t="shared" si="7"/>
        <v>14252.5</v>
      </c>
    </row>
    <row r="497" spans="1:9" x14ac:dyDescent="0.2">
      <c r="A497" s="33">
        <v>44449</v>
      </c>
      <c r="B497" s="36">
        <v>14200</v>
      </c>
      <c r="C497" s="7">
        <v>14205</v>
      </c>
      <c r="D497" s="7">
        <v>14250</v>
      </c>
      <c r="E497" s="7">
        <v>14190</v>
      </c>
      <c r="F497" s="7">
        <v>14250</v>
      </c>
      <c r="G497" s="34">
        <v>204</v>
      </c>
      <c r="H497" s="35">
        <v>-50</v>
      </c>
      <c r="I497" s="38">
        <f t="shared" si="7"/>
        <v>14202.5</v>
      </c>
    </row>
    <row r="498" spans="1:9" x14ac:dyDescent="0.2">
      <c r="A498" s="33">
        <v>44448</v>
      </c>
      <c r="B498" s="36">
        <v>14250</v>
      </c>
      <c r="C498" s="7">
        <v>14255</v>
      </c>
      <c r="D498" s="7">
        <v>14277</v>
      </c>
      <c r="E498" s="7">
        <v>14250</v>
      </c>
      <c r="F498" s="7">
        <v>14270</v>
      </c>
      <c r="G498" s="34">
        <v>195</v>
      </c>
      <c r="H498" s="35">
        <v>0</v>
      </c>
      <c r="I498" s="38">
        <f t="shared" si="7"/>
        <v>14252.5</v>
      </c>
    </row>
    <row r="499" spans="1:9" x14ac:dyDescent="0.2">
      <c r="A499" s="33">
        <v>44447</v>
      </c>
      <c r="B499" s="36">
        <v>14250</v>
      </c>
      <c r="C499" s="7">
        <v>14255</v>
      </c>
      <c r="D499" s="7">
        <v>14275</v>
      </c>
      <c r="E499" s="7">
        <v>14220</v>
      </c>
      <c r="F499" s="7">
        <v>14230</v>
      </c>
      <c r="G499" s="34">
        <v>192</v>
      </c>
      <c r="H499" s="35">
        <v>40</v>
      </c>
      <c r="I499" s="38">
        <f t="shared" si="7"/>
        <v>14252.5</v>
      </c>
    </row>
    <row r="500" spans="1:9" x14ac:dyDescent="0.2">
      <c r="A500" s="33">
        <v>44446</v>
      </c>
      <c r="B500" s="36">
        <v>14210</v>
      </c>
      <c r="C500" s="7">
        <v>14215</v>
      </c>
      <c r="D500" s="7">
        <v>14215</v>
      </c>
      <c r="E500" s="7">
        <v>14170</v>
      </c>
      <c r="F500" s="7">
        <v>14215</v>
      </c>
      <c r="G500" s="34">
        <v>167</v>
      </c>
      <c r="H500" s="35">
        <v>-10</v>
      </c>
      <c r="I500" s="38">
        <f t="shared" si="7"/>
        <v>14212.5</v>
      </c>
    </row>
    <row r="501" spans="1:9" x14ac:dyDescent="0.2">
      <c r="A501" s="33">
        <v>44445</v>
      </c>
      <c r="B501" s="36">
        <v>14220</v>
      </c>
      <c r="C501" s="7">
        <v>14225</v>
      </c>
      <c r="D501" s="7">
        <v>14255</v>
      </c>
      <c r="E501" s="7">
        <v>14200</v>
      </c>
      <c r="F501" s="7">
        <v>14230</v>
      </c>
      <c r="G501" s="34">
        <v>162</v>
      </c>
      <c r="H501" s="35">
        <v>-40</v>
      </c>
      <c r="I501" s="38">
        <f t="shared" si="7"/>
        <v>14222.5</v>
      </c>
    </row>
    <row r="502" spans="1:9" x14ac:dyDescent="0.2">
      <c r="A502" s="33">
        <v>44442</v>
      </c>
      <c r="B502" s="36">
        <v>14260</v>
      </c>
      <c r="C502" s="7">
        <v>14265</v>
      </c>
      <c r="D502" s="7">
        <v>14265</v>
      </c>
      <c r="E502" s="7">
        <v>14250</v>
      </c>
      <c r="F502" s="7">
        <v>14265</v>
      </c>
      <c r="G502" s="34">
        <v>148</v>
      </c>
      <c r="H502" s="35">
        <v>-10</v>
      </c>
      <c r="I502" s="38">
        <f t="shared" si="7"/>
        <v>14262.5</v>
      </c>
    </row>
    <row r="503" spans="1:9" x14ac:dyDescent="0.2">
      <c r="A503" s="33">
        <v>44441</v>
      </c>
      <c r="B503" s="36">
        <v>14270</v>
      </c>
      <c r="C503" s="7">
        <v>14275</v>
      </c>
      <c r="D503" s="7">
        <v>14285</v>
      </c>
      <c r="E503" s="7">
        <v>14250</v>
      </c>
      <c r="F503" s="7">
        <v>14250</v>
      </c>
      <c r="G503" s="34">
        <v>175</v>
      </c>
      <c r="H503" s="35">
        <v>-10</v>
      </c>
      <c r="I503" s="38">
        <f t="shared" si="7"/>
        <v>14272.5</v>
      </c>
    </row>
    <row r="504" spans="1:9" x14ac:dyDescent="0.2">
      <c r="A504" s="33">
        <v>44440</v>
      </c>
      <c r="B504" s="36">
        <v>14280</v>
      </c>
      <c r="C504" s="7">
        <v>14285</v>
      </c>
      <c r="D504" s="7">
        <v>14300</v>
      </c>
      <c r="E504" s="7">
        <v>14250</v>
      </c>
      <c r="F504" s="7">
        <v>14250</v>
      </c>
      <c r="G504" s="34">
        <v>214</v>
      </c>
      <c r="H504" s="35">
        <v>15</v>
      </c>
      <c r="I504" s="38">
        <f t="shared" si="7"/>
        <v>14282.5</v>
      </c>
    </row>
    <row r="505" spans="1:9" x14ac:dyDescent="0.2">
      <c r="A505" s="33">
        <v>44439</v>
      </c>
      <c r="B505" s="36">
        <v>14265</v>
      </c>
      <c r="C505" s="7">
        <v>14270</v>
      </c>
      <c r="D505" s="7">
        <v>14341</v>
      </c>
      <c r="E505" s="7">
        <v>14255</v>
      </c>
      <c r="F505" s="7">
        <v>14330</v>
      </c>
      <c r="G505" s="34">
        <v>231</v>
      </c>
      <c r="H505" s="35">
        <v>-103</v>
      </c>
      <c r="I505" s="38">
        <f t="shared" si="7"/>
        <v>14267.5</v>
      </c>
    </row>
    <row r="506" spans="1:9" x14ac:dyDescent="0.2">
      <c r="A506" s="33">
        <v>44438</v>
      </c>
      <c r="B506" s="36">
        <v>14368</v>
      </c>
      <c r="C506" s="7">
        <v>14372</v>
      </c>
      <c r="D506" s="7">
        <v>14390</v>
      </c>
      <c r="E506" s="7">
        <v>14350</v>
      </c>
      <c r="F506" s="7">
        <v>14390</v>
      </c>
      <c r="G506" s="34">
        <v>194</v>
      </c>
      <c r="H506" s="35">
        <v>-47</v>
      </c>
      <c r="I506" s="38">
        <f t="shared" si="7"/>
        <v>14370</v>
      </c>
    </row>
    <row r="507" spans="1:9" x14ac:dyDescent="0.2">
      <c r="A507" s="33">
        <v>44435</v>
      </c>
      <c r="B507" s="36">
        <v>14415</v>
      </c>
      <c r="C507" s="7">
        <v>14420</v>
      </c>
      <c r="D507" s="7">
        <v>14435</v>
      </c>
      <c r="E507" s="7">
        <v>14405</v>
      </c>
      <c r="F507" s="7">
        <v>14420</v>
      </c>
      <c r="G507" s="34">
        <v>151</v>
      </c>
      <c r="H507" s="35">
        <v>0</v>
      </c>
      <c r="I507" s="38">
        <f t="shared" si="7"/>
        <v>14417.5</v>
      </c>
    </row>
    <row r="508" spans="1:9" x14ac:dyDescent="0.2">
      <c r="A508" s="33">
        <v>44434</v>
      </c>
      <c r="B508" s="36">
        <v>14415</v>
      </c>
      <c r="C508" s="7">
        <v>14420</v>
      </c>
      <c r="D508" s="7">
        <v>14427</v>
      </c>
      <c r="E508" s="7">
        <v>14400</v>
      </c>
      <c r="F508" s="7">
        <v>14410</v>
      </c>
      <c r="G508" s="34">
        <v>263</v>
      </c>
      <c r="H508" s="35">
        <v>20</v>
      </c>
      <c r="I508" s="38">
        <f t="shared" si="7"/>
        <v>14417.5</v>
      </c>
    </row>
    <row r="509" spans="1:9" x14ac:dyDescent="0.2">
      <c r="A509" s="33">
        <v>44433</v>
      </c>
      <c r="B509" s="36">
        <v>14395</v>
      </c>
      <c r="C509" s="7">
        <v>14400</v>
      </c>
      <c r="D509" s="7">
        <v>14412</v>
      </c>
      <c r="E509" s="7">
        <v>14380</v>
      </c>
      <c r="F509" s="7">
        <v>14380</v>
      </c>
      <c r="G509" s="34">
        <v>151</v>
      </c>
      <c r="H509" s="35">
        <v>5</v>
      </c>
      <c r="I509" s="38">
        <f t="shared" si="7"/>
        <v>14397.5</v>
      </c>
    </row>
    <row r="510" spans="1:9" x14ac:dyDescent="0.2">
      <c r="A510" s="33">
        <v>44432</v>
      </c>
      <c r="B510" s="36">
        <v>14390</v>
      </c>
      <c r="C510" s="7">
        <v>14395</v>
      </c>
      <c r="D510" s="7">
        <v>14395</v>
      </c>
      <c r="E510" s="7">
        <v>14370</v>
      </c>
      <c r="F510" s="7">
        <v>14370</v>
      </c>
      <c r="G510" s="34">
        <v>192</v>
      </c>
      <c r="H510" s="35">
        <v>-20</v>
      </c>
      <c r="I510" s="38">
        <f t="shared" si="7"/>
        <v>14392.5</v>
      </c>
    </row>
    <row r="511" spans="1:9" x14ac:dyDescent="0.2">
      <c r="A511" s="33">
        <v>44431</v>
      </c>
      <c r="B511" s="36">
        <v>14410</v>
      </c>
      <c r="C511" s="7">
        <v>14415</v>
      </c>
      <c r="D511" s="7">
        <v>14417</v>
      </c>
      <c r="E511" s="7">
        <v>14398</v>
      </c>
      <c r="F511" s="7">
        <v>14410</v>
      </c>
      <c r="G511" s="34">
        <v>182</v>
      </c>
      <c r="H511" s="35">
        <v>-40</v>
      </c>
      <c r="I511" s="38">
        <f t="shared" si="7"/>
        <v>14412.5</v>
      </c>
    </row>
    <row r="512" spans="1:9" x14ac:dyDescent="0.2">
      <c r="A512" s="33">
        <v>44428</v>
      </c>
      <c r="B512" s="36">
        <v>14450</v>
      </c>
      <c r="C512" s="7">
        <v>14455</v>
      </c>
      <c r="D512" s="7">
        <v>14470</v>
      </c>
      <c r="E512" s="7">
        <v>14400</v>
      </c>
      <c r="F512" s="7">
        <v>14450</v>
      </c>
      <c r="G512" s="34">
        <v>225</v>
      </c>
      <c r="H512" s="35">
        <v>50</v>
      </c>
      <c r="I512" s="38">
        <f t="shared" si="7"/>
        <v>14452.5</v>
      </c>
    </row>
    <row r="513" spans="1:9" x14ac:dyDescent="0.2">
      <c r="A513" s="33">
        <v>44427</v>
      </c>
      <c r="B513" s="36">
        <v>14400</v>
      </c>
      <c r="C513" s="7">
        <v>14405</v>
      </c>
      <c r="D513" s="7">
        <v>14420</v>
      </c>
      <c r="E513" s="7">
        <v>14380</v>
      </c>
      <c r="F513" s="7">
        <v>14380</v>
      </c>
      <c r="G513" s="34">
        <v>156</v>
      </c>
      <c r="H513" s="35">
        <v>30</v>
      </c>
      <c r="I513" s="38">
        <f t="shared" si="7"/>
        <v>14402.5</v>
      </c>
    </row>
    <row r="514" spans="1:9" x14ac:dyDescent="0.2">
      <c r="A514" s="33">
        <v>44426</v>
      </c>
      <c r="B514" s="36">
        <v>14370</v>
      </c>
      <c r="C514" s="7">
        <v>14375</v>
      </c>
      <c r="D514" s="7">
        <v>14395</v>
      </c>
      <c r="E514" s="7">
        <v>14370</v>
      </c>
      <c r="F514" s="7">
        <v>14370</v>
      </c>
      <c r="G514" s="34">
        <v>179</v>
      </c>
      <c r="H514" s="35">
        <v>0</v>
      </c>
      <c r="I514" s="38">
        <f t="shared" si="7"/>
        <v>14372.5</v>
      </c>
    </row>
    <row r="515" spans="1:9" x14ac:dyDescent="0.2">
      <c r="A515" s="33">
        <v>44425</v>
      </c>
      <c r="B515" s="36">
        <v>14370</v>
      </c>
      <c r="C515" s="7">
        <v>14374</v>
      </c>
      <c r="D515" s="7"/>
      <c r="E515" s="7"/>
      <c r="F515" s="7"/>
      <c r="G515" s="34"/>
      <c r="H515" s="35">
        <v>0</v>
      </c>
      <c r="I515" s="38">
        <f t="shared" si="7"/>
        <v>14372</v>
      </c>
    </row>
    <row r="516" spans="1:9" x14ac:dyDescent="0.2">
      <c r="A516" s="33">
        <v>44424</v>
      </c>
      <c r="B516" s="36">
        <v>14370</v>
      </c>
      <c r="C516" s="7">
        <v>14374</v>
      </c>
      <c r="D516" s="7">
        <v>14390</v>
      </c>
      <c r="E516" s="7">
        <v>14369</v>
      </c>
      <c r="F516" s="7">
        <v>14385</v>
      </c>
      <c r="G516" s="34">
        <v>168</v>
      </c>
      <c r="H516" s="35">
        <v>-15</v>
      </c>
      <c r="I516" s="38">
        <f t="shared" si="7"/>
        <v>14372</v>
      </c>
    </row>
    <row r="517" spans="1:9" x14ac:dyDescent="0.2">
      <c r="A517" s="33">
        <v>44421</v>
      </c>
      <c r="B517" s="36">
        <v>14385</v>
      </c>
      <c r="C517" s="7">
        <v>14390</v>
      </c>
      <c r="D517" s="7">
        <v>14390</v>
      </c>
      <c r="E517" s="7">
        <v>14357</v>
      </c>
      <c r="F517" s="7">
        <v>14375</v>
      </c>
      <c r="G517" s="34">
        <v>77</v>
      </c>
      <c r="H517" s="35">
        <v>5</v>
      </c>
      <c r="I517" s="38">
        <f t="shared" si="7"/>
        <v>14387.5</v>
      </c>
    </row>
    <row r="518" spans="1:9" x14ac:dyDescent="0.2">
      <c r="A518" s="33">
        <v>44420</v>
      </c>
      <c r="B518" s="36">
        <v>14380</v>
      </c>
      <c r="C518" s="7">
        <v>14385</v>
      </c>
      <c r="D518" s="7">
        <v>14395</v>
      </c>
      <c r="E518" s="7">
        <v>14355</v>
      </c>
      <c r="F518" s="7">
        <v>14370</v>
      </c>
      <c r="G518" s="34">
        <v>183</v>
      </c>
      <c r="H518" s="35">
        <v>0</v>
      </c>
      <c r="I518" s="38">
        <f t="shared" si="7"/>
        <v>14382.5</v>
      </c>
    </row>
    <row r="519" spans="1:9" x14ac:dyDescent="0.2">
      <c r="A519" s="33">
        <v>44419</v>
      </c>
      <c r="B519" s="36">
        <v>14380</v>
      </c>
      <c r="C519" s="7">
        <v>14385</v>
      </c>
      <c r="D519" s="7"/>
      <c r="E519" s="7"/>
      <c r="F519" s="7"/>
      <c r="G519" s="34"/>
      <c r="H519" s="35">
        <v>0</v>
      </c>
      <c r="I519" s="38">
        <f t="shared" si="7"/>
        <v>14382.5</v>
      </c>
    </row>
    <row r="520" spans="1:9" x14ac:dyDescent="0.2">
      <c r="A520" s="33">
        <v>44418</v>
      </c>
      <c r="B520" s="36">
        <v>14380</v>
      </c>
      <c r="C520" s="7">
        <v>14385</v>
      </c>
      <c r="D520" s="7">
        <v>14397</v>
      </c>
      <c r="E520" s="7">
        <v>14370</v>
      </c>
      <c r="F520" s="7">
        <v>14370</v>
      </c>
      <c r="G520" s="34">
        <v>174</v>
      </c>
      <c r="H520" s="35">
        <v>20</v>
      </c>
      <c r="I520" s="38">
        <f t="shared" si="7"/>
        <v>14382.5</v>
      </c>
    </row>
    <row r="521" spans="1:9" x14ac:dyDescent="0.2">
      <c r="A521" s="33">
        <v>44417</v>
      </c>
      <c r="B521" s="36">
        <v>14360</v>
      </c>
      <c r="C521" s="7">
        <v>14365</v>
      </c>
      <c r="D521" s="7">
        <v>14385</v>
      </c>
      <c r="E521" s="7">
        <v>14350</v>
      </c>
      <c r="F521" s="7">
        <v>14360</v>
      </c>
      <c r="G521" s="34">
        <v>104</v>
      </c>
      <c r="H521" s="35">
        <v>10</v>
      </c>
      <c r="I521" s="38">
        <f t="shared" si="7"/>
        <v>14362.5</v>
      </c>
    </row>
    <row r="522" spans="1:9" x14ac:dyDescent="0.2">
      <c r="A522" s="33">
        <v>44414</v>
      </c>
      <c r="B522" s="36">
        <v>14350</v>
      </c>
      <c r="C522" s="7">
        <v>14355</v>
      </c>
      <c r="D522" s="7">
        <v>14375</v>
      </c>
      <c r="E522" s="7">
        <v>14340</v>
      </c>
      <c r="F522" s="7">
        <v>14340</v>
      </c>
      <c r="G522" s="34">
        <v>171</v>
      </c>
      <c r="H522" s="35">
        <v>10</v>
      </c>
      <c r="I522" s="38">
        <f t="shared" si="7"/>
        <v>14352.5</v>
      </c>
    </row>
    <row r="523" spans="1:9" x14ac:dyDescent="0.2">
      <c r="A523" s="33">
        <v>44413</v>
      </c>
      <c r="B523" s="36">
        <v>14340</v>
      </c>
      <c r="C523" s="7">
        <v>14345</v>
      </c>
      <c r="D523" s="7">
        <v>14355</v>
      </c>
      <c r="E523" s="7">
        <v>14310</v>
      </c>
      <c r="F523" s="7">
        <v>14310</v>
      </c>
      <c r="G523" s="34">
        <v>140</v>
      </c>
      <c r="H523" s="35">
        <v>30</v>
      </c>
      <c r="I523" s="38">
        <f t="shared" si="7"/>
        <v>14342.5</v>
      </c>
    </row>
    <row r="524" spans="1:9" x14ac:dyDescent="0.2">
      <c r="A524" s="33">
        <v>44412</v>
      </c>
      <c r="B524" s="36">
        <v>14310</v>
      </c>
      <c r="C524" s="7">
        <v>14315</v>
      </c>
      <c r="D524" s="7">
        <v>14345</v>
      </c>
      <c r="E524" s="7">
        <v>14300</v>
      </c>
      <c r="F524" s="7">
        <v>14300</v>
      </c>
      <c r="G524" s="34">
        <v>198</v>
      </c>
      <c r="H524" s="35">
        <v>-30</v>
      </c>
      <c r="I524" s="38">
        <f t="shared" si="7"/>
        <v>14312.5</v>
      </c>
    </row>
    <row r="525" spans="1:9" x14ac:dyDescent="0.2">
      <c r="A525" s="33">
        <v>44411</v>
      </c>
      <c r="B525" s="36">
        <v>14340</v>
      </c>
      <c r="C525" s="7">
        <v>14344</v>
      </c>
      <c r="D525" s="7">
        <v>14376</v>
      </c>
      <c r="E525" s="7">
        <v>14333</v>
      </c>
      <c r="F525" s="7">
        <v>14350</v>
      </c>
      <c r="G525" s="34">
        <v>256</v>
      </c>
      <c r="H525" s="35">
        <v>-80</v>
      </c>
      <c r="I525" s="38">
        <f t="shared" si="7"/>
        <v>14342</v>
      </c>
    </row>
    <row r="526" spans="1:9" x14ac:dyDescent="0.2">
      <c r="A526" s="33">
        <v>44410</v>
      </c>
      <c r="B526" s="36">
        <v>14420</v>
      </c>
      <c r="C526" s="7">
        <v>14425</v>
      </c>
      <c r="D526" s="7">
        <v>14470</v>
      </c>
      <c r="E526" s="7">
        <v>14420</v>
      </c>
      <c r="F526" s="7">
        <v>14455</v>
      </c>
      <c r="G526" s="34">
        <v>167</v>
      </c>
      <c r="H526" s="35">
        <v>-40</v>
      </c>
      <c r="I526" s="38">
        <f t="shared" si="7"/>
        <v>14422.5</v>
      </c>
    </row>
    <row r="527" spans="1:9" x14ac:dyDescent="0.2">
      <c r="A527" s="33">
        <v>44407</v>
      </c>
      <c r="B527" s="36">
        <v>14460</v>
      </c>
      <c r="C527" s="7">
        <v>14465</v>
      </c>
      <c r="D527" s="7">
        <v>14475</v>
      </c>
      <c r="E527" s="7">
        <v>14420</v>
      </c>
      <c r="F527" s="7">
        <v>14420</v>
      </c>
      <c r="G527" s="34">
        <v>132</v>
      </c>
      <c r="H527" s="35">
        <v>-20</v>
      </c>
      <c r="I527" s="38">
        <f t="shared" si="7"/>
        <v>14462.5</v>
      </c>
    </row>
    <row r="528" spans="1:9" x14ac:dyDescent="0.2">
      <c r="A528" s="33">
        <v>44406</v>
      </c>
      <c r="B528" s="36">
        <v>14480</v>
      </c>
      <c r="C528" s="7">
        <v>14485</v>
      </c>
      <c r="D528" s="7">
        <v>14495</v>
      </c>
      <c r="E528" s="7">
        <v>14480</v>
      </c>
      <c r="F528" s="7">
        <v>14480</v>
      </c>
      <c r="G528" s="34">
        <v>158</v>
      </c>
      <c r="H528" s="35">
        <v>-5</v>
      </c>
      <c r="I528" s="38">
        <f t="shared" si="7"/>
        <v>14482.5</v>
      </c>
    </row>
    <row r="529" spans="1:9" x14ac:dyDescent="0.2">
      <c r="A529" s="33">
        <v>44405</v>
      </c>
      <c r="B529" s="36">
        <v>14485</v>
      </c>
      <c r="C529" s="7">
        <v>14490</v>
      </c>
      <c r="D529" s="7">
        <v>14505</v>
      </c>
      <c r="E529" s="7">
        <v>14480</v>
      </c>
      <c r="F529" s="7">
        <v>14480</v>
      </c>
      <c r="G529" s="34">
        <v>162</v>
      </c>
      <c r="H529" s="35">
        <v>-5</v>
      </c>
      <c r="I529" s="38">
        <f t="shared" si="7"/>
        <v>14487.5</v>
      </c>
    </row>
    <row r="530" spans="1:9" x14ac:dyDescent="0.2">
      <c r="A530" s="33">
        <v>44404</v>
      </c>
      <c r="B530" s="36">
        <v>14490</v>
      </c>
      <c r="C530" s="7">
        <v>14495</v>
      </c>
      <c r="D530" s="7">
        <v>14495</v>
      </c>
      <c r="E530" s="7">
        <v>14450</v>
      </c>
      <c r="F530" s="7">
        <v>14450</v>
      </c>
      <c r="G530" s="34">
        <v>137</v>
      </c>
      <c r="H530" s="35">
        <v>10</v>
      </c>
      <c r="I530" s="38">
        <f t="shared" si="7"/>
        <v>14492.5</v>
      </c>
    </row>
    <row r="531" spans="1:9" x14ac:dyDescent="0.2">
      <c r="A531" s="33">
        <v>44403</v>
      </c>
      <c r="B531" s="36">
        <v>14480</v>
      </c>
      <c r="C531" s="7">
        <v>14485</v>
      </c>
      <c r="D531" s="7">
        <v>14505</v>
      </c>
      <c r="E531" s="7">
        <v>14460</v>
      </c>
      <c r="F531" s="7">
        <v>14500</v>
      </c>
      <c r="G531" s="34">
        <v>168</v>
      </c>
      <c r="H531" s="35">
        <v>-10</v>
      </c>
      <c r="I531" s="38">
        <f t="shared" si="7"/>
        <v>14482.5</v>
      </c>
    </row>
    <row r="532" spans="1:9" x14ac:dyDescent="0.2">
      <c r="A532" s="33">
        <v>44400</v>
      </c>
      <c r="B532" s="36">
        <v>14490</v>
      </c>
      <c r="C532" s="7">
        <v>14495</v>
      </c>
      <c r="D532" s="7">
        <v>14510</v>
      </c>
      <c r="E532" s="7">
        <v>14485</v>
      </c>
      <c r="F532" s="7">
        <v>14490</v>
      </c>
      <c r="G532" s="34">
        <v>114</v>
      </c>
      <c r="H532" s="35">
        <v>10</v>
      </c>
      <c r="I532" s="38">
        <f t="shared" si="7"/>
        <v>14492.5</v>
      </c>
    </row>
    <row r="533" spans="1:9" x14ac:dyDescent="0.2">
      <c r="A533" s="33">
        <v>44399</v>
      </c>
      <c r="B533" s="36">
        <v>14480</v>
      </c>
      <c r="C533" s="7">
        <v>14485</v>
      </c>
      <c r="D533" s="7">
        <v>14516</v>
      </c>
      <c r="E533" s="7">
        <v>14480</v>
      </c>
      <c r="F533" s="7">
        <v>14490</v>
      </c>
      <c r="G533" s="34">
        <v>102</v>
      </c>
      <c r="H533" s="35">
        <v>-60</v>
      </c>
      <c r="I533" s="38">
        <f t="shared" si="7"/>
        <v>14482.5</v>
      </c>
    </row>
    <row r="534" spans="1:9" x14ac:dyDescent="0.2">
      <c r="A534" s="33">
        <v>44398</v>
      </c>
      <c r="B534" s="36">
        <v>14540</v>
      </c>
      <c r="C534" s="7">
        <v>14545</v>
      </c>
      <c r="D534" s="7">
        <v>14555</v>
      </c>
      <c r="E534" s="7">
        <v>14520</v>
      </c>
      <c r="F534" s="7">
        <v>14520</v>
      </c>
      <c r="G534" s="34">
        <v>127</v>
      </c>
      <c r="H534" s="35">
        <v>25</v>
      </c>
      <c r="I534" s="38">
        <f t="shared" si="7"/>
        <v>14542.5</v>
      </c>
    </row>
    <row r="535" spans="1:9" x14ac:dyDescent="0.2">
      <c r="A535" s="33">
        <v>44397</v>
      </c>
      <c r="B535" s="36">
        <v>14515</v>
      </c>
      <c r="C535" s="7">
        <v>14520</v>
      </c>
      <c r="D535" s="7"/>
      <c r="E535" s="7"/>
      <c r="F535" s="7"/>
      <c r="G535" s="34"/>
      <c r="H535" s="35">
        <v>0</v>
      </c>
      <c r="I535" s="38">
        <f t="shared" si="7"/>
        <v>14517.5</v>
      </c>
    </row>
    <row r="536" spans="1:9" x14ac:dyDescent="0.2">
      <c r="A536" s="33">
        <v>44396</v>
      </c>
      <c r="B536" s="36">
        <v>14515</v>
      </c>
      <c r="C536" s="7">
        <v>14520</v>
      </c>
      <c r="D536" s="7">
        <v>14530</v>
      </c>
      <c r="E536" s="7">
        <v>14490</v>
      </c>
      <c r="F536" s="7">
        <v>14495</v>
      </c>
      <c r="G536" s="34">
        <v>141</v>
      </c>
      <c r="H536" s="35">
        <v>20</v>
      </c>
      <c r="I536" s="38">
        <f t="shared" si="7"/>
        <v>14517.5</v>
      </c>
    </row>
    <row r="537" spans="1:9" x14ac:dyDescent="0.2">
      <c r="A537" s="33">
        <v>44393</v>
      </c>
      <c r="B537" s="36">
        <v>14495</v>
      </c>
      <c r="C537" s="7">
        <v>14500</v>
      </c>
      <c r="D537" s="7">
        <v>14535</v>
      </c>
      <c r="E537" s="7">
        <v>14480</v>
      </c>
      <c r="F537" s="7">
        <v>14490</v>
      </c>
      <c r="G537" s="34">
        <v>100</v>
      </c>
      <c r="H537" s="35">
        <v>15</v>
      </c>
      <c r="I537" s="38">
        <f t="shared" si="7"/>
        <v>14497.5</v>
      </c>
    </row>
    <row r="538" spans="1:9" x14ac:dyDescent="0.2">
      <c r="A538" s="33">
        <v>44392</v>
      </c>
      <c r="B538" s="36">
        <v>14480</v>
      </c>
      <c r="C538" s="7">
        <v>14485</v>
      </c>
      <c r="D538" s="7">
        <v>14510</v>
      </c>
      <c r="E538" s="7">
        <v>14460</v>
      </c>
      <c r="F538" s="7">
        <v>14460</v>
      </c>
      <c r="G538" s="34">
        <v>136</v>
      </c>
      <c r="H538" s="35">
        <v>5</v>
      </c>
      <c r="I538" s="38">
        <f t="shared" si="7"/>
        <v>14482.5</v>
      </c>
    </row>
    <row r="539" spans="1:9" x14ac:dyDescent="0.2">
      <c r="A539" s="33">
        <v>44391</v>
      </c>
      <c r="B539" s="36">
        <v>14475</v>
      </c>
      <c r="C539" s="7">
        <v>14485</v>
      </c>
      <c r="D539" s="7">
        <v>14495</v>
      </c>
      <c r="E539" s="7">
        <v>14470</v>
      </c>
      <c r="F539" s="7">
        <v>14470</v>
      </c>
      <c r="G539" s="34">
        <v>177</v>
      </c>
      <c r="H539" s="35">
        <v>13</v>
      </c>
      <c r="I539" s="38">
        <f t="shared" si="7"/>
        <v>14480</v>
      </c>
    </row>
    <row r="540" spans="1:9" x14ac:dyDescent="0.2">
      <c r="A540" s="33">
        <v>44390</v>
      </c>
      <c r="B540" s="36">
        <v>14462</v>
      </c>
      <c r="C540" s="7">
        <v>14465</v>
      </c>
      <c r="D540" s="7">
        <v>14500</v>
      </c>
      <c r="E540" s="7">
        <v>14455</v>
      </c>
      <c r="F540" s="7">
        <v>14480</v>
      </c>
      <c r="G540" s="34">
        <v>130</v>
      </c>
      <c r="H540" s="35">
        <v>-28</v>
      </c>
      <c r="I540" s="38">
        <f t="shared" si="7"/>
        <v>14463.5</v>
      </c>
    </row>
    <row r="541" spans="1:9" x14ac:dyDescent="0.2">
      <c r="A541" s="33">
        <v>44389</v>
      </c>
      <c r="B541" s="36">
        <v>14490</v>
      </c>
      <c r="C541" s="7">
        <v>14495</v>
      </c>
      <c r="D541" s="7">
        <v>14495</v>
      </c>
      <c r="E541" s="7">
        <v>14460</v>
      </c>
      <c r="F541" s="7">
        <v>14460</v>
      </c>
      <c r="G541" s="34">
        <v>98</v>
      </c>
      <c r="H541" s="35">
        <v>-35</v>
      </c>
      <c r="I541" s="38">
        <f t="shared" si="7"/>
        <v>14492.5</v>
      </c>
    </row>
    <row r="542" spans="1:9" x14ac:dyDescent="0.2">
      <c r="A542" s="33">
        <v>44386</v>
      </c>
      <c r="B542" s="36">
        <v>14525</v>
      </c>
      <c r="C542" s="7">
        <v>14530</v>
      </c>
      <c r="D542" s="7">
        <v>14549</v>
      </c>
      <c r="E542" s="7">
        <v>14520</v>
      </c>
      <c r="F542" s="7">
        <v>14520</v>
      </c>
      <c r="G542" s="34">
        <v>106</v>
      </c>
      <c r="H542" s="35">
        <v>5</v>
      </c>
      <c r="I542" s="38">
        <f t="shared" si="7"/>
        <v>14527.5</v>
      </c>
    </row>
    <row r="543" spans="1:9" x14ac:dyDescent="0.2">
      <c r="A543" s="33">
        <v>44385</v>
      </c>
      <c r="B543" s="36">
        <v>14520</v>
      </c>
      <c r="C543" s="7">
        <v>14530</v>
      </c>
      <c r="D543" s="7">
        <v>14545</v>
      </c>
      <c r="E543" s="7">
        <v>14485</v>
      </c>
      <c r="F543" s="7">
        <v>14490</v>
      </c>
      <c r="G543" s="34">
        <v>128</v>
      </c>
      <c r="H543" s="35">
        <v>40</v>
      </c>
      <c r="I543" s="38">
        <f t="shared" si="7"/>
        <v>14525</v>
      </c>
    </row>
    <row r="544" spans="1:9" x14ac:dyDescent="0.2">
      <c r="A544" s="33">
        <v>44384</v>
      </c>
      <c r="B544" s="36">
        <v>14480</v>
      </c>
      <c r="C544" s="7">
        <v>14485</v>
      </c>
      <c r="D544" s="7">
        <v>14505</v>
      </c>
      <c r="E544" s="7">
        <v>14460</v>
      </c>
      <c r="F544" s="7">
        <v>14480</v>
      </c>
      <c r="G544" s="34">
        <v>95</v>
      </c>
      <c r="H544" s="35">
        <v>15</v>
      </c>
      <c r="I544" s="38">
        <f t="shared" ref="I544:I607" si="8">+(B544+C544)*0.5</f>
        <v>14482.5</v>
      </c>
    </row>
    <row r="545" spans="1:9" x14ac:dyDescent="0.2">
      <c r="A545" s="33">
        <v>44383</v>
      </c>
      <c r="B545" s="36">
        <v>14465</v>
      </c>
      <c r="C545" s="7">
        <v>14475</v>
      </c>
      <c r="D545" s="7">
        <v>14470</v>
      </c>
      <c r="E545" s="7">
        <v>14450</v>
      </c>
      <c r="F545" s="7">
        <v>14450</v>
      </c>
      <c r="G545" s="34">
        <v>105</v>
      </c>
      <c r="H545" s="35">
        <v>-11</v>
      </c>
      <c r="I545" s="38">
        <f t="shared" si="8"/>
        <v>14470</v>
      </c>
    </row>
    <row r="546" spans="1:9" x14ac:dyDescent="0.2">
      <c r="A546" s="33">
        <v>44382</v>
      </c>
      <c r="B546" s="36">
        <v>14476</v>
      </c>
      <c r="C546" s="7">
        <v>14477</v>
      </c>
      <c r="D546" s="7">
        <v>14490</v>
      </c>
      <c r="E546" s="7">
        <v>14465</v>
      </c>
      <c r="F546" s="7">
        <v>14475</v>
      </c>
      <c r="G546" s="34">
        <v>104</v>
      </c>
      <c r="H546" s="35">
        <v>-54</v>
      </c>
      <c r="I546" s="38">
        <f t="shared" si="8"/>
        <v>14476.5</v>
      </c>
    </row>
    <row r="547" spans="1:9" x14ac:dyDescent="0.2">
      <c r="A547" s="33">
        <v>44379</v>
      </c>
      <c r="B547" s="36">
        <v>14530</v>
      </c>
      <c r="C547" s="7">
        <v>14535</v>
      </c>
      <c r="D547" s="7">
        <v>14565</v>
      </c>
      <c r="E547" s="7">
        <v>14500</v>
      </c>
      <c r="F547" s="7">
        <v>14500</v>
      </c>
      <c r="G547" s="34">
        <v>113</v>
      </c>
      <c r="H547" s="35">
        <v>30</v>
      </c>
      <c r="I547" s="38">
        <f t="shared" si="8"/>
        <v>14532.5</v>
      </c>
    </row>
    <row r="548" spans="1:9" x14ac:dyDescent="0.2">
      <c r="A548" s="33">
        <v>44378</v>
      </c>
      <c r="B548" s="36">
        <v>14500</v>
      </c>
      <c r="C548" s="7">
        <v>14505</v>
      </c>
      <c r="D548" s="7">
        <v>14550</v>
      </c>
      <c r="E548" s="7">
        <v>14495</v>
      </c>
      <c r="F548" s="7">
        <v>14500</v>
      </c>
      <c r="G548" s="34">
        <v>116</v>
      </c>
      <c r="H548" s="35">
        <v>5</v>
      </c>
      <c r="I548" s="38">
        <f t="shared" si="8"/>
        <v>14502.5</v>
      </c>
    </row>
    <row r="549" spans="1:9" x14ac:dyDescent="0.2">
      <c r="A549" s="33">
        <v>44377</v>
      </c>
      <c r="B549" s="36">
        <v>14495</v>
      </c>
      <c r="C549" s="7">
        <v>14505</v>
      </c>
      <c r="D549" s="7">
        <v>14540</v>
      </c>
      <c r="E549" s="7">
        <v>14490</v>
      </c>
      <c r="F549" s="7">
        <v>14490</v>
      </c>
      <c r="G549" s="34">
        <v>169</v>
      </c>
      <c r="H549" s="35">
        <v>15</v>
      </c>
      <c r="I549" s="38">
        <f t="shared" si="8"/>
        <v>14500</v>
      </c>
    </row>
    <row r="550" spans="1:9" x14ac:dyDescent="0.2">
      <c r="A550" s="33">
        <v>44376</v>
      </c>
      <c r="B550" s="36">
        <v>14480</v>
      </c>
      <c r="C550" s="7">
        <v>14490</v>
      </c>
      <c r="D550" s="7">
        <v>14490</v>
      </c>
      <c r="E550" s="7">
        <v>14440</v>
      </c>
      <c r="F550" s="7">
        <v>14440</v>
      </c>
      <c r="G550" s="34">
        <v>91</v>
      </c>
      <c r="H550" s="35">
        <v>40</v>
      </c>
      <c r="I550" s="38">
        <f t="shared" si="8"/>
        <v>14485</v>
      </c>
    </row>
    <row r="551" spans="1:9" x14ac:dyDescent="0.2">
      <c r="A551" s="33">
        <v>44375</v>
      </c>
      <c r="B551" s="36">
        <v>14440</v>
      </c>
      <c r="C551" s="7">
        <v>14450</v>
      </c>
      <c r="D551" s="7">
        <v>14470</v>
      </c>
      <c r="E551" s="7">
        <v>14400</v>
      </c>
      <c r="F551" s="7">
        <v>14400</v>
      </c>
      <c r="G551" s="34">
        <v>146</v>
      </c>
      <c r="H551" s="35">
        <v>20</v>
      </c>
      <c r="I551" s="38">
        <f t="shared" si="8"/>
        <v>14445</v>
      </c>
    </row>
    <row r="552" spans="1:9" x14ac:dyDescent="0.2">
      <c r="A552" s="33">
        <v>44372</v>
      </c>
      <c r="B552" s="36">
        <v>14420</v>
      </c>
      <c r="C552" s="7">
        <v>14430</v>
      </c>
      <c r="D552" s="7">
        <v>14445</v>
      </c>
      <c r="E552" s="7">
        <v>14400</v>
      </c>
      <c r="F552" s="7">
        <v>14400</v>
      </c>
      <c r="G552" s="34">
        <v>76</v>
      </c>
      <c r="H552" s="35">
        <v>-15</v>
      </c>
      <c r="I552" s="38">
        <f t="shared" si="8"/>
        <v>14425</v>
      </c>
    </row>
    <row r="553" spans="1:9" x14ac:dyDescent="0.2">
      <c r="A553" s="33">
        <v>44371</v>
      </c>
      <c r="B553" s="36">
        <v>14435</v>
      </c>
      <c r="C553" s="7">
        <v>14445</v>
      </c>
      <c r="D553" s="7">
        <v>14460</v>
      </c>
      <c r="E553" s="7">
        <v>14420</v>
      </c>
      <c r="F553" s="7">
        <v>14430</v>
      </c>
      <c r="G553" s="34">
        <v>102</v>
      </c>
      <c r="H553" s="35">
        <v>5</v>
      </c>
      <c r="I553" s="38">
        <f t="shared" si="8"/>
        <v>14440</v>
      </c>
    </row>
    <row r="554" spans="1:9" x14ac:dyDescent="0.2">
      <c r="A554" s="33">
        <v>44370</v>
      </c>
      <c r="B554" s="36">
        <v>14430</v>
      </c>
      <c r="C554" s="7">
        <v>14435</v>
      </c>
      <c r="D554" s="7">
        <v>14455</v>
      </c>
      <c r="E554" s="7">
        <v>14400</v>
      </c>
      <c r="F554" s="7">
        <v>14400</v>
      </c>
      <c r="G554" s="34">
        <v>78</v>
      </c>
      <c r="H554" s="35">
        <v>30</v>
      </c>
      <c r="I554" s="38">
        <f t="shared" si="8"/>
        <v>14432.5</v>
      </c>
    </row>
    <row r="555" spans="1:9" x14ac:dyDescent="0.2">
      <c r="A555" s="33">
        <v>44369</v>
      </c>
      <c r="B555" s="36">
        <v>14400</v>
      </c>
      <c r="C555" s="7">
        <v>14405</v>
      </c>
      <c r="D555" s="7">
        <v>14425</v>
      </c>
      <c r="E555" s="7">
        <v>14390</v>
      </c>
      <c r="F555" s="7">
        <v>14390</v>
      </c>
      <c r="G555" s="34">
        <v>213</v>
      </c>
      <c r="H555" s="35">
        <v>-25</v>
      </c>
      <c r="I555" s="38">
        <f t="shared" si="8"/>
        <v>14402.5</v>
      </c>
    </row>
    <row r="556" spans="1:9" x14ac:dyDescent="0.2">
      <c r="A556" s="33">
        <v>44368</v>
      </c>
      <c r="B556" s="36">
        <v>14425</v>
      </c>
      <c r="C556" s="7">
        <v>14430</v>
      </c>
      <c r="D556" s="7">
        <v>14450</v>
      </c>
      <c r="E556" s="7">
        <v>14380</v>
      </c>
      <c r="F556" s="7">
        <v>14380</v>
      </c>
      <c r="G556" s="34">
        <v>119</v>
      </c>
      <c r="H556" s="35">
        <v>55</v>
      </c>
      <c r="I556" s="38">
        <f t="shared" si="8"/>
        <v>14427.5</v>
      </c>
    </row>
    <row r="557" spans="1:9" x14ac:dyDescent="0.2">
      <c r="A557" s="33">
        <v>44365</v>
      </c>
      <c r="B557" s="36">
        <v>14370</v>
      </c>
      <c r="C557" s="7">
        <v>14380</v>
      </c>
      <c r="D557" s="7">
        <v>14395</v>
      </c>
      <c r="E557" s="7">
        <v>14360</v>
      </c>
      <c r="F557" s="7">
        <v>14360</v>
      </c>
      <c r="G557" s="34">
        <v>122</v>
      </c>
      <c r="H557" s="35">
        <v>20</v>
      </c>
      <c r="I557" s="38">
        <f t="shared" si="8"/>
        <v>14375</v>
      </c>
    </row>
    <row r="558" spans="1:9" x14ac:dyDescent="0.2">
      <c r="A558" s="33">
        <v>44364</v>
      </c>
      <c r="B558" s="36">
        <v>14350</v>
      </c>
      <c r="C558" s="7">
        <v>14360</v>
      </c>
      <c r="D558" s="7">
        <v>14370</v>
      </c>
      <c r="E558" s="7">
        <v>14250</v>
      </c>
      <c r="F558" s="7">
        <v>14250</v>
      </c>
      <c r="G558" s="34">
        <v>245</v>
      </c>
      <c r="H558" s="35">
        <v>115</v>
      </c>
      <c r="I558" s="38">
        <f t="shared" si="8"/>
        <v>14355</v>
      </c>
    </row>
    <row r="559" spans="1:9" x14ac:dyDescent="0.2">
      <c r="A559" s="33">
        <v>44363</v>
      </c>
      <c r="B559" s="36">
        <v>14235</v>
      </c>
      <c r="C559" s="7">
        <v>14240</v>
      </c>
      <c r="D559" s="7">
        <v>14265</v>
      </c>
      <c r="E559" s="7">
        <v>14230</v>
      </c>
      <c r="F559" s="7">
        <v>14230</v>
      </c>
      <c r="G559" s="34">
        <v>192</v>
      </c>
      <c r="H559" s="35">
        <v>15</v>
      </c>
      <c r="I559" s="38">
        <f t="shared" si="8"/>
        <v>14237.5</v>
      </c>
    </row>
    <row r="560" spans="1:9" x14ac:dyDescent="0.2">
      <c r="A560" s="33">
        <v>44362</v>
      </c>
      <c r="B560" s="36">
        <v>14220</v>
      </c>
      <c r="C560" s="7">
        <v>14230</v>
      </c>
      <c r="D560" s="7">
        <v>14245</v>
      </c>
      <c r="E560" s="7">
        <v>14200</v>
      </c>
      <c r="F560" s="7">
        <v>14200</v>
      </c>
      <c r="G560" s="34">
        <v>182</v>
      </c>
      <c r="H560" s="35">
        <v>20</v>
      </c>
      <c r="I560" s="38">
        <f t="shared" si="8"/>
        <v>14225</v>
      </c>
    </row>
    <row r="561" spans="1:9" x14ac:dyDescent="0.2">
      <c r="A561" s="33">
        <v>44361</v>
      </c>
      <c r="B561" s="36">
        <v>14200</v>
      </c>
      <c r="C561" s="7">
        <v>14205</v>
      </c>
      <c r="D561" s="7">
        <v>14225</v>
      </c>
      <c r="E561" s="7">
        <v>14190</v>
      </c>
      <c r="F561" s="7">
        <v>14190</v>
      </c>
      <c r="G561" s="34">
        <v>149</v>
      </c>
      <c r="H561" s="35">
        <v>12</v>
      </c>
      <c r="I561" s="38">
        <f t="shared" si="8"/>
        <v>14202.5</v>
      </c>
    </row>
    <row r="562" spans="1:9" x14ac:dyDescent="0.2">
      <c r="A562" s="33">
        <v>44358</v>
      </c>
      <c r="B562" s="36">
        <v>14188</v>
      </c>
      <c r="C562" s="7">
        <v>14190</v>
      </c>
      <c r="D562" s="7">
        <v>14235</v>
      </c>
      <c r="E562" s="7">
        <v>14178</v>
      </c>
      <c r="F562" s="7">
        <v>14200</v>
      </c>
      <c r="G562" s="34">
        <v>241</v>
      </c>
      <c r="H562" s="35">
        <v>-57</v>
      </c>
      <c r="I562" s="38">
        <f t="shared" si="8"/>
        <v>14189</v>
      </c>
    </row>
    <row r="563" spans="1:9" x14ac:dyDescent="0.2">
      <c r="A563" s="33">
        <v>44357</v>
      </c>
      <c r="B563" s="36">
        <v>14245</v>
      </c>
      <c r="C563" s="7">
        <v>14250</v>
      </c>
      <c r="D563" s="7">
        <v>14250</v>
      </c>
      <c r="E563" s="7">
        <v>14215</v>
      </c>
      <c r="F563" s="7">
        <v>14240</v>
      </c>
      <c r="G563" s="34">
        <v>137</v>
      </c>
      <c r="H563" s="35">
        <v>-5</v>
      </c>
      <c r="I563" s="38">
        <f t="shared" si="8"/>
        <v>14247.5</v>
      </c>
    </row>
    <row r="564" spans="1:9" x14ac:dyDescent="0.2">
      <c r="A564" s="33">
        <v>44356</v>
      </c>
      <c r="B564" s="36">
        <v>14250</v>
      </c>
      <c r="C564" s="7">
        <v>14260</v>
      </c>
      <c r="D564" s="7">
        <v>14268</v>
      </c>
      <c r="E564" s="7">
        <v>14235</v>
      </c>
      <c r="F564" s="7">
        <v>14250</v>
      </c>
      <c r="G564" s="34">
        <v>165</v>
      </c>
      <c r="H564" s="35">
        <v>0</v>
      </c>
      <c r="I564" s="38">
        <f t="shared" si="8"/>
        <v>14255</v>
      </c>
    </row>
    <row r="565" spans="1:9" x14ac:dyDescent="0.2">
      <c r="A565" s="33">
        <v>44355</v>
      </c>
      <c r="B565" s="36">
        <v>14250</v>
      </c>
      <c r="C565" s="7">
        <v>14255</v>
      </c>
      <c r="D565" s="7">
        <v>14265</v>
      </c>
      <c r="E565" s="7">
        <v>14245</v>
      </c>
      <c r="F565" s="7">
        <v>14250</v>
      </c>
      <c r="G565" s="34">
        <v>103</v>
      </c>
      <c r="H565" s="35">
        <v>-10</v>
      </c>
      <c r="I565" s="38">
        <f t="shared" si="8"/>
        <v>14252.5</v>
      </c>
    </row>
    <row r="566" spans="1:9" x14ac:dyDescent="0.2">
      <c r="A566" s="33">
        <v>44354</v>
      </c>
      <c r="B566" s="36">
        <v>14260</v>
      </c>
      <c r="C566" s="7">
        <v>14268</v>
      </c>
      <c r="D566" s="7">
        <v>14276</v>
      </c>
      <c r="E566" s="7">
        <v>14230</v>
      </c>
      <c r="F566" s="7">
        <v>14250</v>
      </c>
      <c r="G566" s="34">
        <v>168</v>
      </c>
      <c r="H566" s="35">
        <v>-30</v>
      </c>
      <c r="I566" s="38">
        <f t="shared" si="8"/>
        <v>14264</v>
      </c>
    </row>
    <row r="567" spans="1:9" x14ac:dyDescent="0.2">
      <c r="A567" s="33">
        <v>44351</v>
      </c>
      <c r="B567" s="36">
        <v>14290</v>
      </c>
      <c r="C567" s="7">
        <v>14300</v>
      </c>
      <c r="D567" s="7">
        <v>14320</v>
      </c>
      <c r="E567" s="7">
        <v>14290</v>
      </c>
      <c r="F567" s="7">
        <v>14290</v>
      </c>
      <c r="G567" s="34">
        <v>127</v>
      </c>
      <c r="H567" s="35">
        <v>10</v>
      </c>
      <c r="I567" s="38">
        <f t="shared" si="8"/>
        <v>14295</v>
      </c>
    </row>
    <row r="568" spans="1:9" x14ac:dyDescent="0.2">
      <c r="A568" s="33">
        <v>44350</v>
      </c>
      <c r="B568" s="36">
        <v>14280</v>
      </c>
      <c r="C568" s="7">
        <v>14290</v>
      </c>
      <c r="D568" s="7">
        <v>14310</v>
      </c>
      <c r="E568" s="7">
        <v>14250</v>
      </c>
      <c r="F568" s="7">
        <v>14250</v>
      </c>
      <c r="G568" s="34">
        <v>138</v>
      </c>
      <c r="H568" s="35">
        <v>5</v>
      </c>
      <c r="I568" s="38">
        <f t="shared" si="8"/>
        <v>14285</v>
      </c>
    </row>
    <row r="569" spans="1:9" x14ac:dyDescent="0.2">
      <c r="A569" s="33">
        <v>44349</v>
      </c>
      <c r="B569" s="36">
        <v>14275</v>
      </c>
      <c r="C569" s="7">
        <v>14285</v>
      </c>
      <c r="D569" s="7">
        <v>14285</v>
      </c>
      <c r="E569" s="7">
        <v>14230</v>
      </c>
      <c r="F569" s="7">
        <v>14230</v>
      </c>
      <c r="G569" s="34">
        <v>170</v>
      </c>
      <c r="H569" s="35">
        <v>0</v>
      </c>
      <c r="I569" s="38">
        <f t="shared" si="8"/>
        <v>14280</v>
      </c>
    </row>
    <row r="570" spans="1:9" x14ac:dyDescent="0.2">
      <c r="A570" s="33">
        <v>44348</v>
      </c>
      <c r="B570" s="36">
        <v>14275</v>
      </c>
      <c r="C570" s="7">
        <v>14285</v>
      </c>
      <c r="D570" s="7"/>
      <c r="E570" s="7"/>
      <c r="F570" s="7"/>
      <c r="G570" s="34"/>
      <c r="H570" s="35">
        <v>0</v>
      </c>
      <c r="I570" s="38">
        <f t="shared" si="8"/>
        <v>14280</v>
      </c>
    </row>
    <row r="571" spans="1:9" x14ac:dyDescent="0.2">
      <c r="A571" s="33">
        <v>44347</v>
      </c>
      <c r="B571" s="36">
        <v>14275</v>
      </c>
      <c r="C571" s="7">
        <v>14285</v>
      </c>
      <c r="D571" s="7">
        <v>14307</v>
      </c>
      <c r="E571" s="7">
        <v>14275</v>
      </c>
      <c r="F571" s="7">
        <v>14280</v>
      </c>
      <c r="G571" s="34">
        <v>161</v>
      </c>
      <c r="H571" s="35">
        <v>-5</v>
      </c>
      <c r="I571" s="38">
        <f t="shared" si="8"/>
        <v>14280</v>
      </c>
    </row>
    <row r="572" spans="1:9" x14ac:dyDescent="0.2">
      <c r="A572" s="33">
        <v>44344</v>
      </c>
      <c r="B572" s="36">
        <v>14280</v>
      </c>
      <c r="C572" s="7">
        <v>14290</v>
      </c>
      <c r="D572" s="7">
        <v>14320</v>
      </c>
      <c r="E572" s="7">
        <v>14280</v>
      </c>
      <c r="F572" s="7">
        <v>14285</v>
      </c>
      <c r="G572" s="34">
        <v>146</v>
      </c>
      <c r="H572" s="35">
        <v>-5</v>
      </c>
      <c r="I572" s="38">
        <f t="shared" si="8"/>
        <v>14285</v>
      </c>
    </row>
    <row r="573" spans="1:9" x14ac:dyDescent="0.2">
      <c r="A573" s="33">
        <v>44343</v>
      </c>
      <c r="B573" s="36">
        <v>14285</v>
      </c>
      <c r="C573" s="7">
        <v>14290</v>
      </c>
      <c r="D573" s="7">
        <v>14323</v>
      </c>
      <c r="E573" s="7">
        <v>14270</v>
      </c>
      <c r="F573" s="7">
        <v>14290</v>
      </c>
      <c r="G573" s="34">
        <v>201</v>
      </c>
      <c r="H573" s="35">
        <v>-40</v>
      </c>
      <c r="I573" s="38">
        <f t="shared" si="8"/>
        <v>14287.5</v>
      </c>
    </row>
    <row r="574" spans="1:9" x14ac:dyDescent="0.2">
      <c r="A574" s="33">
        <v>44342</v>
      </c>
      <c r="B574" s="36">
        <v>14325</v>
      </c>
      <c r="C574" s="7">
        <v>14330</v>
      </c>
      <c r="D574" s="7"/>
      <c r="E574" s="7"/>
      <c r="F574" s="7"/>
      <c r="G574" s="34"/>
      <c r="H574" s="35">
        <v>0</v>
      </c>
      <c r="I574" s="38">
        <f t="shared" si="8"/>
        <v>14327.5</v>
      </c>
    </row>
    <row r="575" spans="1:9" x14ac:dyDescent="0.2">
      <c r="A575" s="33">
        <v>44341</v>
      </c>
      <c r="B575" s="36">
        <v>14325</v>
      </c>
      <c r="C575" s="7">
        <v>14330</v>
      </c>
      <c r="D575" s="7">
        <v>14340</v>
      </c>
      <c r="E575" s="7">
        <v>14300</v>
      </c>
      <c r="F575" s="7">
        <v>14300</v>
      </c>
      <c r="G575" s="34">
        <v>234</v>
      </c>
      <c r="H575" s="35">
        <v>-25</v>
      </c>
      <c r="I575" s="38">
        <f t="shared" si="8"/>
        <v>14327.5</v>
      </c>
    </row>
    <row r="576" spans="1:9" x14ac:dyDescent="0.2">
      <c r="A576" s="33">
        <v>44340</v>
      </c>
      <c r="B576" s="36">
        <v>14350</v>
      </c>
      <c r="C576" s="7">
        <v>14360</v>
      </c>
      <c r="D576" s="7">
        <v>14360</v>
      </c>
      <c r="E576" s="7">
        <v>14325</v>
      </c>
      <c r="F576" s="7">
        <v>14325</v>
      </c>
      <c r="G576" s="34">
        <v>105</v>
      </c>
      <c r="H576" s="35">
        <v>0</v>
      </c>
      <c r="I576" s="38">
        <f t="shared" si="8"/>
        <v>14355</v>
      </c>
    </row>
    <row r="577" spans="1:9" x14ac:dyDescent="0.2">
      <c r="A577" s="33">
        <v>44337</v>
      </c>
      <c r="B577" s="36">
        <v>14350</v>
      </c>
      <c r="C577" s="7">
        <v>14360</v>
      </c>
      <c r="D577" s="7">
        <v>14385</v>
      </c>
      <c r="E577" s="7">
        <v>14330</v>
      </c>
      <c r="F577" s="7">
        <v>14330</v>
      </c>
      <c r="G577" s="34">
        <v>247</v>
      </c>
      <c r="H577" s="35">
        <v>-20</v>
      </c>
      <c r="I577" s="38">
        <f t="shared" si="8"/>
        <v>14355</v>
      </c>
    </row>
    <row r="578" spans="1:9" x14ac:dyDescent="0.2">
      <c r="A578" s="33">
        <v>44336</v>
      </c>
      <c r="B578" s="36">
        <v>14370</v>
      </c>
      <c r="C578" s="7">
        <v>14380</v>
      </c>
      <c r="D578" s="7">
        <v>14395</v>
      </c>
      <c r="E578" s="7">
        <v>14300</v>
      </c>
      <c r="F578" s="7">
        <v>14300</v>
      </c>
      <c r="G578" s="34">
        <v>226</v>
      </c>
      <c r="H578" s="35">
        <v>95</v>
      </c>
      <c r="I578" s="38">
        <f t="shared" si="8"/>
        <v>14375</v>
      </c>
    </row>
    <row r="579" spans="1:9" x14ac:dyDescent="0.2">
      <c r="A579" s="33">
        <v>44335</v>
      </c>
      <c r="B579" s="36">
        <v>14275</v>
      </c>
      <c r="C579" s="7">
        <v>14290</v>
      </c>
      <c r="D579" s="7">
        <v>14318</v>
      </c>
      <c r="E579" s="7">
        <v>14270</v>
      </c>
      <c r="F579" s="7">
        <v>14270</v>
      </c>
      <c r="G579" s="34">
        <v>162</v>
      </c>
      <c r="H579" s="35">
        <v>5</v>
      </c>
      <c r="I579" s="38">
        <f t="shared" si="8"/>
        <v>14282.5</v>
      </c>
    </row>
    <row r="580" spans="1:9" x14ac:dyDescent="0.2">
      <c r="A580" s="33">
        <v>44334</v>
      </c>
      <c r="B580" s="36">
        <v>14270</v>
      </c>
      <c r="C580" s="7">
        <v>14275</v>
      </c>
      <c r="D580" s="7">
        <v>14312</v>
      </c>
      <c r="E580" s="7">
        <v>14265</v>
      </c>
      <c r="F580" s="7">
        <v>14280</v>
      </c>
      <c r="G580" s="34">
        <v>218</v>
      </c>
      <c r="H580" s="35">
        <v>-10</v>
      </c>
      <c r="I580" s="38">
        <f t="shared" si="8"/>
        <v>14272.5</v>
      </c>
    </row>
    <row r="581" spans="1:9" x14ac:dyDescent="0.2">
      <c r="A581" s="33">
        <v>44333</v>
      </c>
      <c r="B581" s="36">
        <v>14280</v>
      </c>
      <c r="C581" s="7">
        <v>14285</v>
      </c>
      <c r="D581" s="7">
        <v>14290</v>
      </c>
      <c r="E581" s="7">
        <v>14200</v>
      </c>
      <c r="F581" s="7">
        <v>14200</v>
      </c>
      <c r="G581" s="34">
        <v>172</v>
      </c>
      <c r="H581" s="35">
        <v>85</v>
      </c>
      <c r="I581" s="38">
        <f t="shared" si="8"/>
        <v>14282.5</v>
      </c>
    </row>
    <row r="582" spans="1:9" x14ac:dyDescent="0.2">
      <c r="A582" s="33">
        <v>44330</v>
      </c>
      <c r="B582" s="36">
        <v>14195</v>
      </c>
      <c r="C582" s="7">
        <v>14200</v>
      </c>
      <c r="D582" s="7"/>
      <c r="E582" s="7"/>
      <c r="F582" s="7"/>
      <c r="G582" s="34"/>
      <c r="H582" s="35">
        <v>0</v>
      </c>
      <c r="I582" s="38">
        <f t="shared" si="8"/>
        <v>14197.5</v>
      </c>
    </row>
    <row r="583" spans="1:9" x14ac:dyDescent="0.2">
      <c r="A583" s="33">
        <v>44329</v>
      </c>
      <c r="B583" s="36">
        <v>14195</v>
      </c>
      <c r="C583" s="7">
        <v>14200</v>
      </c>
      <c r="D583" s="7"/>
      <c r="E583" s="7"/>
      <c r="F583" s="7"/>
      <c r="G583" s="34"/>
      <c r="H583" s="35">
        <v>0</v>
      </c>
      <c r="I583" s="38">
        <f t="shared" si="8"/>
        <v>14197.5</v>
      </c>
    </row>
    <row r="584" spans="1:9" x14ac:dyDescent="0.2">
      <c r="A584" s="33">
        <v>44328</v>
      </c>
      <c r="B584" s="36">
        <v>14195</v>
      </c>
      <c r="C584" s="7">
        <v>14200</v>
      </c>
      <c r="D584" s="7"/>
      <c r="E584" s="7"/>
      <c r="F584" s="7"/>
      <c r="G584" s="34"/>
      <c r="H584" s="35">
        <v>0</v>
      </c>
      <c r="I584" s="38">
        <f t="shared" si="8"/>
        <v>14197.5</v>
      </c>
    </row>
    <row r="585" spans="1:9" x14ac:dyDescent="0.2">
      <c r="A585" s="33">
        <v>44327</v>
      </c>
      <c r="B585" s="36">
        <v>14195</v>
      </c>
      <c r="C585" s="7">
        <v>14200</v>
      </c>
      <c r="D585" s="7">
        <v>14210</v>
      </c>
      <c r="E585" s="7">
        <v>14180</v>
      </c>
      <c r="F585" s="7">
        <v>14180</v>
      </c>
      <c r="G585" s="34">
        <v>160</v>
      </c>
      <c r="H585" s="35">
        <v>0</v>
      </c>
      <c r="I585" s="38">
        <f t="shared" si="8"/>
        <v>14197.5</v>
      </c>
    </row>
    <row r="586" spans="1:9" x14ac:dyDescent="0.2">
      <c r="A586" s="33">
        <v>44326</v>
      </c>
      <c r="B586" s="36">
        <v>14195</v>
      </c>
      <c r="C586" s="7">
        <v>14200</v>
      </c>
      <c r="D586" s="7">
        <v>14210</v>
      </c>
      <c r="E586" s="7">
        <v>14120</v>
      </c>
      <c r="F586" s="7">
        <v>14120</v>
      </c>
      <c r="G586" s="34">
        <v>155</v>
      </c>
      <c r="H586" s="35">
        <v>-85</v>
      </c>
      <c r="I586" s="38">
        <f t="shared" si="8"/>
        <v>14197.5</v>
      </c>
    </row>
    <row r="587" spans="1:9" x14ac:dyDescent="0.2">
      <c r="A587" s="33">
        <v>44323</v>
      </c>
      <c r="B587" s="36">
        <v>14280</v>
      </c>
      <c r="C587" s="7">
        <v>14290</v>
      </c>
      <c r="D587" s="7">
        <v>14305</v>
      </c>
      <c r="E587" s="7">
        <v>14244</v>
      </c>
      <c r="F587" s="7">
        <v>14250</v>
      </c>
      <c r="G587" s="34">
        <v>160</v>
      </c>
      <c r="H587" s="35">
        <v>-35</v>
      </c>
      <c r="I587" s="38">
        <f t="shared" si="8"/>
        <v>14285</v>
      </c>
    </row>
    <row r="588" spans="1:9" x14ac:dyDescent="0.2">
      <c r="A588" s="33">
        <v>44322</v>
      </c>
      <c r="B588" s="36">
        <v>14315</v>
      </c>
      <c r="C588" s="7">
        <v>14323</v>
      </c>
      <c r="D588" s="7">
        <v>14420</v>
      </c>
      <c r="E588" s="7">
        <v>14310</v>
      </c>
      <c r="F588" s="7">
        <v>14400</v>
      </c>
      <c r="G588" s="34">
        <v>242</v>
      </c>
      <c r="H588" s="35">
        <v>-115</v>
      </c>
      <c r="I588" s="38">
        <f t="shared" si="8"/>
        <v>14319</v>
      </c>
    </row>
    <row r="589" spans="1:9" x14ac:dyDescent="0.2">
      <c r="A589" s="33">
        <v>44321</v>
      </c>
      <c r="B589" s="36">
        <v>14430</v>
      </c>
      <c r="C589" s="7">
        <v>14440</v>
      </c>
      <c r="D589" s="7">
        <v>14445</v>
      </c>
      <c r="E589" s="7">
        <v>14423</v>
      </c>
      <c r="F589" s="7">
        <v>14430</v>
      </c>
      <c r="G589" s="34">
        <v>147</v>
      </c>
      <c r="H589" s="35">
        <v>5</v>
      </c>
      <c r="I589" s="38">
        <f t="shared" si="8"/>
        <v>14435</v>
      </c>
    </row>
    <row r="590" spans="1:9" x14ac:dyDescent="0.2">
      <c r="A590" s="33">
        <v>44320</v>
      </c>
      <c r="B590" s="36">
        <v>14425</v>
      </c>
      <c r="C590" s="7">
        <v>14435</v>
      </c>
      <c r="D590" s="7">
        <v>14445</v>
      </c>
      <c r="E590" s="7">
        <v>14405</v>
      </c>
      <c r="F590" s="7">
        <v>14435</v>
      </c>
      <c r="G590" s="34">
        <v>156</v>
      </c>
      <c r="H590" s="35">
        <v>-20</v>
      </c>
      <c r="I590" s="38">
        <f t="shared" si="8"/>
        <v>14430</v>
      </c>
    </row>
    <row r="591" spans="1:9" x14ac:dyDescent="0.2">
      <c r="A591" s="33">
        <v>44319</v>
      </c>
      <c r="B591" s="36">
        <v>14445</v>
      </c>
      <c r="C591" s="7">
        <v>14455</v>
      </c>
      <c r="D591" s="7">
        <v>14470</v>
      </c>
      <c r="E591" s="7">
        <v>14440</v>
      </c>
      <c r="F591" s="7">
        <v>14440</v>
      </c>
      <c r="G591" s="34">
        <v>109</v>
      </c>
      <c r="H591" s="35">
        <v>5</v>
      </c>
      <c r="I591" s="38">
        <f t="shared" si="8"/>
        <v>14450</v>
      </c>
    </row>
    <row r="592" spans="1:9" x14ac:dyDescent="0.2">
      <c r="A592" s="33">
        <v>44316</v>
      </c>
      <c r="B592" s="36">
        <v>14440</v>
      </c>
      <c r="C592" s="7">
        <v>14450</v>
      </c>
      <c r="D592" s="7">
        <v>14455</v>
      </c>
      <c r="E592" s="7">
        <v>14400</v>
      </c>
      <c r="F592" s="7">
        <v>14400</v>
      </c>
      <c r="G592" s="34">
        <v>118</v>
      </c>
      <c r="H592" s="35">
        <v>-5</v>
      </c>
      <c r="I592" s="38">
        <f t="shared" si="8"/>
        <v>14445</v>
      </c>
    </row>
    <row r="593" spans="1:9" x14ac:dyDescent="0.2">
      <c r="A593" s="33">
        <v>44315</v>
      </c>
      <c r="B593" s="36">
        <v>14445</v>
      </c>
      <c r="C593" s="7">
        <v>14455</v>
      </c>
      <c r="D593" s="7">
        <v>14470</v>
      </c>
      <c r="E593" s="7">
        <v>14400</v>
      </c>
      <c r="F593" s="7">
        <v>14400</v>
      </c>
      <c r="G593" s="34">
        <v>130</v>
      </c>
      <c r="H593" s="35">
        <v>-50</v>
      </c>
      <c r="I593" s="38">
        <f t="shared" si="8"/>
        <v>14450</v>
      </c>
    </row>
    <row r="594" spans="1:9" x14ac:dyDescent="0.2">
      <c r="A594" s="33">
        <v>44314</v>
      </c>
      <c r="B594" s="36">
        <v>14495</v>
      </c>
      <c r="C594" s="7">
        <v>14505</v>
      </c>
      <c r="D594" s="7">
        <v>14520</v>
      </c>
      <c r="E594" s="7">
        <v>14480</v>
      </c>
      <c r="F594" s="7">
        <v>14480</v>
      </c>
      <c r="G594" s="34">
        <v>130</v>
      </c>
      <c r="H594" s="35">
        <v>15</v>
      </c>
      <c r="I594" s="38">
        <f t="shared" si="8"/>
        <v>14500</v>
      </c>
    </row>
    <row r="595" spans="1:9" x14ac:dyDescent="0.2">
      <c r="A595" s="33">
        <v>44313</v>
      </c>
      <c r="B595" s="36">
        <v>14480</v>
      </c>
      <c r="C595" s="7">
        <v>14490</v>
      </c>
      <c r="D595" s="7">
        <v>14507</v>
      </c>
      <c r="E595" s="7">
        <v>14470</v>
      </c>
      <c r="F595" s="7">
        <v>14480</v>
      </c>
      <c r="G595" s="34">
        <v>178</v>
      </c>
      <c r="H595" s="35">
        <v>0</v>
      </c>
      <c r="I595" s="38">
        <f t="shared" si="8"/>
        <v>14485</v>
      </c>
    </row>
    <row r="596" spans="1:9" x14ac:dyDescent="0.2">
      <c r="A596" s="33">
        <v>44312</v>
      </c>
      <c r="B596" s="36">
        <v>14480</v>
      </c>
      <c r="C596" s="7">
        <v>14490</v>
      </c>
      <c r="D596" s="7">
        <v>14500</v>
      </c>
      <c r="E596" s="7">
        <v>14470</v>
      </c>
      <c r="F596" s="7">
        <v>14500</v>
      </c>
      <c r="G596" s="34">
        <v>139</v>
      </c>
      <c r="H596" s="35">
        <v>-40</v>
      </c>
      <c r="I596" s="38">
        <f t="shared" si="8"/>
        <v>14485</v>
      </c>
    </row>
    <row r="597" spans="1:9" x14ac:dyDescent="0.2">
      <c r="A597" s="33">
        <v>44309</v>
      </c>
      <c r="B597" s="36">
        <v>14520</v>
      </c>
      <c r="C597" s="7">
        <v>14530</v>
      </c>
      <c r="D597" s="7">
        <v>14550</v>
      </c>
      <c r="E597" s="7">
        <v>14510</v>
      </c>
      <c r="F597" s="7">
        <v>14510</v>
      </c>
      <c r="G597" s="34">
        <v>110</v>
      </c>
      <c r="H597" s="35">
        <v>5</v>
      </c>
      <c r="I597" s="38">
        <f t="shared" si="8"/>
        <v>14525</v>
      </c>
    </row>
    <row r="598" spans="1:9" x14ac:dyDescent="0.2">
      <c r="A598" s="33">
        <v>44308</v>
      </c>
      <c r="B598" s="36">
        <v>14515</v>
      </c>
      <c r="C598" s="7">
        <v>14525</v>
      </c>
      <c r="D598" s="7">
        <v>14530</v>
      </c>
      <c r="E598" s="7">
        <v>14500</v>
      </c>
      <c r="F598" s="7">
        <v>14500</v>
      </c>
      <c r="G598" s="34">
        <v>100</v>
      </c>
      <c r="H598" s="35">
        <v>-10</v>
      </c>
      <c r="I598" s="38">
        <f t="shared" si="8"/>
        <v>14520</v>
      </c>
    </row>
    <row r="599" spans="1:9" x14ac:dyDescent="0.2">
      <c r="A599" s="33">
        <v>44307</v>
      </c>
      <c r="B599" s="36">
        <v>14525</v>
      </c>
      <c r="C599" s="7">
        <v>14535</v>
      </c>
      <c r="D599" s="7">
        <v>14542</v>
      </c>
      <c r="E599" s="7">
        <v>14495</v>
      </c>
      <c r="F599" s="7">
        <v>14500</v>
      </c>
      <c r="G599" s="34">
        <v>86</v>
      </c>
      <c r="H599" s="35">
        <v>30</v>
      </c>
      <c r="I599" s="38">
        <f t="shared" si="8"/>
        <v>14530</v>
      </c>
    </row>
    <row r="600" spans="1:9" x14ac:dyDescent="0.2">
      <c r="A600" s="33">
        <v>44306</v>
      </c>
      <c r="B600" s="36">
        <v>14495</v>
      </c>
      <c r="C600" s="7">
        <v>14500</v>
      </c>
      <c r="D600" s="7">
        <v>14520</v>
      </c>
      <c r="E600" s="7">
        <v>14480</v>
      </c>
      <c r="F600" s="7">
        <v>14480</v>
      </c>
      <c r="G600" s="34">
        <v>161</v>
      </c>
      <c r="H600" s="35">
        <v>-50</v>
      </c>
      <c r="I600" s="38">
        <f t="shared" si="8"/>
        <v>14497.5</v>
      </c>
    </row>
    <row r="601" spans="1:9" x14ac:dyDescent="0.2">
      <c r="A601" s="33">
        <v>44305</v>
      </c>
      <c r="B601" s="36">
        <v>14545</v>
      </c>
      <c r="C601" s="7">
        <v>14550</v>
      </c>
      <c r="D601" s="7">
        <v>14560</v>
      </c>
      <c r="E601" s="7">
        <v>14500</v>
      </c>
      <c r="F601" s="7">
        <v>14500</v>
      </c>
      <c r="G601" s="34">
        <v>74</v>
      </c>
      <c r="H601" s="35">
        <v>-15</v>
      </c>
      <c r="I601" s="38">
        <f t="shared" si="8"/>
        <v>14547.5</v>
      </c>
    </row>
    <row r="602" spans="1:9" x14ac:dyDescent="0.2">
      <c r="A602" s="33">
        <v>44302</v>
      </c>
      <c r="B602" s="36">
        <v>14560</v>
      </c>
      <c r="C602" s="7">
        <v>14570</v>
      </c>
      <c r="D602" s="7">
        <v>14620</v>
      </c>
      <c r="E602" s="7">
        <v>14545</v>
      </c>
      <c r="F602" s="7">
        <v>14600</v>
      </c>
      <c r="G602" s="34">
        <v>118</v>
      </c>
      <c r="H602" s="35">
        <v>-40</v>
      </c>
      <c r="I602" s="38">
        <f t="shared" si="8"/>
        <v>14565</v>
      </c>
    </row>
    <row r="603" spans="1:9" x14ac:dyDescent="0.2">
      <c r="A603" s="33">
        <v>44301</v>
      </c>
      <c r="B603" s="36">
        <v>14600</v>
      </c>
      <c r="C603" s="7">
        <v>14620</v>
      </c>
      <c r="D603" s="7">
        <v>14610</v>
      </c>
      <c r="E603" s="7">
        <v>14580</v>
      </c>
      <c r="F603" s="7">
        <v>14600</v>
      </c>
      <c r="G603" s="34">
        <v>87</v>
      </c>
      <c r="H603" s="35">
        <v>0</v>
      </c>
      <c r="I603" s="38">
        <f t="shared" si="8"/>
        <v>14610</v>
      </c>
    </row>
    <row r="604" spans="1:9" x14ac:dyDescent="0.2">
      <c r="A604" s="33">
        <v>44300</v>
      </c>
      <c r="B604" s="36">
        <v>14600</v>
      </c>
      <c r="C604" s="7">
        <v>14605</v>
      </c>
      <c r="D604" s="7">
        <v>14600</v>
      </c>
      <c r="E604" s="7">
        <v>14580</v>
      </c>
      <c r="F604" s="7">
        <v>14600</v>
      </c>
      <c r="G604" s="34">
        <v>78</v>
      </c>
      <c r="H604" s="35">
        <v>0</v>
      </c>
      <c r="I604" s="38">
        <f t="shared" si="8"/>
        <v>14602.5</v>
      </c>
    </row>
    <row r="605" spans="1:9" x14ac:dyDescent="0.2">
      <c r="A605" s="33">
        <v>44299</v>
      </c>
      <c r="B605" s="36">
        <v>14600</v>
      </c>
      <c r="C605" s="7">
        <v>14610</v>
      </c>
      <c r="D605" s="7">
        <v>14600</v>
      </c>
      <c r="E605" s="7">
        <v>14580</v>
      </c>
      <c r="F605" s="7">
        <v>14590</v>
      </c>
      <c r="G605" s="34">
        <v>115</v>
      </c>
      <c r="H605" s="35">
        <v>10</v>
      </c>
      <c r="I605" s="38">
        <f t="shared" si="8"/>
        <v>14605</v>
      </c>
    </row>
    <row r="606" spans="1:9" x14ac:dyDescent="0.2">
      <c r="A606" s="33">
        <v>44298</v>
      </c>
      <c r="B606" s="36">
        <v>14590</v>
      </c>
      <c r="C606" s="7">
        <v>14600</v>
      </c>
      <c r="D606" s="7">
        <v>14620</v>
      </c>
      <c r="E606" s="7">
        <v>14560</v>
      </c>
      <c r="F606" s="7">
        <v>14560</v>
      </c>
      <c r="G606" s="34">
        <v>93</v>
      </c>
      <c r="H606" s="35">
        <v>30</v>
      </c>
      <c r="I606" s="38">
        <f t="shared" si="8"/>
        <v>14595</v>
      </c>
    </row>
    <row r="607" spans="1:9" x14ac:dyDescent="0.2">
      <c r="A607" s="33">
        <v>44295</v>
      </c>
      <c r="B607" s="36">
        <v>14560</v>
      </c>
      <c r="C607" s="7">
        <v>14570</v>
      </c>
      <c r="D607" s="7">
        <v>14580</v>
      </c>
      <c r="E607" s="7">
        <v>14530</v>
      </c>
      <c r="F607" s="7">
        <v>14530</v>
      </c>
      <c r="G607" s="34">
        <v>101</v>
      </c>
      <c r="H607" s="35">
        <v>30</v>
      </c>
      <c r="I607" s="38">
        <f t="shared" si="8"/>
        <v>14565</v>
      </c>
    </row>
    <row r="608" spans="1:9" x14ac:dyDescent="0.2">
      <c r="A608" s="33">
        <v>44294</v>
      </c>
      <c r="B608" s="36">
        <v>14530</v>
      </c>
      <c r="C608" s="7">
        <v>14540</v>
      </c>
      <c r="D608" s="7">
        <v>14565</v>
      </c>
      <c r="E608" s="7">
        <v>14500</v>
      </c>
      <c r="F608" s="7">
        <v>14500</v>
      </c>
      <c r="G608" s="34">
        <v>94</v>
      </c>
      <c r="H608" s="35">
        <v>40</v>
      </c>
      <c r="I608" s="38">
        <f t="shared" ref="I608:I671" si="9">+(B608+C608)*0.5</f>
        <v>14535</v>
      </c>
    </row>
    <row r="609" spans="1:9" x14ac:dyDescent="0.2">
      <c r="A609" s="33">
        <v>44293</v>
      </c>
      <c r="B609" s="36">
        <v>14490</v>
      </c>
      <c r="C609" s="7">
        <v>14500</v>
      </c>
      <c r="D609" s="7">
        <v>14505</v>
      </c>
      <c r="E609" s="7">
        <v>14450</v>
      </c>
      <c r="F609" s="7">
        <v>14450</v>
      </c>
      <c r="G609" s="34">
        <v>47</v>
      </c>
      <c r="H609" s="35">
        <v>-10</v>
      </c>
      <c r="I609" s="38">
        <f t="shared" si="9"/>
        <v>14495</v>
      </c>
    </row>
    <row r="610" spans="1:9" x14ac:dyDescent="0.2">
      <c r="A610" s="33">
        <v>44292</v>
      </c>
      <c r="B610" s="36">
        <v>14500</v>
      </c>
      <c r="C610" s="7">
        <v>14510</v>
      </c>
      <c r="D610" s="7">
        <v>14520</v>
      </c>
      <c r="E610" s="7">
        <v>14480</v>
      </c>
      <c r="F610" s="7">
        <v>14480</v>
      </c>
      <c r="G610" s="34">
        <v>90</v>
      </c>
      <c r="H610" s="35">
        <v>-10</v>
      </c>
      <c r="I610" s="38">
        <f t="shared" si="9"/>
        <v>14505</v>
      </c>
    </row>
    <row r="611" spans="1:9" x14ac:dyDescent="0.2">
      <c r="A611" s="33">
        <v>44291</v>
      </c>
      <c r="B611" s="36">
        <v>14510</v>
      </c>
      <c r="C611" s="7">
        <v>14520</v>
      </c>
      <c r="D611" s="7">
        <v>14530</v>
      </c>
      <c r="E611" s="7">
        <v>14500</v>
      </c>
      <c r="F611" s="7">
        <v>14510</v>
      </c>
      <c r="G611" s="34">
        <v>45</v>
      </c>
      <c r="H611" s="35">
        <v>-10</v>
      </c>
      <c r="I611" s="38">
        <f t="shared" si="9"/>
        <v>14515</v>
      </c>
    </row>
    <row r="612" spans="1:9" x14ac:dyDescent="0.2">
      <c r="A612" s="33">
        <v>44288</v>
      </c>
      <c r="B612" s="36">
        <v>14520</v>
      </c>
      <c r="C612" s="7">
        <v>14530</v>
      </c>
      <c r="D612" s="7"/>
      <c r="E612" s="7"/>
      <c r="F612" s="7"/>
      <c r="G612" s="34"/>
      <c r="H612" s="35">
        <v>0</v>
      </c>
      <c r="I612" s="38">
        <f t="shared" si="9"/>
        <v>14525</v>
      </c>
    </row>
    <row r="613" spans="1:9" x14ac:dyDescent="0.2">
      <c r="A613" s="33">
        <v>44287</v>
      </c>
      <c r="B613" s="36">
        <v>14520</v>
      </c>
      <c r="C613" s="7">
        <v>14530</v>
      </c>
      <c r="D613" s="7">
        <v>14589</v>
      </c>
      <c r="E613" s="7">
        <v>14520</v>
      </c>
      <c r="F613" s="7">
        <v>14520</v>
      </c>
      <c r="G613" s="34">
        <v>79</v>
      </c>
      <c r="H613" s="35">
        <v>0</v>
      </c>
      <c r="I613" s="38">
        <f t="shared" si="9"/>
        <v>14525</v>
      </c>
    </row>
    <row r="614" spans="1:9" x14ac:dyDescent="0.2">
      <c r="A614" s="33">
        <v>44286</v>
      </c>
      <c r="B614" s="36">
        <v>14520</v>
      </c>
      <c r="C614" s="7">
        <v>14530</v>
      </c>
      <c r="D614" s="7">
        <v>14564</v>
      </c>
      <c r="E614" s="7">
        <v>14470</v>
      </c>
      <c r="F614" s="7">
        <v>14470</v>
      </c>
      <c r="G614" s="34">
        <v>114</v>
      </c>
      <c r="H614" s="35">
        <v>50</v>
      </c>
      <c r="I614" s="38">
        <f t="shared" si="9"/>
        <v>14525</v>
      </c>
    </row>
    <row r="615" spans="1:9" x14ac:dyDescent="0.2">
      <c r="A615" s="33">
        <v>44285</v>
      </c>
      <c r="B615" s="36">
        <v>14470</v>
      </c>
      <c r="C615" s="7">
        <v>14490</v>
      </c>
      <c r="D615" s="7">
        <v>14480</v>
      </c>
      <c r="E615" s="7">
        <v>14440</v>
      </c>
      <c r="F615" s="7">
        <v>14440</v>
      </c>
      <c r="G615" s="34">
        <v>85</v>
      </c>
      <c r="H615" s="35">
        <v>30</v>
      </c>
      <c r="I615" s="38">
        <f t="shared" si="9"/>
        <v>14480</v>
      </c>
    </row>
    <row r="616" spans="1:9" x14ac:dyDescent="0.2">
      <c r="A616" s="33">
        <v>44284</v>
      </c>
      <c r="B616" s="36">
        <v>14440</v>
      </c>
      <c r="C616" s="7">
        <v>14450</v>
      </c>
      <c r="D616" s="7">
        <v>14445</v>
      </c>
      <c r="E616" s="7">
        <v>14410</v>
      </c>
      <c r="F616" s="7">
        <v>14410</v>
      </c>
      <c r="G616" s="34">
        <v>74</v>
      </c>
      <c r="H616" s="35">
        <v>30</v>
      </c>
      <c r="I616" s="38">
        <f t="shared" si="9"/>
        <v>14445</v>
      </c>
    </row>
    <row r="617" spans="1:9" x14ac:dyDescent="0.2">
      <c r="A617" s="33">
        <v>44281</v>
      </c>
      <c r="B617" s="36">
        <v>14410</v>
      </c>
      <c r="C617" s="7">
        <v>14425</v>
      </c>
      <c r="D617" s="7">
        <v>14446</v>
      </c>
      <c r="E617" s="7">
        <v>14410</v>
      </c>
      <c r="F617" s="7">
        <v>14420</v>
      </c>
      <c r="G617" s="34">
        <v>133</v>
      </c>
      <c r="H617" s="35">
        <v>-10</v>
      </c>
      <c r="I617" s="38">
        <f t="shared" si="9"/>
        <v>14417.5</v>
      </c>
    </row>
    <row r="618" spans="1:9" x14ac:dyDescent="0.2">
      <c r="A618" s="33">
        <v>44280</v>
      </c>
      <c r="B618" s="36">
        <v>14420</v>
      </c>
      <c r="C618" s="7">
        <v>14430</v>
      </c>
      <c r="D618" s="7">
        <v>14455</v>
      </c>
      <c r="E618" s="7">
        <v>14420</v>
      </c>
      <c r="F618" s="7">
        <v>14420</v>
      </c>
      <c r="G618" s="34">
        <v>103</v>
      </c>
      <c r="H618" s="35">
        <v>0</v>
      </c>
      <c r="I618" s="38">
        <f t="shared" si="9"/>
        <v>14425</v>
      </c>
    </row>
    <row r="619" spans="1:9" x14ac:dyDescent="0.2">
      <c r="A619" s="33">
        <v>44279</v>
      </c>
      <c r="B619" s="36">
        <v>14420</v>
      </c>
      <c r="C619" s="7">
        <v>14430</v>
      </c>
      <c r="D619" s="7">
        <v>14450</v>
      </c>
      <c r="E619" s="7">
        <v>14390</v>
      </c>
      <c r="F619" s="7">
        <v>14390</v>
      </c>
      <c r="G619" s="34">
        <v>67</v>
      </c>
      <c r="H619" s="35">
        <v>30</v>
      </c>
      <c r="I619" s="38">
        <f t="shared" si="9"/>
        <v>14425</v>
      </c>
    </row>
    <row r="620" spans="1:9" x14ac:dyDescent="0.2">
      <c r="A620" s="33">
        <v>44278</v>
      </c>
      <c r="B620" s="36">
        <v>14390</v>
      </c>
      <c r="C620" s="7">
        <v>14400</v>
      </c>
      <c r="D620" s="7">
        <v>14420</v>
      </c>
      <c r="E620" s="7">
        <v>14380</v>
      </c>
      <c r="F620" s="7">
        <v>14380</v>
      </c>
      <c r="G620" s="34">
        <v>75</v>
      </c>
      <c r="H620" s="35">
        <v>-10</v>
      </c>
      <c r="I620" s="38">
        <f t="shared" si="9"/>
        <v>14395</v>
      </c>
    </row>
    <row r="621" spans="1:9" x14ac:dyDescent="0.2">
      <c r="A621" s="33">
        <v>44277</v>
      </c>
      <c r="B621" s="36">
        <v>14400</v>
      </c>
      <c r="C621" s="7">
        <v>14405</v>
      </c>
      <c r="D621" s="7">
        <v>14440</v>
      </c>
      <c r="E621" s="7">
        <v>14389</v>
      </c>
      <c r="F621" s="7">
        <v>14400</v>
      </c>
      <c r="G621" s="34">
        <v>113</v>
      </c>
      <c r="H621" s="35">
        <v>0</v>
      </c>
      <c r="I621" s="38">
        <f t="shared" si="9"/>
        <v>14402.5</v>
      </c>
    </row>
    <row r="622" spans="1:9" x14ac:dyDescent="0.2">
      <c r="A622" s="33">
        <v>44274</v>
      </c>
      <c r="B622" s="36">
        <v>14400</v>
      </c>
      <c r="C622" s="7">
        <v>14410</v>
      </c>
      <c r="D622" s="7">
        <v>14460</v>
      </c>
      <c r="E622" s="7">
        <v>14390</v>
      </c>
      <c r="F622" s="7">
        <v>14390</v>
      </c>
      <c r="G622" s="34">
        <v>142</v>
      </c>
      <c r="H622" s="35">
        <v>10</v>
      </c>
      <c r="I622" s="38">
        <f t="shared" si="9"/>
        <v>14405</v>
      </c>
    </row>
    <row r="623" spans="1:9" x14ac:dyDescent="0.2">
      <c r="A623" s="33">
        <v>44273</v>
      </c>
      <c r="B623" s="36">
        <v>14390</v>
      </c>
      <c r="C623" s="7">
        <v>14430</v>
      </c>
      <c r="D623" s="7">
        <v>14400</v>
      </c>
      <c r="E623" s="7">
        <v>14350</v>
      </c>
      <c r="F623" s="7">
        <v>14350</v>
      </c>
      <c r="G623" s="34">
        <v>89</v>
      </c>
      <c r="H623" s="35">
        <v>-35</v>
      </c>
      <c r="I623" s="38">
        <f t="shared" si="9"/>
        <v>14410</v>
      </c>
    </row>
    <row r="624" spans="1:9" x14ac:dyDescent="0.2">
      <c r="A624" s="33">
        <v>44272</v>
      </c>
      <c r="B624" s="36">
        <v>14425</v>
      </c>
      <c r="C624" s="7">
        <v>14430</v>
      </c>
      <c r="D624" s="7">
        <v>14460</v>
      </c>
      <c r="E624" s="7">
        <v>14400</v>
      </c>
      <c r="F624" s="7">
        <v>14400</v>
      </c>
      <c r="G624" s="34">
        <v>99</v>
      </c>
      <c r="H624" s="35">
        <v>25</v>
      </c>
      <c r="I624" s="38">
        <f t="shared" si="9"/>
        <v>14427.5</v>
      </c>
    </row>
    <row r="625" spans="1:9" x14ac:dyDescent="0.2">
      <c r="A625" s="33">
        <v>44271</v>
      </c>
      <c r="B625" s="36">
        <v>14400</v>
      </c>
      <c r="C625" s="7">
        <v>14420</v>
      </c>
      <c r="D625" s="7">
        <v>14400</v>
      </c>
      <c r="E625" s="7">
        <v>14380</v>
      </c>
      <c r="F625" s="7">
        <v>14380</v>
      </c>
      <c r="G625" s="34">
        <v>77</v>
      </c>
      <c r="H625" s="35">
        <v>5</v>
      </c>
      <c r="I625" s="38">
        <f t="shared" si="9"/>
        <v>14410</v>
      </c>
    </row>
    <row r="626" spans="1:9" x14ac:dyDescent="0.2">
      <c r="A626" s="33">
        <v>44270</v>
      </c>
      <c r="B626" s="36">
        <v>14395</v>
      </c>
      <c r="C626" s="7">
        <v>14415</v>
      </c>
      <c r="D626" s="7">
        <v>14400</v>
      </c>
      <c r="E626" s="7">
        <v>14380</v>
      </c>
      <c r="F626" s="7">
        <v>14380</v>
      </c>
      <c r="G626" s="34">
        <v>73</v>
      </c>
      <c r="H626" s="35">
        <v>15</v>
      </c>
      <c r="I626" s="38">
        <f t="shared" si="9"/>
        <v>14405</v>
      </c>
    </row>
    <row r="627" spans="1:9" x14ac:dyDescent="0.2">
      <c r="A627" s="33">
        <v>44267</v>
      </c>
      <c r="B627" s="36">
        <v>14380</v>
      </c>
      <c r="C627" s="7">
        <v>14390</v>
      </c>
      <c r="D627" s="7">
        <v>14387</v>
      </c>
      <c r="E627" s="7">
        <v>14300</v>
      </c>
      <c r="F627" s="7">
        <v>14330</v>
      </c>
      <c r="G627" s="34">
        <v>104</v>
      </c>
      <c r="H627" s="35">
        <v>-15</v>
      </c>
      <c r="I627" s="38">
        <f t="shared" si="9"/>
        <v>14385</v>
      </c>
    </row>
    <row r="628" spans="1:9" x14ac:dyDescent="0.2">
      <c r="A628" s="33">
        <v>44266</v>
      </c>
      <c r="B628" s="36">
        <v>14395</v>
      </c>
      <c r="C628" s="7">
        <v>14415</v>
      </c>
      <c r="D628" s="7"/>
      <c r="E628" s="7"/>
      <c r="F628" s="7"/>
      <c r="G628" s="34"/>
      <c r="H628" s="35">
        <v>0</v>
      </c>
      <c r="I628" s="38">
        <f t="shared" si="9"/>
        <v>14405</v>
      </c>
    </row>
    <row r="629" spans="1:9" x14ac:dyDescent="0.2">
      <c r="A629" s="33">
        <v>44265</v>
      </c>
      <c r="B629" s="36">
        <v>14395</v>
      </c>
      <c r="C629" s="7">
        <v>14415</v>
      </c>
      <c r="D629" s="7">
        <v>14400</v>
      </c>
      <c r="E629" s="7">
        <v>14380</v>
      </c>
      <c r="F629" s="7">
        <v>14380</v>
      </c>
      <c r="G629" s="34">
        <v>46</v>
      </c>
      <c r="H629" s="35">
        <v>5</v>
      </c>
      <c r="I629" s="38">
        <f t="shared" si="9"/>
        <v>14405</v>
      </c>
    </row>
    <row r="630" spans="1:9" x14ac:dyDescent="0.2">
      <c r="A630" s="33">
        <v>44264</v>
      </c>
      <c r="B630" s="36">
        <v>14390</v>
      </c>
      <c r="C630" s="7">
        <v>14410</v>
      </c>
      <c r="D630" s="7">
        <v>14470</v>
      </c>
      <c r="E630" s="7">
        <v>14380</v>
      </c>
      <c r="F630" s="7">
        <v>14380</v>
      </c>
      <c r="G630" s="34">
        <v>101</v>
      </c>
      <c r="H630" s="35">
        <v>40</v>
      </c>
      <c r="I630" s="38">
        <f t="shared" si="9"/>
        <v>14400</v>
      </c>
    </row>
    <row r="631" spans="1:9" x14ac:dyDescent="0.2">
      <c r="A631" s="33">
        <v>44263</v>
      </c>
      <c r="B631" s="36">
        <v>14350</v>
      </c>
      <c r="C631" s="7">
        <v>14370</v>
      </c>
      <c r="D631" s="7">
        <v>14350</v>
      </c>
      <c r="E631" s="7">
        <v>14300</v>
      </c>
      <c r="F631" s="7">
        <v>14300</v>
      </c>
      <c r="G631" s="34">
        <v>78</v>
      </c>
      <c r="H631" s="35">
        <v>60</v>
      </c>
      <c r="I631" s="38">
        <f t="shared" si="9"/>
        <v>14360</v>
      </c>
    </row>
    <row r="632" spans="1:9" x14ac:dyDescent="0.2">
      <c r="A632" s="33">
        <v>44260</v>
      </c>
      <c r="B632" s="36">
        <v>14290</v>
      </c>
      <c r="C632" s="7">
        <v>14310</v>
      </c>
      <c r="D632" s="7">
        <v>14340</v>
      </c>
      <c r="E632" s="7">
        <v>14260</v>
      </c>
      <c r="F632" s="7">
        <v>14260</v>
      </c>
      <c r="G632" s="34">
        <v>92</v>
      </c>
      <c r="H632" s="35">
        <v>30</v>
      </c>
      <c r="I632" s="38">
        <f t="shared" si="9"/>
        <v>14300</v>
      </c>
    </row>
    <row r="633" spans="1:9" x14ac:dyDescent="0.2">
      <c r="A633" s="33">
        <v>44259</v>
      </c>
      <c r="B633" s="36">
        <v>14260</v>
      </c>
      <c r="C633" s="7">
        <v>14270</v>
      </c>
      <c r="D633" s="7">
        <v>14300</v>
      </c>
      <c r="E633" s="7">
        <v>14230</v>
      </c>
      <c r="F633" s="7">
        <v>14230</v>
      </c>
      <c r="G633" s="34">
        <v>125</v>
      </c>
      <c r="H633" s="35">
        <v>20</v>
      </c>
      <c r="I633" s="38">
        <f t="shared" si="9"/>
        <v>14265</v>
      </c>
    </row>
    <row r="634" spans="1:9" x14ac:dyDescent="0.2">
      <c r="A634" s="33">
        <v>44258</v>
      </c>
      <c r="B634" s="36">
        <v>14240</v>
      </c>
      <c r="C634" s="7">
        <v>14250</v>
      </c>
      <c r="D634" s="7">
        <v>14311</v>
      </c>
      <c r="E634" s="7">
        <v>14235</v>
      </c>
      <c r="F634" s="7">
        <v>14300</v>
      </c>
      <c r="G634" s="34">
        <v>139</v>
      </c>
      <c r="H634" s="35">
        <v>-60</v>
      </c>
      <c r="I634" s="38">
        <f t="shared" si="9"/>
        <v>14245</v>
      </c>
    </row>
    <row r="635" spans="1:9" x14ac:dyDescent="0.2">
      <c r="A635" s="33">
        <v>44257</v>
      </c>
      <c r="B635" s="36">
        <v>14300</v>
      </c>
      <c r="C635" s="7">
        <v>14350</v>
      </c>
      <c r="D635" s="7">
        <v>14300</v>
      </c>
      <c r="E635" s="7">
        <v>14240</v>
      </c>
      <c r="F635" s="7">
        <v>14250</v>
      </c>
      <c r="G635" s="34">
        <v>70</v>
      </c>
      <c r="H635" s="35">
        <v>50</v>
      </c>
      <c r="I635" s="38">
        <f t="shared" si="9"/>
        <v>14325</v>
      </c>
    </row>
    <row r="636" spans="1:9" x14ac:dyDescent="0.2">
      <c r="A636" s="33">
        <v>44256</v>
      </c>
      <c r="B636" s="36">
        <v>14250</v>
      </c>
      <c r="C636" s="7">
        <v>14260</v>
      </c>
      <c r="D636" s="7">
        <v>14295</v>
      </c>
      <c r="E636" s="7">
        <v>14220</v>
      </c>
      <c r="F636" s="7">
        <v>14220</v>
      </c>
      <c r="G636" s="34">
        <v>100</v>
      </c>
      <c r="H636" s="35">
        <v>10</v>
      </c>
      <c r="I636" s="38">
        <f t="shared" si="9"/>
        <v>14255</v>
      </c>
    </row>
    <row r="637" spans="1:9" x14ac:dyDescent="0.2">
      <c r="A637" s="33">
        <v>44253</v>
      </c>
      <c r="B637" s="36">
        <v>14240</v>
      </c>
      <c r="C637" s="7">
        <v>14280</v>
      </c>
      <c r="D637" s="7">
        <v>14240</v>
      </c>
      <c r="E637" s="7">
        <v>14090</v>
      </c>
      <c r="F637" s="7">
        <v>14090</v>
      </c>
      <c r="G637" s="34">
        <v>188</v>
      </c>
      <c r="H637" s="35">
        <v>160</v>
      </c>
      <c r="I637" s="38">
        <f t="shared" si="9"/>
        <v>14260</v>
      </c>
    </row>
    <row r="638" spans="1:9" x14ac:dyDescent="0.2">
      <c r="A638" s="33">
        <v>44252</v>
      </c>
      <c r="B638" s="36">
        <v>14080</v>
      </c>
      <c r="C638" s="7">
        <v>14085</v>
      </c>
      <c r="D638" s="7">
        <v>14105</v>
      </c>
      <c r="E638" s="7">
        <v>14075</v>
      </c>
      <c r="F638" s="7">
        <v>14080</v>
      </c>
      <c r="G638" s="34">
        <v>102</v>
      </c>
      <c r="H638" s="35">
        <v>0</v>
      </c>
      <c r="I638" s="38">
        <f t="shared" si="9"/>
        <v>14082.5</v>
      </c>
    </row>
    <row r="639" spans="1:9" x14ac:dyDescent="0.2">
      <c r="A639" s="33">
        <v>44251</v>
      </c>
      <c r="B639" s="36">
        <v>14080</v>
      </c>
      <c r="C639" s="7">
        <v>14090</v>
      </c>
      <c r="D639" s="7">
        <v>14086</v>
      </c>
      <c r="E639" s="7">
        <v>14050</v>
      </c>
      <c r="F639" s="7">
        <v>14050</v>
      </c>
      <c r="G639" s="34">
        <v>131</v>
      </c>
      <c r="H639" s="35">
        <v>-10</v>
      </c>
      <c r="I639" s="38">
        <f t="shared" si="9"/>
        <v>14085</v>
      </c>
    </row>
    <row r="640" spans="1:9" x14ac:dyDescent="0.2">
      <c r="A640" s="33">
        <v>44250</v>
      </c>
      <c r="B640" s="36">
        <v>14090</v>
      </c>
      <c r="C640" s="7">
        <v>14095</v>
      </c>
      <c r="D640" s="7">
        <v>14120</v>
      </c>
      <c r="E640" s="7">
        <v>14090</v>
      </c>
      <c r="F640" s="7">
        <v>14100</v>
      </c>
      <c r="G640" s="34">
        <v>110</v>
      </c>
      <c r="H640" s="35">
        <v>-20</v>
      </c>
      <c r="I640" s="38">
        <f t="shared" si="9"/>
        <v>14092.5</v>
      </c>
    </row>
    <row r="641" spans="1:9" x14ac:dyDescent="0.2">
      <c r="A641" s="33">
        <v>44249</v>
      </c>
      <c r="B641" s="36">
        <v>14110</v>
      </c>
      <c r="C641" s="7">
        <v>14120</v>
      </c>
      <c r="D641" s="7">
        <v>14120</v>
      </c>
      <c r="E641" s="7">
        <v>14060</v>
      </c>
      <c r="F641" s="7">
        <v>14060</v>
      </c>
      <c r="G641" s="34">
        <v>66</v>
      </c>
      <c r="H641" s="35">
        <v>50</v>
      </c>
      <c r="I641" s="38">
        <f t="shared" si="9"/>
        <v>14115</v>
      </c>
    </row>
    <row r="642" spans="1:9" x14ac:dyDescent="0.2">
      <c r="A642" s="33">
        <v>44246</v>
      </c>
      <c r="B642" s="36">
        <v>14060</v>
      </c>
      <c r="C642" s="7">
        <v>14070</v>
      </c>
      <c r="D642" s="7">
        <v>14086</v>
      </c>
      <c r="E642" s="7">
        <v>14030</v>
      </c>
      <c r="F642" s="7">
        <v>14030</v>
      </c>
      <c r="G642" s="34">
        <v>108</v>
      </c>
      <c r="H642" s="35">
        <v>50</v>
      </c>
      <c r="I642" s="38">
        <f t="shared" si="9"/>
        <v>14065</v>
      </c>
    </row>
    <row r="643" spans="1:9" x14ac:dyDescent="0.2">
      <c r="A643" s="33">
        <v>44245</v>
      </c>
      <c r="B643" s="36">
        <v>14010</v>
      </c>
      <c r="C643" s="7">
        <v>14040</v>
      </c>
      <c r="D643" s="7">
        <v>14042</v>
      </c>
      <c r="E643" s="7">
        <v>14010</v>
      </c>
      <c r="F643" s="7">
        <v>14010</v>
      </c>
      <c r="G643" s="34">
        <v>80</v>
      </c>
      <c r="H643" s="35">
        <v>0</v>
      </c>
      <c r="I643" s="38">
        <f t="shared" si="9"/>
        <v>14025</v>
      </c>
    </row>
    <row r="644" spans="1:9" x14ac:dyDescent="0.2">
      <c r="A644" s="33">
        <v>44244</v>
      </c>
      <c r="B644" s="36">
        <v>14010</v>
      </c>
      <c r="C644" s="7">
        <v>14030</v>
      </c>
      <c r="D644" s="7">
        <v>14022</v>
      </c>
      <c r="E644" s="7">
        <v>13950</v>
      </c>
      <c r="F644" s="7">
        <v>13950</v>
      </c>
      <c r="G644" s="34">
        <v>84</v>
      </c>
      <c r="H644" s="35">
        <v>90</v>
      </c>
      <c r="I644" s="38">
        <f t="shared" si="9"/>
        <v>14020</v>
      </c>
    </row>
    <row r="645" spans="1:9" x14ac:dyDescent="0.2">
      <c r="A645" s="33">
        <v>44243</v>
      </c>
      <c r="B645" s="36">
        <v>13920</v>
      </c>
      <c r="C645" s="7">
        <v>13930</v>
      </c>
      <c r="D645" s="7">
        <v>13935</v>
      </c>
      <c r="E645" s="7">
        <v>13861</v>
      </c>
      <c r="F645" s="7">
        <v>13890</v>
      </c>
      <c r="G645" s="34">
        <v>102</v>
      </c>
      <c r="H645" s="35">
        <v>10</v>
      </c>
      <c r="I645" s="38">
        <f t="shared" si="9"/>
        <v>13925</v>
      </c>
    </row>
    <row r="646" spans="1:9" x14ac:dyDescent="0.2">
      <c r="A646" s="33">
        <v>44242</v>
      </c>
      <c r="B646" s="36">
        <v>13910</v>
      </c>
      <c r="C646" s="7">
        <v>13918</v>
      </c>
      <c r="D646" s="7">
        <v>13950</v>
      </c>
      <c r="E646" s="7">
        <v>13890</v>
      </c>
      <c r="F646" s="7">
        <v>13950</v>
      </c>
      <c r="G646" s="34">
        <v>88</v>
      </c>
      <c r="H646" s="35">
        <v>-60</v>
      </c>
      <c r="I646" s="38">
        <f t="shared" si="9"/>
        <v>13914</v>
      </c>
    </row>
    <row r="647" spans="1:9" x14ac:dyDescent="0.2">
      <c r="A647" s="33">
        <v>44239</v>
      </c>
      <c r="B647" s="36">
        <v>13970</v>
      </c>
      <c r="C647" s="7">
        <v>13975</v>
      </c>
      <c r="D647" s="7"/>
      <c r="E647" s="7"/>
      <c r="F647" s="7"/>
      <c r="G647" s="34"/>
      <c r="H647" s="35">
        <v>0</v>
      </c>
      <c r="I647" s="38">
        <f t="shared" si="9"/>
        <v>13972.5</v>
      </c>
    </row>
    <row r="648" spans="1:9" x14ac:dyDescent="0.2">
      <c r="A648" s="33">
        <v>44238</v>
      </c>
      <c r="B648" s="36">
        <v>13970</v>
      </c>
      <c r="C648" s="7">
        <v>13975</v>
      </c>
      <c r="D648" s="7">
        <v>13995</v>
      </c>
      <c r="E648" s="7">
        <v>13955</v>
      </c>
      <c r="F648" s="7">
        <v>13980</v>
      </c>
      <c r="G648" s="34">
        <v>74</v>
      </c>
      <c r="H648" s="35">
        <v>-10</v>
      </c>
      <c r="I648" s="38">
        <f t="shared" si="9"/>
        <v>13972.5</v>
      </c>
    </row>
    <row r="649" spans="1:9" x14ac:dyDescent="0.2">
      <c r="A649" s="33">
        <v>44237</v>
      </c>
      <c r="B649" s="36">
        <v>13980</v>
      </c>
      <c r="C649" s="7">
        <v>13985</v>
      </c>
      <c r="D649" s="7">
        <v>13990</v>
      </c>
      <c r="E649" s="7">
        <v>13962</v>
      </c>
      <c r="F649" s="7">
        <v>13990</v>
      </c>
      <c r="G649" s="34">
        <v>123</v>
      </c>
      <c r="H649" s="35">
        <v>-10</v>
      </c>
      <c r="I649" s="38">
        <f t="shared" si="9"/>
        <v>13982.5</v>
      </c>
    </row>
    <row r="650" spans="1:9" x14ac:dyDescent="0.2">
      <c r="A650" s="33">
        <v>44236</v>
      </c>
      <c r="B650" s="36">
        <v>13990</v>
      </c>
      <c r="C650" s="7">
        <v>14000</v>
      </c>
      <c r="D650" s="7">
        <v>13997</v>
      </c>
      <c r="E650" s="7">
        <v>13982</v>
      </c>
      <c r="F650" s="7">
        <v>13990</v>
      </c>
      <c r="G650" s="34">
        <v>73</v>
      </c>
      <c r="H650" s="35">
        <v>-5</v>
      </c>
      <c r="I650" s="38">
        <f t="shared" si="9"/>
        <v>13995</v>
      </c>
    </row>
    <row r="651" spans="1:9" x14ac:dyDescent="0.2">
      <c r="A651" s="33">
        <v>44235</v>
      </c>
      <c r="B651" s="36">
        <v>13995</v>
      </c>
      <c r="C651" s="7">
        <v>14005</v>
      </c>
      <c r="D651" s="7">
        <v>14007</v>
      </c>
      <c r="E651" s="7">
        <v>13979</v>
      </c>
      <c r="F651" s="7">
        <v>14000</v>
      </c>
      <c r="G651" s="34">
        <v>77</v>
      </c>
      <c r="H651" s="35">
        <v>-25</v>
      </c>
      <c r="I651" s="38">
        <f t="shared" si="9"/>
        <v>14000</v>
      </c>
    </row>
    <row r="652" spans="1:9" x14ac:dyDescent="0.2">
      <c r="A652" s="33">
        <v>44232</v>
      </c>
      <c r="B652" s="36">
        <v>14020</v>
      </c>
      <c r="C652" s="7">
        <v>14040</v>
      </c>
      <c r="D652" s="7">
        <v>14040</v>
      </c>
      <c r="E652" s="7">
        <v>14010</v>
      </c>
      <c r="F652" s="7">
        <v>14010</v>
      </c>
      <c r="G652" s="34">
        <v>73</v>
      </c>
      <c r="H652" s="35">
        <v>10</v>
      </c>
      <c r="I652" s="38">
        <f t="shared" si="9"/>
        <v>14030</v>
      </c>
    </row>
    <row r="653" spans="1:9" x14ac:dyDescent="0.2">
      <c r="A653" s="33">
        <v>44231</v>
      </c>
      <c r="B653" s="36">
        <v>14010</v>
      </c>
      <c r="C653" s="7">
        <v>14030</v>
      </c>
      <c r="D653" s="7">
        <v>14030</v>
      </c>
      <c r="E653" s="7">
        <v>13990</v>
      </c>
      <c r="F653" s="7">
        <v>14000</v>
      </c>
      <c r="G653" s="34">
        <v>64</v>
      </c>
      <c r="H653" s="35">
        <v>10</v>
      </c>
      <c r="I653" s="38">
        <f t="shared" si="9"/>
        <v>14020</v>
      </c>
    </row>
    <row r="654" spans="1:9" x14ac:dyDescent="0.2">
      <c r="A654" s="33">
        <v>44230</v>
      </c>
      <c r="B654" s="36">
        <v>14000</v>
      </c>
      <c r="C654" s="7">
        <v>14010</v>
      </c>
      <c r="D654" s="7">
        <v>14010</v>
      </c>
      <c r="E654" s="7">
        <v>13986</v>
      </c>
      <c r="F654" s="7">
        <v>14000</v>
      </c>
      <c r="G654" s="34">
        <v>84</v>
      </c>
      <c r="H654" s="35">
        <v>-20</v>
      </c>
      <c r="I654" s="38">
        <f t="shared" si="9"/>
        <v>14005</v>
      </c>
    </row>
    <row r="655" spans="1:9" x14ac:dyDescent="0.2">
      <c r="A655" s="33">
        <v>44229</v>
      </c>
      <c r="B655" s="36">
        <v>14020</v>
      </c>
      <c r="C655" s="7">
        <v>14030</v>
      </c>
      <c r="D655" s="7">
        <v>14039</v>
      </c>
      <c r="E655" s="7">
        <v>14010</v>
      </c>
      <c r="F655" s="7">
        <v>14020</v>
      </c>
      <c r="G655" s="34">
        <v>62</v>
      </c>
      <c r="H655" s="35">
        <v>10</v>
      </c>
      <c r="I655" s="38">
        <f t="shared" si="9"/>
        <v>14025</v>
      </c>
    </row>
    <row r="656" spans="1:9" x14ac:dyDescent="0.2">
      <c r="A656" s="33">
        <v>44228</v>
      </c>
      <c r="B656" s="36">
        <v>14010</v>
      </c>
      <c r="C656" s="7">
        <v>14030</v>
      </c>
      <c r="D656" s="7">
        <v>14035</v>
      </c>
      <c r="E656" s="7">
        <v>14000</v>
      </c>
      <c r="F656" s="7">
        <v>14010</v>
      </c>
      <c r="G656" s="34">
        <v>108</v>
      </c>
      <c r="H656" s="35">
        <v>-10</v>
      </c>
      <c r="I656" s="38">
        <f t="shared" si="9"/>
        <v>14020</v>
      </c>
    </row>
    <row r="657" spans="1:9" x14ac:dyDescent="0.2">
      <c r="A657" s="33">
        <v>44225</v>
      </c>
      <c r="B657" s="36">
        <v>14020</v>
      </c>
      <c r="C657" s="7">
        <v>14040</v>
      </c>
      <c r="D657" s="7">
        <v>14075</v>
      </c>
      <c r="E657" s="7">
        <v>14020</v>
      </c>
      <c r="F657" s="7">
        <v>14050</v>
      </c>
      <c r="G657" s="34">
        <v>42</v>
      </c>
      <c r="H657" s="35">
        <v>-30</v>
      </c>
      <c r="I657" s="38">
        <f t="shared" si="9"/>
        <v>14030</v>
      </c>
    </row>
    <row r="658" spans="1:9" x14ac:dyDescent="0.2">
      <c r="A658" s="33">
        <v>44224</v>
      </c>
      <c r="B658" s="36">
        <v>14050</v>
      </c>
      <c r="C658" s="7">
        <v>14090</v>
      </c>
      <c r="D658" s="7">
        <v>14115</v>
      </c>
      <c r="E658" s="7">
        <v>14020</v>
      </c>
      <c r="F658" s="7">
        <v>14040</v>
      </c>
      <c r="G658" s="34">
        <v>52</v>
      </c>
      <c r="H658" s="35">
        <v>15</v>
      </c>
      <c r="I658" s="38">
        <f t="shared" si="9"/>
        <v>14070</v>
      </c>
    </row>
    <row r="659" spans="1:9" x14ac:dyDescent="0.2">
      <c r="A659" s="33">
        <v>44223</v>
      </c>
      <c r="B659" s="36">
        <v>14035</v>
      </c>
      <c r="C659" s="7">
        <v>14065</v>
      </c>
      <c r="D659" s="7">
        <v>14068</v>
      </c>
      <c r="E659" s="7">
        <v>14025</v>
      </c>
      <c r="F659" s="7">
        <v>14040</v>
      </c>
      <c r="G659" s="34">
        <v>47</v>
      </c>
      <c r="H659" s="35">
        <v>-5</v>
      </c>
      <c r="I659" s="38">
        <f t="shared" si="9"/>
        <v>14050</v>
      </c>
    </row>
    <row r="660" spans="1:9" x14ac:dyDescent="0.2">
      <c r="A660" s="33">
        <v>44222</v>
      </c>
      <c r="B660" s="36">
        <v>14040</v>
      </c>
      <c r="C660" s="7">
        <v>14090</v>
      </c>
      <c r="D660" s="7">
        <v>14085</v>
      </c>
      <c r="E660" s="7">
        <v>14020</v>
      </c>
      <c r="F660" s="7">
        <v>14020</v>
      </c>
      <c r="G660" s="34">
        <v>34</v>
      </c>
      <c r="H660" s="35">
        <v>30</v>
      </c>
      <c r="I660" s="38">
        <f t="shared" si="9"/>
        <v>14065</v>
      </c>
    </row>
    <row r="661" spans="1:9" x14ac:dyDescent="0.2">
      <c r="A661" s="33">
        <v>44221</v>
      </c>
      <c r="B661" s="36">
        <v>14010</v>
      </c>
      <c r="C661" s="7">
        <v>14030</v>
      </c>
      <c r="D661" s="7">
        <v>14068</v>
      </c>
      <c r="E661" s="7">
        <v>14010</v>
      </c>
      <c r="F661" s="7">
        <v>14020</v>
      </c>
      <c r="G661" s="34">
        <v>48</v>
      </c>
      <c r="H661" s="35">
        <v>-10</v>
      </c>
      <c r="I661" s="38">
        <f t="shared" si="9"/>
        <v>14020</v>
      </c>
    </row>
    <row r="662" spans="1:9" x14ac:dyDescent="0.2">
      <c r="A662" s="33">
        <v>44218</v>
      </c>
      <c r="B662" s="36">
        <v>14020</v>
      </c>
      <c r="C662" s="7">
        <v>14050</v>
      </c>
      <c r="D662" s="7">
        <v>14047</v>
      </c>
      <c r="E662" s="7">
        <v>13980</v>
      </c>
      <c r="F662" s="7">
        <v>13980</v>
      </c>
      <c r="G662" s="34">
        <v>46</v>
      </c>
      <c r="H662" s="35">
        <v>40</v>
      </c>
      <c r="I662" s="38">
        <f t="shared" si="9"/>
        <v>14035</v>
      </c>
    </row>
    <row r="663" spans="1:9" x14ac:dyDescent="0.2">
      <c r="A663" s="33">
        <v>44217</v>
      </c>
      <c r="B663" s="36">
        <v>13980</v>
      </c>
      <c r="C663" s="7">
        <v>14020</v>
      </c>
      <c r="D663" s="7">
        <v>14025</v>
      </c>
      <c r="E663" s="7">
        <v>13980</v>
      </c>
      <c r="F663" s="7">
        <v>14000</v>
      </c>
      <c r="G663" s="34">
        <v>49</v>
      </c>
      <c r="H663" s="35">
        <v>-40</v>
      </c>
      <c r="I663" s="38">
        <f t="shared" si="9"/>
        <v>14000</v>
      </c>
    </row>
    <row r="664" spans="1:9" x14ac:dyDescent="0.2">
      <c r="A664" s="33">
        <v>44216</v>
      </c>
      <c r="B664" s="36">
        <v>14020</v>
      </c>
      <c r="C664" s="7">
        <v>14040</v>
      </c>
      <c r="D664" s="7">
        <v>14050</v>
      </c>
      <c r="E664" s="7">
        <v>14020</v>
      </c>
      <c r="F664" s="7">
        <v>14050</v>
      </c>
      <c r="G664" s="34">
        <v>56</v>
      </c>
      <c r="H664" s="35">
        <v>-30</v>
      </c>
      <c r="I664" s="38">
        <f t="shared" si="9"/>
        <v>14030</v>
      </c>
    </row>
    <row r="665" spans="1:9" x14ac:dyDescent="0.2">
      <c r="A665" s="33">
        <v>44215</v>
      </c>
      <c r="B665" s="36">
        <v>14050</v>
      </c>
      <c r="C665" s="7">
        <v>14080</v>
      </c>
      <c r="D665" s="7">
        <v>14080</v>
      </c>
      <c r="E665" s="7">
        <v>14030</v>
      </c>
      <c r="F665" s="7">
        <v>14060</v>
      </c>
      <c r="G665" s="34">
        <v>54</v>
      </c>
      <c r="H665" s="35">
        <v>-10</v>
      </c>
      <c r="I665" s="38">
        <f t="shared" si="9"/>
        <v>14065</v>
      </c>
    </row>
    <row r="666" spans="1:9" x14ac:dyDescent="0.2">
      <c r="A666" s="33">
        <v>44214</v>
      </c>
      <c r="B666" s="36">
        <v>14060</v>
      </c>
      <c r="C666" s="7">
        <v>14080</v>
      </c>
      <c r="D666" s="7">
        <v>14085</v>
      </c>
      <c r="E666" s="7">
        <v>14000</v>
      </c>
      <c r="F666" s="7">
        <v>14000</v>
      </c>
      <c r="G666" s="34">
        <v>73</v>
      </c>
      <c r="H666" s="35">
        <v>50</v>
      </c>
      <c r="I666" s="38">
        <f t="shared" si="9"/>
        <v>14070</v>
      </c>
    </row>
    <row r="667" spans="1:9" x14ac:dyDescent="0.2">
      <c r="A667" s="33">
        <v>44211</v>
      </c>
      <c r="B667" s="36">
        <v>14010</v>
      </c>
      <c r="C667" s="7">
        <v>14030</v>
      </c>
      <c r="D667" s="7">
        <v>14050</v>
      </c>
      <c r="E667" s="7">
        <v>13995</v>
      </c>
      <c r="F667" s="7">
        <v>14025</v>
      </c>
      <c r="G667" s="34">
        <v>48</v>
      </c>
      <c r="H667" s="35">
        <v>-40</v>
      </c>
      <c r="I667" s="38">
        <f t="shared" si="9"/>
        <v>14020</v>
      </c>
    </row>
    <row r="668" spans="1:9" x14ac:dyDescent="0.2">
      <c r="A668" s="33">
        <v>44210</v>
      </c>
      <c r="B668" s="36">
        <v>14050</v>
      </c>
      <c r="C668" s="7">
        <v>14060</v>
      </c>
      <c r="D668" s="7">
        <v>14088</v>
      </c>
      <c r="E668" s="7">
        <v>14050</v>
      </c>
      <c r="F668" s="7">
        <v>14055</v>
      </c>
      <c r="G668" s="34">
        <v>44</v>
      </c>
      <c r="H668" s="35">
        <v>-5</v>
      </c>
      <c r="I668" s="38">
        <f t="shared" si="9"/>
        <v>14055</v>
      </c>
    </row>
    <row r="669" spans="1:9" x14ac:dyDescent="0.2">
      <c r="A669" s="33">
        <v>44209</v>
      </c>
      <c r="B669" s="36">
        <v>14055</v>
      </c>
      <c r="C669" s="7">
        <v>14065</v>
      </c>
      <c r="D669" s="7">
        <v>14080</v>
      </c>
      <c r="E669" s="7">
        <v>14050</v>
      </c>
      <c r="F669" s="7">
        <v>14080</v>
      </c>
      <c r="G669" s="34">
        <v>68</v>
      </c>
      <c r="H669" s="35">
        <v>-65</v>
      </c>
      <c r="I669" s="38">
        <f t="shared" si="9"/>
        <v>14060</v>
      </c>
    </row>
    <row r="670" spans="1:9" x14ac:dyDescent="0.2">
      <c r="A670" s="33">
        <v>44208</v>
      </c>
      <c r="B670" s="36">
        <v>14120</v>
      </c>
      <c r="C670" s="7">
        <v>14140</v>
      </c>
      <c r="D670" s="7">
        <v>14200</v>
      </c>
      <c r="E670" s="7">
        <v>14090</v>
      </c>
      <c r="F670" s="7">
        <v>14090</v>
      </c>
      <c r="G670" s="34">
        <v>106</v>
      </c>
      <c r="H670" s="35">
        <v>40</v>
      </c>
      <c r="I670" s="38">
        <f t="shared" si="9"/>
        <v>14130</v>
      </c>
    </row>
    <row r="671" spans="1:9" x14ac:dyDescent="0.2">
      <c r="A671" s="33">
        <v>44207</v>
      </c>
      <c r="B671" s="36">
        <v>14080</v>
      </c>
      <c r="C671" s="7">
        <v>14170</v>
      </c>
      <c r="D671" s="7">
        <v>14100</v>
      </c>
      <c r="E671" s="7">
        <v>13980</v>
      </c>
      <c r="F671" s="7">
        <v>13980</v>
      </c>
      <c r="G671" s="34">
        <v>55</v>
      </c>
      <c r="H671" s="35">
        <v>100</v>
      </c>
      <c r="I671" s="38">
        <f t="shared" si="9"/>
        <v>14125</v>
      </c>
    </row>
    <row r="672" spans="1:9" x14ac:dyDescent="0.2">
      <c r="A672" s="33">
        <v>44204</v>
      </c>
      <c r="B672" s="36">
        <v>13980</v>
      </c>
      <c r="C672" s="7">
        <v>14060</v>
      </c>
      <c r="D672" s="7">
        <v>14043</v>
      </c>
      <c r="E672" s="7">
        <v>13900</v>
      </c>
      <c r="F672" s="7">
        <v>13900</v>
      </c>
      <c r="G672" s="34">
        <v>61</v>
      </c>
      <c r="H672" s="35">
        <v>90</v>
      </c>
      <c r="I672" s="38">
        <f t="shared" ref="I672:I735" si="10">+(B672+C672)*0.5</f>
        <v>14020</v>
      </c>
    </row>
    <row r="673" spans="1:9" x14ac:dyDescent="0.2">
      <c r="A673" s="33">
        <v>44203</v>
      </c>
      <c r="B673" s="36">
        <v>13890</v>
      </c>
      <c r="C673" s="7">
        <v>13930</v>
      </c>
      <c r="D673" s="7">
        <v>13930</v>
      </c>
      <c r="E673" s="7">
        <v>13880</v>
      </c>
      <c r="F673" s="7">
        <v>13880</v>
      </c>
      <c r="G673" s="34">
        <v>29</v>
      </c>
      <c r="H673" s="35">
        <v>10</v>
      </c>
      <c r="I673" s="38">
        <f t="shared" si="10"/>
        <v>13910</v>
      </c>
    </row>
    <row r="674" spans="1:9" x14ac:dyDescent="0.2">
      <c r="A674" s="33">
        <v>44202</v>
      </c>
      <c r="B674" s="36">
        <v>13880</v>
      </c>
      <c r="C674" s="7">
        <v>13910</v>
      </c>
      <c r="D674" s="7">
        <v>13910</v>
      </c>
      <c r="E674" s="7">
        <v>13880</v>
      </c>
      <c r="F674" s="7">
        <v>13890</v>
      </c>
      <c r="G674" s="34">
        <v>43</v>
      </c>
      <c r="H674" s="35">
        <v>-20</v>
      </c>
      <c r="I674" s="38">
        <f t="shared" si="10"/>
        <v>13895</v>
      </c>
    </row>
    <row r="675" spans="1:9" x14ac:dyDescent="0.2">
      <c r="A675" s="33">
        <v>44201</v>
      </c>
      <c r="B675" s="36">
        <v>13900</v>
      </c>
      <c r="C675" s="7">
        <v>13930</v>
      </c>
      <c r="D675" s="7">
        <v>13915</v>
      </c>
      <c r="E675" s="7">
        <v>13880</v>
      </c>
      <c r="F675" s="7">
        <v>13880</v>
      </c>
      <c r="G675" s="34">
        <v>26</v>
      </c>
      <c r="H675" s="35">
        <v>15</v>
      </c>
      <c r="I675" s="38">
        <f t="shared" si="10"/>
        <v>13915</v>
      </c>
    </row>
    <row r="676" spans="1:9" x14ac:dyDescent="0.2">
      <c r="A676" s="33">
        <v>44200</v>
      </c>
      <c r="B676" s="36">
        <v>13885</v>
      </c>
      <c r="C676" s="7">
        <v>13905</v>
      </c>
      <c r="D676" s="7">
        <v>13930</v>
      </c>
      <c r="E676" s="7">
        <v>13855</v>
      </c>
      <c r="F676" s="7">
        <v>13900</v>
      </c>
      <c r="G676" s="34">
        <v>70</v>
      </c>
      <c r="H676" s="35">
        <v>-155</v>
      </c>
      <c r="I676" s="38">
        <f t="shared" si="10"/>
        <v>13895</v>
      </c>
    </row>
    <row r="677" spans="1:9" x14ac:dyDescent="0.2">
      <c r="A677" s="33">
        <v>44197</v>
      </c>
      <c r="B677" s="36">
        <v>14040</v>
      </c>
      <c r="C677" s="7">
        <v>14060</v>
      </c>
      <c r="D677" s="7"/>
      <c r="E677" s="7"/>
      <c r="F677" s="7"/>
      <c r="G677" s="34"/>
      <c r="H677" s="35">
        <v>0</v>
      </c>
      <c r="I677" s="38">
        <f t="shared" si="10"/>
        <v>14050</v>
      </c>
    </row>
    <row r="678" spans="1:9" x14ac:dyDescent="0.2">
      <c r="A678" s="33">
        <v>44196</v>
      </c>
      <c r="B678" s="36">
        <v>14040</v>
      </c>
      <c r="C678" s="7">
        <v>14060</v>
      </c>
      <c r="D678" s="7"/>
      <c r="E678" s="7"/>
      <c r="F678" s="7"/>
      <c r="G678" s="34"/>
      <c r="H678" s="35">
        <v>0</v>
      </c>
      <c r="I678" s="38">
        <f t="shared" si="10"/>
        <v>14050</v>
      </c>
    </row>
    <row r="679" spans="1:9" x14ac:dyDescent="0.2">
      <c r="A679" s="33">
        <v>44195</v>
      </c>
      <c r="B679" s="36">
        <v>14040</v>
      </c>
      <c r="C679" s="7">
        <v>14060</v>
      </c>
      <c r="D679" s="7">
        <v>14110</v>
      </c>
      <c r="E679" s="7">
        <v>14040</v>
      </c>
      <c r="F679" s="7">
        <v>14110</v>
      </c>
      <c r="G679" s="34">
        <v>52</v>
      </c>
      <c r="H679" s="35">
        <v>-70</v>
      </c>
      <c r="I679" s="38">
        <f t="shared" si="10"/>
        <v>14050</v>
      </c>
    </row>
    <row r="680" spans="1:9" x14ac:dyDescent="0.2">
      <c r="A680" s="33">
        <v>44194</v>
      </c>
      <c r="B680" s="36">
        <v>14110</v>
      </c>
      <c r="C680" s="7">
        <v>14150</v>
      </c>
      <c r="D680" s="7">
        <v>14140</v>
      </c>
      <c r="E680" s="7">
        <v>14110</v>
      </c>
      <c r="F680" s="7">
        <v>14140</v>
      </c>
      <c r="G680" s="34">
        <v>20</v>
      </c>
      <c r="H680" s="35">
        <v>-30</v>
      </c>
      <c r="I680" s="38">
        <f t="shared" si="10"/>
        <v>14130</v>
      </c>
    </row>
    <row r="681" spans="1:9" x14ac:dyDescent="0.2">
      <c r="A681" s="33">
        <v>44193</v>
      </c>
      <c r="B681" s="36">
        <v>14140</v>
      </c>
      <c r="C681" s="7">
        <v>14170</v>
      </c>
      <c r="D681" s="7">
        <v>14165</v>
      </c>
      <c r="E681" s="7">
        <v>14140</v>
      </c>
      <c r="F681" s="7">
        <v>14150</v>
      </c>
      <c r="G681" s="34">
        <v>21</v>
      </c>
      <c r="H681" s="35">
        <v>-10</v>
      </c>
      <c r="I681" s="38">
        <f t="shared" si="10"/>
        <v>14155</v>
      </c>
    </row>
    <row r="682" spans="1:9" x14ac:dyDescent="0.2">
      <c r="A682" s="33">
        <v>44190</v>
      </c>
      <c r="B682" s="36">
        <v>14150</v>
      </c>
      <c r="C682" s="7">
        <v>14250</v>
      </c>
      <c r="D682" s="7"/>
      <c r="E682" s="7"/>
      <c r="F682" s="7"/>
      <c r="G682" s="34"/>
      <c r="H682" s="35">
        <v>0</v>
      </c>
      <c r="I682" s="38">
        <f t="shared" si="10"/>
        <v>14200</v>
      </c>
    </row>
    <row r="683" spans="1:9" x14ac:dyDescent="0.2">
      <c r="A683" s="33">
        <v>44189</v>
      </c>
      <c r="B683" s="36">
        <v>14150</v>
      </c>
      <c r="C683" s="7">
        <v>14250</v>
      </c>
      <c r="D683" s="7"/>
      <c r="E683" s="7"/>
      <c r="F683" s="7"/>
      <c r="G683" s="34"/>
      <c r="H683" s="35">
        <v>0</v>
      </c>
      <c r="I683" s="38">
        <f t="shared" si="10"/>
        <v>14200</v>
      </c>
    </row>
    <row r="684" spans="1:9" x14ac:dyDescent="0.2">
      <c r="A684" s="33">
        <v>44188</v>
      </c>
      <c r="B684" s="36">
        <v>14150</v>
      </c>
      <c r="C684" s="7">
        <v>14250</v>
      </c>
      <c r="D684" s="7">
        <v>14261</v>
      </c>
      <c r="E684" s="7">
        <v>14130</v>
      </c>
      <c r="F684" s="7">
        <v>14130</v>
      </c>
      <c r="G684" s="34">
        <v>43</v>
      </c>
      <c r="H684" s="35">
        <v>5</v>
      </c>
      <c r="I684" s="38">
        <f t="shared" si="10"/>
        <v>14200</v>
      </c>
    </row>
    <row r="685" spans="1:9" x14ac:dyDescent="0.2">
      <c r="A685" s="33">
        <v>44187</v>
      </c>
      <c r="B685" s="36">
        <v>14145</v>
      </c>
      <c r="C685" s="7">
        <v>14265</v>
      </c>
      <c r="D685" s="7">
        <v>14150</v>
      </c>
      <c r="E685" s="7">
        <v>14100</v>
      </c>
      <c r="F685" s="7">
        <v>14100</v>
      </c>
      <c r="G685" s="34">
        <v>18</v>
      </c>
      <c r="H685" s="35">
        <v>45</v>
      </c>
      <c r="I685" s="38">
        <f t="shared" si="10"/>
        <v>14205</v>
      </c>
    </row>
    <row r="686" spans="1:9" x14ac:dyDescent="0.2">
      <c r="A686" s="33">
        <v>44186</v>
      </c>
      <c r="B686" s="36">
        <v>14100</v>
      </c>
      <c r="C686" s="7">
        <v>14160</v>
      </c>
      <c r="D686" s="7">
        <v>14150</v>
      </c>
      <c r="E686" s="7">
        <v>14080</v>
      </c>
      <c r="F686" s="7">
        <v>14080</v>
      </c>
      <c r="G686" s="34">
        <v>30</v>
      </c>
      <c r="H686" s="35">
        <v>20</v>
      </c>
      <c r="I686" s="38">
        <f t="shared" si="10"/>
        <v>14130</v>
      </c>
    </row>
    <row r="687" spans="1:9" x14ac:dyDescent="0.2">
      <c r="A687" s="33">
        <v>44183</v>
      </c>
      <c r="B687" s="36">
        <v>14080</v>
      </c>
      <c r="C687" s="7">
        <v>14140</v>
      </c>
      <c r="D687" s="7">
        <v>14130</v>
      </c>
      <c r="E687" s="7">
        <v>14080</v>
      </c>
      <c r="F687" s="7">
        <v>14085</v>
      </c>
      <c r="G687" s="34">
        <v>30</v>
      </c>
      <c r="H687" s="35">
        <v>-5</v>
      </c>
      <c r="I687" s="38">
        <f t="shared" si="10"/>
        <v>14110</v>
      </c>
    </row>
    <row r="688" spans="1:9" x14ac:dyDescent="0.2">
      <c r="A688" s="33">
        <v>44182</v>
      </c>
      <c r="B688" s="36">
        <v>14085</v>
      </c>
      <c r="C688" s="7">
        <v>14125</v>
      </c>
      <c r="D688" s="7">
        <v>14115</v>
      </c>
      <c r="E688" s="7">
        <v>14085</v>
      </c>
      <c r="F688" s="7">
        <v>14090</v>
      </c>
      <c r="G688" s="34">
        <v>23</v>
      </c>
      <c r="H688" s="35">
        <v>-5</v>
      </c>
      <c r="I688" s="38">
        <f t="shared" si="10"/>
        <v>14105</v>
      </c>
    </row>
    <row r="689" spans="1:9" x14ac:dyDescent="0.2">
      <c r="A689" s="33">
        <v>44181</v>
      </c>
      <c r="B689" s="36">
        <v>14090</v>
      </c>
      <c r="C689" s="7">
        <v>14160</v>
      </c>
      <c r="D689" s="7">
        <v>14141</v>
      </c>
      <c r="E689" s="7">
        <v>14080</v>
      </c>
      <c r="F689" s="7">
        <v>14080</v>
      </c>
      <c r="G689" s="34">
        <v>36</v>
      </c>
      <c r="H689" s="35">
        <v>0</v>
      </c>
      <c r="I689" s="38">
        <f t="shared" si="10"/>
        <v>14125</v>
      </c>
    </row>
    <row r="690" spans="1:9" x14ac:dyDescent="0.2">
      <c r="A690" s="33">
        <v>44180</v>
      </c>
      <c r="B690" s="36">
        <v>14090</v>
      </c>
      <c r="C690" s="7">
        <v>14150</v>
      </c>
      <c r="D690" s="7">
        <v>14160</v>
      </c>
      <c r="E690" s="7">
        <v>14070</v>
      </c>
      <c r="F690" s="7">
        <v>14070</v>
      </c>
      <c r="G690" s="34">
        <v>32</v>
      </c>
      <c r="H690" s="35">
        <v>20</v>
      </c>
      <c r="I690" s="38">
        <f t="shared" si="10"/>
        <v>14120</v>
      </c>
    </row>
    <row r="691" spans="1:9" x14ac:dyDescent="0.2">
      <c r="A691" s="33">
        <v>44179</v>
      </c>
      <c r="B691" s="36">
        <v>14070</v>
      </c>
      <c r="C691" s="7">
        <v>14120</v>
      </c>
      <c r="D691" s="7">
        <v>14140</v>
      </c>
      <c r="E691" s="7">
        <v>14070</v>
      </c>
      <c r="F691" s="7">
        <v>14070</v>
      </c>
      <c r="G691" s="34">
        <v>42</v>
      </c>
      <c r="H691" s="35">
        <v>0</v>
      </c>
      <c r="I691" s="38">
        <f t="shared" si="10"/>
        <v>14095</v>
      </c>
    </row>
    <row r="692" spans="1:9" x14ac:dyDescent="0.2">
      <c r="A692" s="33">
        <v>44176</v>
      </c>
      <c r="B692" s="36">
        <v>14070</v>
      </c>
      <c r="C692" s="7">
        <v>14090</v>
      </c>
      <c r="D692" s="7">
        <v>14118</v>
      </c>
      <c r="E692" s="7">
        <v>14069</v>
      </c>
      <c r="F692" s="7">
        <v>14080</v>
      </c>
      <c r="G692" s="34">
        <v>47</v>
      </c>
      <c r="H692" s="35">
        <v>-20</v>
      </c>
      <c r="I692" s="38">
        <f t="shared" si="10"/>
        <v>14080</v>
      </c>
    </row>
    <row r="693" spans="1:9" x14ac:dyDescent="0.2">
      <c r="A693" s="33">
        <v>44175</v>
      </c>
      <c r="B693" s="36">
        <v>14090</v>
      </c>
      <c r="C693" s="7">
        <v>14120</v>
      </c>
      <c r="D693" s="7">
        <v>14105</v>
      </c>
      <c r="E693" s="7">
        <v>14070</v>
      </c>
      <c r="F693" s="7">
        <v>14070</v>
      </c>
      <c r="G693" s="34">
        <v>37</v>
      </c>
      <c r="H693" s="35">
        <v>10</v>
      </c>
      <c r="I693" s="38">
        <f t="shared" si="10"/>
        <v>14105</v>
      </c>
    </row>
    <row r="694" spans="1:9" x14ac:dyDescent="0.2">
      <c r="A694" s="33">
        <v>44174</v>
      </c>
      <c r="B694" s="36">
        <v>14080</v>
      </c>
      <c r="C694" s="7">
        <v>14140</v>
      </c>
      <c r="D694" s="7"/>
      <c r="E694" s="7"/>
      <c r="F694" s="7"/>
      <c r="G694" s="34"/>
      <c r="H694" s="35">
        <v>0</v>
      </c>
      <c r="I694" s="38">
        <f t="shared" si="10"/>
        <v>14110</v>
      </c>
    </row>
    <row r="695" spans="1:9" x14ac:dyDescent="0.2">
      <c r="A695" s="33">
        <v>44173</v>
      </c>
      <c r="B695" s="36">
        <v>14080</v>
      </c>
      <c r="C695" s="7">
        <v>14140</v>
      </c>
      <c r="D695" s="7">
        <v>14130</v>
      </c>
      <c r="E695" s="7">
        <v>14080</v>
      </c>
      <c r="F695" s="7">
        <v>14080</v>
      </c>
      <c r="G695" s="34">
        <v>26</v>
      </c>
      <c r="H695" s="35">
        <v>0</v>
      </c>
      <c r="I695" s="38">
        <f t="shared" si="10"/>
        <v>14110</v>
      </c>
    </row>
    <row r="696" spans="1:9" x14ac:dyDescent="0.2">
      <c r="A696" s="33">
        <v>44172</v>
      </c>
      <c r="B696" s="36">
        <v>14080</v>
      </c>
      <c r="C696" s="7">
        <v>14130</v>
      </c>
      <c r="D696" s="7">
        <v>14120</v>
      </c>
      <c r="E696" s="7">
        <v>14080</v>
      </c>
      <c r="F696" s="7">
        <v>14090</v>
      </c>
      <c r="G696" s="34">
        <v>28</v>
      </c>
      <c r="H696" s="35">
        <v>-5</v>
      </c>
      <c r="I696" s="38">
        <f t="shared" si="10"/>
        <v>14105</v>
      </c>
    </row>
    <row r="697" spans="1:9" x14ac:dyDescent="0.2">
      <c r="A697" s="33">
        <v>44169</v>
      </c>
      <c r="B697" s="36">
        <v>14085</v>
      </c>
      <c r="C697" s="7">
        <v>14125</v>
      </c>
      <c r="D697" s="7">
        <v>14140</v>
      </c>
      <c r="E697" s="7">
        <v>14085</v>
      </c>
      <c r="F697" s="7">
        <v>14100</v>
      </c>
      <c r="G697" s="34">
        <v>34</v>
      </c>
      <c r="H697" s="35">
        <v>-15</v>
      </c>
      <c r="I697" s="38">
        <f t="shared" si="10"/>
        <v>14105</v>
      </c>
    </row>
    <row r="698" spans="1:9" x14ac:dyDescent="0.2">
      <c r="A698" s="33">
        <v>44168</v>
      </c>
      <c r="B698" s="36">
        <v>14100</v>
      </c>
      <c r="C698" s="7">
        <v>14180</v>
      </c>
      <c r="D698" s="7">
        <v>14158</v>
      </c>
      <c r="E698" s="7">
        <v>14090</v>
      </c>
      <c r="F698" s="7">
        <v>14090</v>
      </c>
      <c r="G698" s="34">
        <v>22</v>
      </c>
      <c r="H698" s="35">
        <v>10</v>
      </c>
      <c r="I698" s="38">
        <f t="shared" si="10"/>
        <v>14140</v>
      </c>
    </row>
    <row r="699" spans="1:9" x14ac:dyDescent="0.2">
      <c r="A699" s="33">
        <v>44167</v>
      </c>
      <c r="B699" s="36">
        <v>14090</v>
      </c>
      <c r="C699" s="7">
        <v>14160</v>
      </c>
      <c r="D699" s="7">
        <v>14140</v>
      </c>
      <c r="E699" s="7">
        <v>14090</v>
      </c>
      <c r="F699" s="7">
        <v>14090</v>
      </c>
      <c r="G699" s="34">
        <v>14</v>
      </c>
      <c r="H699" s="35">
        <v>-10</v>
      </c>
      <c r="I699" s="38">
        <f t="shared" si="10"/>
        <v>14125</v>
      </c>
    </row>
    <row r="700" spans="1:9" x14ac:dyDescent="0.2">
      <c r="A700" s="33">
        <v>44166</v>
      </c>
      <c r="B700" s="36">
        <v>14100</v>
      </c>
      <c r="C700" s="7">
        <v>14160</v>
      </c>
      <c r="D700" s="7">
        <v>14145</v>
      </c>
      <c r="E700" s="7">
        <v>14080</v>
      </c>
      <c r="F700" s="7">
        <v>14080</v>
      </c>
      <c r="G700" s="34">
        <v>30</v>
      </c>
      <c r="H700" s="35">
        <v>10</v>
      </c>
      <c r="I700" s="38">
        <f t="shared" si="10"/>
        <v>14130</v>
      </c>
    </row>
    <row r="701" spans="1:9" x14ac:dyDescent="0.2">
      <c r="A701" s="33">
        <v>44165</v>
      </c>
      <c r="B701" s="36">
        <v>14090</v>
      </c>
      <c r="C701" s="7">
        <v>14150</v>
      </c>
      <c r="D701" s="7">
        <v>14135</v>
      </c>
      <c r="E701" s="7">
        <v>14060</v>
      </c>
      <c r="F701" s="7">
        <v>14060</v>
      </c>
      <c r="G701" s="34">
        <v>23</v>
      </c>
      <c r="H701" s="35">
        <v>20</v>
      </c>
      <c r="I701" s="38">
        <f t="shared" si="10"/>
        <v>14120</v>
      </c>
    </row>
    <row r="702" spans="1:9" x14ac:dyDescent="0.2">
      <c r="A702" s="33">
        <v>44162</v>
      </c>
      <c r="B702" s="36">
        <v>14070</v>
      </c>
      <c r="C702" s="7">
        <v>14110</v>
      </c>
      <c r="D702" s="7">
        <v>14123</v>
      </c>
      <c r="E702" s="7">
        <v>14070</v>
      </c>
      <c r="F702" s="7">
        <v>14080</v>
      </c>
      <c r="G702" s="34">
        <v>30</v>
      </c>
      <c r="H702" s="35">
        <v>-20</v>
      </c>
      <c r="I702" s="38">
        <f t="shared" si="10"/>
        <v>14090</v>
      </c>
    </row>
    <row r="703" spans="1:9" x14ac:dyDescent="0.2">
      <c r="A703" s="33">
        <v>44161</v>
      </c>
      <c r="B703" s="36">
        <v>14090</v>
      </c>
      <c r="C703" s="7">
        <v>14110</v>
      </c>
      <c r="D703" s="7">
        <v>14125</v>
      </c>
      <c r="E703" s="7">
        <v>14090</v>
      </c>
      <c r="F703" s="7">
        <v>14100</v>
      </c>
      <c r="G703" s="34">
        <v>47</v>
      </c>
      <c r="H703" s="35">
        <v>-40</v>
      </c>
      <c r="I703" s="38">
        <f t="shared" si="10"/>
        <v>14100</v>
      </c>
    </row>
    <row r="704" spans="1:9" x14ac:dyDescent="0.2">
      <c r="A704" s="33">
        <v>44160</v>
      </c>
      <c r="B704" s="36">
        <v>14130</v>
      </c>
      <c r="C704" s="7">
        <v>14150</v>
      </c>
      <c r="D704" s="7">
        <v>14160</v>
      </c>
      <c r="E704" s="7">
        <v>14130</v>
      </c>
      <c r="F704" s="7">
        <v>14130</v>
      </c>
      <c r="G704" s="34">
        <v>47</v>
      </c>
      <c r="H704" s="35">
        <v>-10</v>
      </c>
      <c r="I704" s="38">
        <f t="shared" si="10"/>
        <v>14140</v>
      </c>
    </row>
    <row r="705" spans="1:9" x14ac:dyDescent="0.2">
      <c r="A705" s="33">
        <v>44159</v>
      </c>
      <c r="B705" s="36">
        <v>14140</v>
      </c>
      <c r="C705" s="7">
        <v>14170</v>
      </c>
      <c r="D705" s="7">
        <v>14171</v>
      </c>
      <c r="E705" s="7">
        <v>14130</v>
      </c>
      <c r="F705" s="7">
        <v>14130</v>
      </c>
      <c r="G705" s="34">
        <v>33</v>
      </c>
      <c r="H705" s="35">
        <v>10</v>
      </c>
      <c r="I705" s="38">
        <f t="shared" si="10"/>
        <v>14155</v>
      </c>
    </row>
    <row r="706" spans="1:9" x14ac:dyDescent="0.2">
      <c r="A706" s="33">
        <v>44158</v>
      </c>
      <c r="B706" s="36">
        <v>14130</v>
      </c>
      <c r="C706" s="7">
        <v>14168</v>
      </c>
      <c r="D706" s="7">
        <v>14160</v>
      </c>
      <c r="E706" s="7">
        <v>14130</v>
      </c>
      <c r="F706" s="7">
        <v>14140</v>
      </c>
      <c r="G706" s="34">
        <v>42</v>
      </c>
      <c r="H706" s="35">
        <v>-20</v>
      </c>
      <c r="I706" s="38">
        <f t="shared" si="10"/>
        <v>14149</v>
      </c>
    </row>
    <row r="707" spans="1:9" x14ac:dyDescent="0.2">
      <c r="A707" s="33">
        <v>44155</v>
      </c>
      <c r="B707" s="36">
        <v>14150</v>
      </c>
      <c r="C707" s="7">
        <v>14180</v>
      </c>
      <c r="D707" s="7">
        <v>14186</v>
      </c>
      <c r="E707" s="7">
        <v>14140</v>
      </c>
      <c r="F707" s="7">
        <v>14140</v>
      </c>
      <c r="G707" s="34">
        <v>35</v>
      </c>
      <c r="H707" s="35">
        <v>10</v>
      </c>
      <c r="I707" s="38">
        <f t="shared" si="10"/>
        <v>14165</v>
      </c>
    </row>
    <row r="708" spans="1:9" x14ac:dyDescent="0.2">
      <c r="A708" s="33">
        <v>44154</v>
      </c>
      <c r="B708" s="36">
        <v>14140</v>
      </c>
      <c r="C708" s="7">
        <v>14170</v>
      </c>
      <c r="D708" s="7">
        <v>14175</v>
      </c>
      <c r="E708" s="7">
        <v>14050</v>
      </c>
      <c r="F708" s="7">
        <v>14050</v>
      </c>
      <c r="G708" s="34">
        <v>42</v>
      </c>
      <c r="H708" s="35">
        <v>90</v>
      </c>
      <c r="I708" s="38">
        <f t="shared" si="10"/>
        <v>14155</v>
      </c>
    </row>
    <row r="709" spans="1:9" x14ac:dyDescent="0.2">
      <c r="A709" s="33">
        <v>44153</v>
      </c>
      <c r="B709" s="36">
        <v>14050</v>
      </c>
      <c r="C709" s="7">
        <v>14090</v>
      </c>
      <c r="D709" s="7">
        <v>14075</v>
      </c>
      <c r="E709" s="7">
        <v>14020</v>
      </c>
      <c r="F709" s="7">
        <v>14020</v>
      </c>
      <c r="G709" s="34">
        <v>37</v>
      </c>
      <c r="H709" s="35">
        <v>20</v>
      </c>
      <c r="I709" s="38">
        <f t="shared" si="10"/>
        <v>14070</v>
      </c>
    </row>
    <row r="710" spans="1:9" x14ac:dyDescent="0.2">
      <c r="A710" s="33">
        <v>44152</v>
      </c>
      <c r="B710" s="36">
        <v>14030</v>
      </c>
      <c r="C710" s="7">
        <v>14080</v>
      </c>
      <c r="D710" s="7">
        <v>14065</v>
      </c>
      <c r="E710" s="7">
        <v>14000</v>
      </c>
      <c r="F710" s="7">
        <v>14000</v>
      </c>
      <c r="G710" s="34">
        <v>49</v>
      </c>
      <c r="H710" s="35">
        <v>-70</v>
      </c>
      <c r="I710" s="38">
        <f t="shared" si="10"/>
        <v>14055</v>
      </c>
    </row>
    <row r="711" spans="1:9" x14ac:dyDescent="0.2">
      <c r="A711" s="33">
        <v>44151</v>
      </c>
      <c r="B711" s="36">
        <v>14100</v>
      </c>
      <c r="C711" s="7">
        <v>14120</v>
      </c>
      <c r="D711" s="7">
        <v>14130</v>
      </c>
      <c r="E711" s="7">
        <v>14095</v>
      </c>
      <c r="F711" s="7">
        <v>14100</v>
      </c>
      <c r="G711" s="34">
        <v>59</v>
      </c>
      <c r="H711" s="35">
        <v>-50</v>
      </c>
      <c r="I711" s="38">
        <f t="shared" si="10"/>
        <v>14110</v>
      </c>
    </row>
    <row r="712" spans="1:9" x14ac:dyDescent="0.2">
      <c r="A712" s="33">
        <v>44148</v>
      </c>
      <c r="B712" s="36">
        <v>14150</v>
      </c>
      <c r="C712" s="7">
        <v>14190</v>
      </c>
      <c r="D712" s="7">
        <v>14225</v>
      </c>
      <c r="E712" s="7">
        <v>14140</v>
      </c>
      <c r="F712" s="7">
        <v>14140</v>
      </c>
      <c r="G712" s="34">
        <v>59</v>
      </c>
      <c r="H712" s="35">
        <v>10</v>
      </c>
      <c r="I712" s="38">
        <f t="shared" si="10"/>
        <v>14170</v>
      </c>
    </row>
    <row r="713" spans="1:9" x14ac:dyDescent="0.2">
      <c r="A713" s="33">
        <v>44147</v>
      </c>
      <c r="B713" s="36">
        <v>14140</v>
      </c>
      <c r="C713" s="7">
        <v>14200</v>
      </c>
      <c r="D713" s="7">
        <v>14180</v>
      </c>
      <c r="E713" s="7">
        <v>14070</v>
      </c>
      <c r="F713" s="7">
        <v>14070</v>
      </c>
      <c r="G713" s="34">
        <v>29</v>
      </c>
      <c r="H713" s="35">
        <v>70</v>
      </c>
      <c r="I713" s="38">
        <f t="shared" si="10"/>
        <v>14170</v>
      </c>
    </row>
    <row r="714" spans="1:9" x14ac:dyDescent="0.2">
      <c r="A714" s="33">
        <v>44146</v>
      </c>
      <c r="B714" s="36">
        <v>14070</v>
      </c>
      <c r="C714" s="7">
        <v>14100</v>
      </c>
      <c r="D714" s="7">
        <v>14080</v>
      </c>
      <c r="E714" s="7">
        <v>14040</v>
      </c>
      <c r="F714" s="7">
        <v>14040</v>
      </c>
      <c r="G714" s="34">
        <v>40</v>
      </c>
      <c r="H714" s="35">
        <v>30</v>
      </c>
      <c r="I714" s="38">
        <f t="shared" si="10"/>
        <v>14085</v>
      </c>
    </row>
    <row r="715" spans="1:9" x14ac:dyDescent="0.2">
      <c r="A715" s="33">
        <v>44145</v>
      </c>
      <c r="B715" s="36">
        <v>14040</v>
      </c>
      <c r="C715" s="7">
        <v>14060</v>
      </c>
      <c r="D715" s="7">
        <v>14065</v>
      </c>
      <c r="E715" s="7">
        <v>13975</v>
      </c>
      <c r="F715" s="7">
        <v>14000</v>
      </c>
      <c r="G715" s="34">
        <v>93</v>
      </c>
      <c r="H715" s="35">
        <v>-10</v>
      </c>
      <c r="I715" s="38">
        <f t="shared" si="10"/>
        <v>14050</v>
      </c>
    </row>
    <row r="716" spans="1:9" x14ac:dyDescent="0.2">
      <c r="A716" s="33">
        <v>44144</v>
      </c>
      <c r="B716" s="36">
        <v>14050</v>
      </c>
      <c r="C716" s="7">
        <v>14075</v>
      </c>
      <c r="D716" s="7">
        <v>14160</v>
      </c>
      <c r="E716" s="7">
        <v>14020</v>
      </c>
      <c r="F716" s="7">
        <v>14150</v>
      </c>
      <c r="G716" s="34">
        <v>128</v>
      </c>
      <c r="H716" s="35">
        <v>-140</v>
      </c>
      <c r="I716" s="38">
        <f t="shared" si="10"/>
        <v>14062.5</v>
      </c>
    </row>
    <row r="717" spans="1:9" x14ac:dyDescent="0.2">
      <c r="A717" s="33">
        <v>44141</v>
      </c>
      <c r="B717" s="36">
        <v>14190</v>
      </c>
      <c r="C717" s="7">
        <v>14230</v>
      </c>
      <c r="D717" s="7">
        <v>14285</v>
      </c>
      <c r="E717" s="7">
        <v>14190</v>
      </c>
      <c r="F717" s="7">
        <v>14250</v>
      </c>
      <c r="G717" s="34">
        <v>83</v>
      </c>
      <c r="H717" s="35">
        <v>-180</v>
      </c>
      <c r="I717" s="38">
        <f t="shared" si="10"/>
        <v>14210</v>
      </c>
    </row>
    <row r="718" spans="1:9" x14ac:dyDescent="0.2">
      <c r="A718" s="33">
        <v>44140</v>
      </c>
      <c r="B718" s="36">
        <v>14370</v>
      </c>
      <c r="C718" s="7">
        <v>14390</v>
      </c>
      <c r="D718" s="7">
        <v>14425</v>
      </c>
      <c r="E718" s="7">
        <v>14350</v>
      </c>
      <c r="F718" s="7">
        <v>14380</v>
      </c>
      <c r="G718" s="34">
        <v>79</v>
      </c>
      <c r="H718" s="35">
        <v>-170</v>
      </c>
      <c r="I718" s="38">
        <f t="shared" si="10"/>
        <v>14380</v>
      </c>
    </row>
    <row r="719" spans="1:9" x14ac:dyDescent="0.2">
      <c r="A719" s="33">
        <v>44139</v>
      </c>
      <c r="B719" s="36">
        <v>14540</v>
      </c>
      <c r="C719" s="7">
        <v>14590</v>
      </c>
      <c r="D719" s="7">
        <v>14540</v>
      </c>
      <c r="E719" s="7">
        <v>14480</v>
      </c>
      <c r="F719" s="7">
        <v>14480</v>
      </c>
      <c r="G719" s="34">
        <v>37</v>
      </c>
      <c r="H719" s="35">
        <v>-30</v>
      </c>
      <c r="I719" s="38">
        <f t="shared" si="10"/>
        <v>14565</v>
      </c>
    </row>
    <row r="720" spans="1:9" x14ac:dyDescent="0.2">
      <c r="A720" s="33">
        <v>44138</v>
      </c>
      <c r="B720" s="36">
        <v>14570</v>
      </c>
      <c r="C720" s="7">
        <v>14600</v>
      </c>
      <c r="D720" s="7">
        <v>14625</v>
      </c>
      <c r="E720" s="7">
        <v>14568</v>
      </c>
      <c r="F720" s="7">
        <v>14580</v>
      </c>
      <c r="G720" s="34">
        <v>55</v>
      </c>
      <c r="H720" s="35">
        <v>-55</v>
      </c>
      <c r="I720" s="38">
        <f t="shared" si="10"/>
        <v>14585</v>
      </c>
    </row>
    <row r="721" spans="1:9" x14ac:dyDescent="0.2">
      <c r="A721" s="33">
        <v>44137</v>
      </c>
      <c r="B721" s="36">
        <v>14625</v>
      </c>
      <c r="C721" s="7">
        <v>14655</v>
      </c>
      <c r="D721" s="7">
        <v>14695</v>
      </c>
      <c r="E721" s="7">
        <v>14620</v>
      </c>
      <c r="F721" s="7">
        <v>14620</v>
      </c>
      <c r="G721" s="34">
        <v>38</v>
      </c>
      <c r="H721" s="35">
        <v>5</v>
      </c>
      <c r="I721" s="38">
        <f t="shared" si="10"/>
        <v>14640</v>
      </c>
    </row>
    <row r="722" spans="1:9" x14ac:dyDescent="0.2">
      <c r="A722" s="33">
        <v>44134</v>
      </c>
      <c r="B722" s="36">
        <v>14620</v>
      </c>
      <c r="C722" s="7">
        <v>14630</v>
      </c>
      <c r="D722" s="7"/>
      <c r="E722" s="7"/>
      <c r="F722" s="7"/>
      <c r="G722" s="34"/>
      <c r="H722" s="35">
        <v>0</v>
      </c>
      <c r="I722" s="38">
        <f t="shared" si="10"/>
        <v>14625</v>
      </c>
    </row>
    <row r="723" spans="1:9" x14ac:dyDescent="0.2">
      <c r="A723" s="33">
        <v>44133</v>
      </c>
      <c r="B723" s="36">
        <v>14620</v>
      </c>
      <c r="C723" s="7">
        <v>14630</v>
      </c>
      <c r="D723" s="7"/>
      <c r="E723" s="7"/>
      <c r="F723" s="7"/>
      <c r="G723" s="34"/>
      <c r="H723" s="35">
        <v>0</v>
      </c>
      <c r="I723" s="38">
        <f t="shared" si="10"/>
        <v>14625</v>
      </c>
    </row>
    <row r="724" spans="1:9" x14ac:dyDescent="0.2">
      <c r="A724" s="33">
        <v>44132</v>
      </c>
      <c r="B724" s="36">
        <v>14620</v>
      </c>
      <c r="C724" s="7">
        <v>14630</v>
      </c>
      <c r="D724" s="7"/>
      <c r="E724" s="7"/>
      <c r="F724" s="7"/>
      <c r="G724" s="34"/>
      <c r="H724" s="35">
        <v>0</v>
      </c>
      <c r="I724" s="38">
        <f t="shared" si="10"/>
        <v>14625</v>
      </c>
    </row>
    <row r="725" spans="1:9" x14ac:dyDescent="0.2">
      <c r="A725" s="33">
        <v>44131</v>
      </c>
      <c r="B725" s="36">
        <v>14620</v>
      </c>
      <c r="C725" s="7">
        <v>14630</v>
      </c>
      <c r="D725" s="7">
        <v>14660</v>
      </c>
      <c r="E725" s="7">
        <v>14610</v>
      </c>
      <c r="F725" s="7">
        <v>14630</v>
      </c>
      <c r="G725" s="34">
        <v>41</v>
      </c>
      <c r="H725" s="35">
        <v>-10</v>
      </c>
      <c r="I725" s="38">
        <f t="shared" si="10"/>
        <v>14625</v>
      </c>
    </row>
    <row r="726" spans="1:9" x14ac:dyDescent="0.2">
      <c r="A726" s="33">
        <v>44130</v>
      </c>
      <c r="B726" s="36">
        <v>14630</v>
      </c>
      <c r="C726" s="7">
        <v>14670</v>
      </c>
      <c r="D726" s="7">
        <v>14650</v>
      </c>
      <c r="E726" s="7">
        <v>14625</v>
      </c>
      <c r="F726" s="7">
        <v>14630</v>
      </c>
      <c r="G726" s="34">
        <v>30</v>
      </c>
      <c r="H726" s="35">
        <v>-20</v>
      </c>
      <c r="I726" s="38">
        <f t="shared" si="10"/>
        <v>14650</v>
      </c>
    </row>
    <row r="727" spans="1:9" x14ac:dyDescent="0.2">
      <c r="A727" s="33">
        <v>44127</v>
      </c>
      <c r="B727" s="36">
        <v>14650</v>
      </c>
      <c r="C727" s="7">
        <v>14670</v>
      </c>
      <c r="D727" s="7">
        <v>14705</v>
      </c>
      <c r="E727" s="7">
        <v>14630</v>
      </c>
      <c r="F727" s="7">
        <v>14650</v>
      </c>
      <c r="G727" s="34">
        <v>33</v>
      </c>
      <c r="H727" s="35">
        <v>10</v>
      </c>
      <c r="I727" s="38">
        <f t="shared" si="10"/>
        <v>14660</v>
      </c>
    </row>
    <row r="728" spans="1:9" x14ac:dyDescent="0.2">
      <c r="A728" s="33">
        <v>44126</v>
      </c>
      <c r="B728" s="36">
        <v>14640</v>
      </c>
      <c r="C728" s="7">
        <v>14680</v>
      </c>
      <c r="D728" s="7">
        <v>14665</v>
      </c>
      <c r="E728" s="7">
        <v>14610</v>
      </c>
      <c r="F728" s="7">
        <v>14610</v>
      </c>
      <c r="G728" s="34">
        <v>32</v>
      </c>
      <c r="H728" s="35">
        <v>30</v>
      </c>
      <c r="I728" s="38">
        <f t="shared" si="10"/>
        <v>14660</v>
      </c>
    </row>
    <row r="729" spans="1:9" x14ac:dyDescent="0.2">
      <c r="A729" s="33">
        <v>44125</v>
      </c>
      <c r="B729" s="36">
        <v>14610</v>
      </c>
      <c r="C729" s="7">
        <v>14655</v>
      </c>
      <c r="D729" s="7">
        <v>14645</v>
      </c>
      <c r="E729" s="7">
        <v>14595</v>
      </c>
      <c r="F729" s="7">
        <v>14630</v>
      </c>
      <c r="G729" s="34">
        <v>73</v>
      </c>
      <c r="H729" s="35">
        <v>-40</v>
      </c>
      <c r="I729" s="38">
        <f t="shared" si="10"/>
        <v>14632.5</v>
      </c>
    </row>
    <row r="730" spans="1:9" x14ac:dyDescent="0.2">
      <c r="A730" s="33">
        <v>44124</v>
      </c>
      <c r="B730" s="36">
        <v>14650</v>
      </c>
      <c r="C730" s="7">
        <v>14660</v>
      </c>
      <c r="D730" s="7">
        <v>14700</v>
      </c>
      <c r="E730" s="7">
        <v>14650</v>
      </c>
      <c r="F730" s="7">
        <v>14650</v>
      </c>
      <c r="G730" s="34">
        <v>69</v>
      </c>
      <c r="H730" s="35">
        <v>-20</v>
      </c>
      <c r="I730" s="38">
        <f t="shared" si="10"/>
        <v>14655</v>
      </c>
    </row>
    <row r="731" spans="1:9" x14ac:dyDescent="0.2">
      <c r="A731" s="33">
        <v>44123</v>
      </c>
      <c r="B731" s="36">
        <v>14670</v>
      </c>
      <c r="C731" s="7">
        <v>14720</v>
      </c>
      <c r="D731" s="7">
        <v>14735</v>
      </c>
      <c r="E731" s="7">
        <v>14650</v>
      </c>
      <c r="F731" s="7">
        <v>14650</v>
      </c>
      <c r="G731" s="34">
        <v>59</v>
      </c>
      <c r="H731" s="35">
        <v>0</v>
      </c>
      <c r="I731" s="38">
        <f t="shared" si="10"/>
        <v>14695</v>
      </c>
    </row>
    <row r="732" spans="1:9" x14ac:dyDescent="0.2">
      <c r="A732" s="33">
        <v>44120</v>
      </c>
      <c r="B732" s="36">
        <v>14670</v>
      </c>
      <c r="C732" s="7">
        <v>14730</v>
      </c>
      <c r="D732" s="7">
        <v>14745</v>
      </c>
      <c r="E732" s="7">
        <v>14650</v>
      </c>
      <c r="F732" s="7">
        <v>14695</v>
      </c>
      <c r="G732" s="34">
        <v>53</v>
      </c>
      <c r="H732" s="35">
        <v>10</v>
      </c>
      <c r="I732" s="38">
        <f t="shared" si="10"/>
        <v>14700</v>
      </c>
    </row>
    <row r="733" spans="1:9" x14ac:dyDescent="0.2">
      <c r="A733" s="33">
        <v>44119</v>
      </c>
      <c r="B733" s="36">
        <v>14660</v>
      </c>
      <c r="C733" s="7">
        <v>14720</v>
      </c>
      <c r="D733" s="7">
        <v>14712</v>
      </c>
      <c r="E733" s="7">
        <v>14660</v>
      </c>
      <c r="F733" s="7">
        <v>14670</v>
      </c>
      <c r="G733" s="34">
        <v>41</v>
      </c>
      <c r="H733" s="35">
        <v>-20</v>
      </c>
      <c r="I733" s="38">
        <f t="shared" si="10"/>
        <v>14690</v>
      </c>
    </row>
    <row r="734" spans="1:9" x14ac:dyDescent="0.2">
      <c r="A734" s="33">
        <v>44118</v>
      </c>
      <c r="B734" s="36">
        <v>14680</v>
      </c>
      <c r="C734" s="7">
        <v>14740</v>
      </c>
      <c r="D734" s="7">
        <v>14745</v>
      </c>
      <c r="E734" s="7">
        <v>14670</v>
      </c>
      <c r="F734" s="7">
        <v>14670</v>
      </c>
      <c r="G734" s="34">
        <v>31</v>
      </c>
      <c r="H734" s="35">
        <v>0</v>
      </c>
      <c r="I734" s="38">
        <f t="shared" si="10"/>
        <v>14710</v>
      </c>
    </row>
    <row r="735" spans="1:9" x14ac:dyDescent="0.2">
      <c r="A735" s="33">
        <v>44117</v>
      </c>
      <c r="B735" s="36">
        <v>14680</v>
      </c>
      <c r="C735" s="7">
        <v>14750</v>
      </c>
      <c r="D735" s="7">
        <v>14735</v>
      </c>
      <c r="E735" s="7">
        <v>14670</v>
      </c>
      <c r="F735" s="7">
        <v>14670</v>
      </c>
      <c r="G735" s="34">
        <v>37</v>
      </c>
      <c r="H735" s="35">
        <v>0</v>
      </c>
      <c r="I735" s="38">
        <f t="shared" si="10"/>
        <v>14715</v>
      </c>
    </row>
    <row r="736" spans="1:9" x14ac:dyDescent="0.2">
      <c r="A736" s="33">
        <v>44116</v>
      </c>
      <c r="B736" s="36">
        <v>14680</v>
      </c>
      <c r="C736" s="7">
        <v>14720</v>
      </c>
      <c r="D736" s="7">
        <v>14710</v>
      </c>
      <c r="E736" s="7">
        <v>14650</v>
      </c>
      <c r="F736" s="7">
        <v>14650</v>
      </c>
      <c r="G736" s="34">
        <v>24</v>
      </c>
      <c r="H736" s="35">
        <v>5</v>
      </c>
      <c r="I736" s="38">
        <f t="shared" ref="I736:I799" si="11">+(B736+C736)*0.5</f>
        <v>14700</v>
      </c>
    </row>
    <row r="737" spans="1:9" x14ac:dyDescent="0.2">
      <c r="A737" s="33">
        <v>44113</v>
      </c>
      <c r="B737" s="36">
        <v>14675</v>
      </c>
      <c r="C737" s="7">
        <v>14725</v>
      </c>
      <c r="D737" s="7">
        <v>14710</v>
      </c>
      <c r="E737" s="7">
        <v>14660</v>
      </c>
      <c r="F737" s="7">
        <v>14660</v>
      </c>
      <c r="G737" s="34">
        <v>31</v>
      </c>
      <c r="H737" s="35">
        <v>-10</v>
      </c>
      <c r="I737" s="38">
        <f t="shared" si="11"/>
        <v>14700</v>
      </c>
    </row>
    <row r="738" spans="1:9" x14ac:dyDescent="0.2">
      <c r="A738" s="33">
        <v>44112</v>
      </c>
      <c r="B738" s="36">
        <v>14685</v>
      </c>
      <c r="C738" s="7">
        <v>14735</v>
      </c>
      <c r="D738" s="7">
        <v>14706</v>
      </c>
      <c r="E738" s="7">
        <v>14670</v>
      </c>
      <c r="F738" s="7">
        <v>14670</v>
      </c>
      <c r="G738" s="34">
        <v>61</v>
      </c>
      <c r="H738" s="35">
        <v>-5</v>
      </c>
      <c r="I738" s="38">
        <f t="shared" si="11"/>
        <v>14710</v>
      </c>
    </row>
    <row r="739" spans="1:9" x14ac:dyDescent="0.2">
      <c r="A739" s="33">
        <v>44111</v>
      </c>
      <c r="B739" s="36">
        <v>14690</v>
      </c>
      <c r="C739" s="7">
        <v>14730</v>
      </c>
      <c r="D739" s="7">
        <v>14750</v>
      </c>
      <c r="E739" s="7">
        <v>14685</v>
      </c>
      <c r="F739" s="7">
        <v>14700</v>
      </c>
      <c r="G739" s="34">
        <v>73</v>
      </c>
      <c r="H739" s="35">
        <v>-20</v>
      </c>
      <c r="I739" s="38">
        <f t="shared" si="11"/>
        <v>14710</v>
      </c>
    </row>
    <row r="740" spans="1:9" x14ac:dyDescent="0.2">
      <c r="A740" s="33">
        <v>44110</v>
      </c>
      <c r="B740" s="36">
        <v>14710</v>
      </c>
      <c r="C740" s="7">
        <v>14760</v>
      </c>
      <c r="D740" s="7">
        <v>14735</v>
      </c>
      <c r="E740" s="7">
        <v>14600</v>
      </c>
      <c r="F740" s="7">
        <v>14600</v>
      </c>
      <c r="G740" s="34">
        <v>54</v>
      </c>
      <c r="H740" s="35">
        <v>-80</v>
      </c>
      <c r="I740" s="38">
        <f t="shared" si="11"/>
        <v>14735</v>
      </c>
    </row>
    <row r="741" spans="1:9" x14ac:dyDescent="0.2">
      <c r="A741" s="33">
        <v>44109</v>
      </c>
      <c r="B741" s="36">
        <v>14790</v>
      </c>
      <c r="C741" s="7">
        <v>14810</v>
      </c>
      <c r="D741" s="7">
        <v>14835</v>
      </c>
      <c r="E741" s="7">
        <v>14789</v>
      </c>
      <c r="F741" s="7">
        <v>14800</v>
      </c>
      <c r="G741" s="34">
        <v>113</v>
      </c>
      <c r="H741" s="35">
        <v>-40</v>
      </c>
      <c r="I741" s="38">
        <f t="shared" si="11"/>
        <v>14800</v>
      </c>
    </row>
    <row r="742" spans="1:9" x14ac:dyDescent="0.2">
      <c r="A742" s="33">
        <v>44106</v>
      </c>
      <c r="B742" s="36">
        <v>14830</v>
      </c>
      <c r="C742" s="7">
        <v>14890</v>
      </c>
      <c r="D742" s="7">
        <v>14880</v>
      </c>
      <c r="E742" s="7">
        <v>14800</v>
      </c>
      <c r="F742" s="7">
        <v>14800</v>
      </c>
      <c r="G742" s="34">
        <v>45</v>
      </c>
      <c r="H742" s="35">
        <v>10</v>
      </c>
      <c r="I742" s="38">
        <f t="shared" si="11"/>
        <v>14860</v>
      </c>
    </row>
    <row r="743" spans="1:9" x14ac:dyDescent="0.2">
      <c r="A743" s="33">
        <v>44105</v>
      </c>
      <c r="B743" s="36">
        <v>14820</v>
      </c>
      <c r="C743" s="7">
        <v>14850</v>
      </c>
      <c r="D743" s="7">
        <v>14850</v>
      </c>
      <c r="E743" s="7">
        <v>14800</v>
      </c>
      <c r="F743" s="7">
        <v>14800</v>
      </c>
      <c r="G743" s="34">
        <v>47</v>
      </c>
      <c r="H743" s="35">
        <v>-20</v>
      </c>
      <c r="I743" s="38">
        <f t="shared" si="11"/>
        <v>14835</v>
      </c>
    </row>
    <row r="744" spans="1:9" x14ac:dyDescent="0.2">
      <c r="A744" s="33">
        <v>44104</v>
      </c>
      <c r="B744" s="36">
        <v>14840</v>
      </c>
      <c r="C744" s="7">
        <v>14920</v>
      </c>
      <c r="D744" s="7">
        <v>14884</v>
      </c>
      <c r="E744" s="7">
        <v>14825</v>
      </c>
      <c r="F744" s="7">
        <v>14825</v>
      </c>
      <c r="G744" s="34">
        <v>40</v>
      </c>
      <c r="H744" s="35">
        <v>-5</v>
      </c>
      <c r="I744" s="38">
        <f t="shared" si="11"/>
        <v>14880</v>
      </c>
    </row>
    <row r="745" spans="1:9" x14ac:dyDescent="0.2">
      <c r="A745" s="33">
        <v>44103</v>
      </c>
      <c r="B745" s="36">
        <v>14845</v>
      </c>
      <c r="C745" s="7">
        <v>14945</v>
      </c>
      <c r="D745" s="7">
        <v>14916</v>
      </c>
      <c r="E745" s="7">
        <v>14840</v>
      </c>
      <c r="F745" s="7">
        <v>14850</v>
      </c>
      <c r="G745" s="34">
        <v>55</v>
      </c>
      <c r="H745" s="35">
        <v>-5</v>
      </c>
      <c r="I745" s="38">
        <f t="shared" si="11"/>
        <v>14895</v>
      </c>
    </row>
    <row r="746" spans="1:9" x14ac:dyDescent="0.2">
      <c r="A746" s="33">
        <v>44102</v>
      </c>
      <c r="B746" s="36">
        <v>14850</v>
      </c>
      <c r="C746" s="7">
        <v>14950</v>
      </c>
      <c r="D746" s="7">
        <v>14929</v>
      </c>
      <c r="E746" s="7">
        <v>14840</v>
      </c>
      <c r="F746" s="7">
        <v>14840</v>
      </c>
      <c r="G746" s="34">
        <v>46</v>
      </c>
      <c r="H746" s="35">
        <v>5</v>
      </c>
      <c r="I746" s="38">
        <f t="shared" si="11"/>
        <v>14900</v>
      </c>
    </row>
    <row r="747" spans="1:9" x14ac:dyDescent="0.2">
      <c r="A747" s="33">
        <v>44099</v>
      </c>
      <c r="B747" s="36">
        <v>14845</v>
      </c>
      <c r="C747" s="7">
        <v>14895</v>
      </c>
      <c r="D747" s="7">
        <v>14930</v>
      </c>
      <c r="E747" s="7">
        <v>14830</v>
      </c>
      <c r="F747" s="7">
        <v>14840</v>
      </c>
      <c r="G747" s="34">
        <v>95</v>
      </c>
      <c r="H747" s="35">
        <v>0</v>
      </c>
      <c r="I747" s="38">
        <f t="shared" si="11"/>
        <v>14870</v>
      </c>
    </row>
    <row r="748" spans="1:9" x14ac:dyDescent="0.2">
      <c r="A748" s="33">
        <v>44098</v>
      </c>
      <c r="B748" s="36">
        <v>14845</v>
      </c>
      <c r="C748" s="7">
        <v>14935</v>
      </c>
      <c r="D748" s="7">
        <v>14860</v>
      </c>
      <c r="E748" s="7">
        <v>14780</v>
      </c>
      <c r="F748" s="7">
        <v>14780</v>
      </c>
      <c r="G748" s="34">
        <v>41</v>
      </c>
      <c r="H748" s="35">
        <v>65</v>
      </c>
      <c r="I748" s="38">
        <f t="shared" si="11"/>
        <v>14890</v>
      </c>
    </row>
    <row r="749" spans="1:9" x14ac:dyDescent="0.2">
      <c r="A749" s="33">
        <v>44097</v>
      </c>
      <c r="B749" s="36">
        <v>14780</v>
      </c>
      <c r="C749" s="7">
        <v>14850</v>
      </c>
      <c r="D749" s="7">
        <v>14830</v>
      </c>
      <c r="E749" s="7">
        <v>14750</v>
      </c>
      <c r="F749" s="7">
        <v>14750</v>
      </c>
      <c r="G749" s="34">
        <v>74</v>
      </c>
      <c r="H749" s="35">
        <v>30</v>
      </c>
      <c r="I749" s="38">
        <f t="shared" si="11"/>
        <v>14815</v>
      </c>
    </row>
    <row r="750" spans="1:9" x14ac:dyDescent="0.2">
      <c r="A750" s="33">
        <v>44096</v>
      </c>
      <c r="B750" s="36">
        <v>14750</v>
      </c>
      <c r="C750" s="7">
        <v>14820</v>
      </c>
      <c r="D750" s="7">
        <v>14799</v>
      </c>
      <c r="E750" s="7">
        <v>14680</v>
      </c>
      <c r="F750" s="7">
        <v>14680</v>
      </c>
      <c r="G750" s="34">
        <v>53</v>
      </c>
      <c r="H750" s="35">
        <v>60</v>
      </c>
      <c r="I750" s="38">
        <f t="shared" si="11"/>
        <v>14785</v>
      </c>
    </row>
    <row r="751" spans="1:9" x14ac:dyDescent="0.2">
      <c r="A751" s="33">
        <v>44095</v>
      </c>
      <c r="B751" s="36">
        <v>14690</v>
      </c>
      <c r="C751" s="7">
        <v>14710</v>
      </c>
      <c r="D751" s="7">
        <v>14715</v>
      </c>
      <c r="E751" s="7">
        <v>14643</v>
      </c>
      <c r="F751" s="7">
        <v>14650</v>
      </c>
      <c r="G751" s="34">
        <v>105</v>
      </c>
      <c r="H751" s="35">
        <v>-40</v>
      </c>
      <c r="I751" s="38">
        <f t="shared" si="11"/>
        <v>14700</v>
      </c>
    </row>
    <row r="752" spans="1:9" x14ac:dyDescent="0.2">
      <c r="A752" s="33">
        <v>44092</v>
      </c>
      <c r="B752" s="36">
        <v>14730</v>
      </c>
      <c r="C752" s="7">
        <v>14740</v>
      </c>
      <c r="D752" s="7">
        <v>14765</v>
      </c>
      <c r="E752" s="7">
        <v>14691</v>
      </c>
      <c r="F752" s="7">
        <v>14750</v>
      </c>
      <c r="G752" s="34">
        <v>132</v>
      </c>
      <c r="H752" s="35">
        <v>-90</v>
      </c>
      <c r="I752" s="38">
        <f t="shared" si="11"/>
        <v>14735</v>
      </c>
    </row>
    <row r="753" spans="1:9" x14ac:dyDescent="0.2">
      <c r="A753" s="33">
        <v>44091</v>
      </c>
      <c r="B753" s="36">
        <v>14820</v>
      </c>
      <c r="C753" s="7">
        <v>14840</v>
      </c>
      <c r="D753" s="7">
        <v>14845</v>
      </c>
      <c r="E753" s="7">
        <v>14780</v>
      </c>
      <c r="F753" s="7">
        <v>14780</v>
      </c>
      <c r="G753" s="34">
        <v>81</v>
      </c>
      <c r="H753" s="35">
        <v>-5</v>
      </c>
      <c r="I753" s="38">
        <f t="shared" si="11"/>
        <v>14830</v>
      </c>
    </row>
    <row r="754" spans="1:9" x14ac:dyDescent="0.2">
      <c r="A754" s="33">
        <v>44090</v>
      </c>
      <c r="B754" s="36">
        <v>14825</v>
      </c>
      <c r="C754" s="7">
        <v>14845</v>
      </c>
      <c r="D754" s="7">
        <v>14870</v>
      </c>
      <c r="E754" s="7">
        <v>14780</v>
      </c>
      <c r="F754" s="7">
        <v>14780</v>
      </c>
      <c r="G754" s="34">
        <v>126</v>
      </c>
      <c r="H754" s="35">
        <v>-10</v>
      </c>
      <c r="I754" s="38">
        <f t="shared" si="11"/>
        <v>14835</v>
      </c>
    </row>
    <row r="755" spans="1:9" x14ac:dyDescent="0.2">
      <c r="A755" s="33">
        <v>44089</v>
      </c>
      <c r="B755" s="36">
        <v>14835</v>
      </c>
      <c r="C755" s="7">
        <v>14855</v>
      </c>
      <c r="D755" s="7">
        <v>14870</v>
      </c>
      <c r="E755" s="7">
        <v>14794</v>
      </c>
      <c r="F755" s="7">
        <v>14800</v>
      </c>
      <c r="G755" s="34">
        <v>138</v>
      </c>
      <c r="H755" s="35">
        <v>-25</v>
      </c>
      <c r="I755" s="38">
        <f t="shared" si="11"/>
        <v>14845</v>
      </c>
    </row>
    <row r="756" spans="1:9" x14ac:dyDescent="0.2">
      <c r="A756" s="33">
        <v>44088</v>
      </c>
      <c r="B756" s="36">
        <v>14860</v>
      </c>
      <c r="C756" s="7">
        <v>14900</v>
      </c>
      <c r="D756" s="7">
        <v>14930</v>
      </c>
      <c r="E756" s="7">
        <v>14850</v>
      </c>
      <c r="F756" s="7">
        <v>14850</v>
      </c>
      <c r="G756" s="34">
        <v>46</v>
      </c>
      <c r="H756" s="35">
        <v>0</v>
      </c>
      <c r="I756" s="38">
        <f t="shared" si="11"/>
        <v>14880</v>
      </c>
    </row>
    <row r="757" spans="1:9" x14ac:dyDescent="0.2">
      <c r="A757" s="33">
        <v>44085</v>
      </c>
      <c r="B757" s="36">
        <v>14860</v>
      </c>
      <c r="C757" s="7">
        <v>14920</v>
      </c>
      <c r="D757" s="7">
        <v>14950</v>
      </c>
      <c r="E757" s="7">
        <v>14850</v>
      </c>
      <c r="F757" s="7">
        <v>14850</v>
      </c>
      <c r="G757" s="34">
        <v>119</v>
      </c>
      <c r="H757" s="35">
        <v>40</v>
      </c>
      <c r="I757" s="38">
        <f t="shared" si="11"/>
        <v>14890</v>
      </c>
    </row>
    <row r="758" spans="1:9" x14ac:dyDescent="0.2">
      <c r="A758" s="33">
        <v>44084</v>
      </c>
      <c r="B758" s="36">
        <v>14820</v>
      </c>
      <c r="C758" s="7">
        <v>14890</v>
      </c>
      <c r="D758" s="7">
        <v>14880</v>
      </c>
      <c r="E758" s="7">
        <v>14750</v>
      </c>
      <c r="F758" s="7">
        <v>14750</v>
      </c>
      <c r="G758" s="34">
        <v>56</v>
      </c>
      <c r="H758" s="35">
        <v>40</v>
      </c>
      <c r="I758" s="38">
        <f t="shared" si="11"/>
        <v>14855</v>
      </c>
    </row>
    <row r="759" spans="1:9" x14ac:dyDescent="0.2">
      <c r="A759" s="33">
        <v>44083</v>
      </c>
      <c r="B759" s="36">
        <v>14780</v>
      </c>
      <c r="C759" s="7">
        <v>14790</v>
      </c>
      <c r="D759" s="7">
        <v>14850</v>
      </c>
      <c r="E759" s="7">
        <v>14750</v>
      </c>
      <c r="F759" s="7">
        <v>14750</v>
      </c>
      <c r="G759" s="34">
        <v>96</v>
      </c>
      <c r="H759" s="35">
        <v>20</v>
      </c>
      <c r="I759" s="38">
        <f t="shared" si="11"/>
        <v>14785</v>
      </c>
    </row>
    <row r="760" spans="1:9" x14ac:dyDescent="0.2">
      <c r="A760" s="33">
        <v>44082</v>
      </c>
      <c r="B760" s="36">
        <v>14760</v>
      </c>
      <c r="C760" s="7">
        <v>14770</v>
      </c>
      <c r="D760" s="7">
        <v>14795</v>
      </c>
      <c r="E760" s="7">
        <v>14700</v>
      </c>
      <c r="F760" s="7">
        <v>14700</v>
      </c>
      <c r="G760" s="34">
        <v>81</v>
      </c>
      <c r="H760" s="35">
        <v>30</v>
      </c>
      <c r="I760" s="38">
        <f t="shared" si="11"/>
        <v>14765</v>
      </c>
    </row>
    <row r="761" spans="1:9" x14ac:dyDescent="0.2">
      <c r="A761" s="33">
        <v>44081</v>
      </c>
      <c r="B761" s="36">
        <v>14730</v>
      </c>
      <c r="C761" s="7">
        <v>14750</v>
      </c>
      <c r="D761" s="7">
        <v>14750</v>
      </c>
      <c r="E761" s="7">
        <v>14700</v>
      </c>
      <c r="F761" s="7">
        <v>14700</v>
      </c>
      <c r="G761" s="34">
        <v>94</v>
      </c>
      <c r="H761" s="35">
        <v>-10</v>
      </c>
      <c r="I761" s="38">
        <f t="shared" si="11"/>
        <v>14740</v>
      </c>
    </row>
    <row r="762" spans="1:9" x14ac:dyDescent="0.2">
      <c r="A762" s="33">
        <v>44078</v>
      </c>
      <c r="B762" s="36">
        <v>14740</v>
      </c>
      <c r="C762" s="7">
        <v>14755</v>
      </c>
      <c r="D762" s="7">
        <v>14795</v>
      </c>
      <c r="E762" s="7">
        <v>14700</v>
      </c>
      <c r="F762" s="7">
        <v>14700</v>
      </c>
      <c r="G762" s="34">
        <v>120</v>
      </c>
      <c r="H762" s="35">
        <v>-20</v>
      </c>
      <c r="I762" s="38">
        <f t="shared" si="11"/>
        <v>14747.5</v>
      </c>
    </row>
    <row r="763" spans="1:9" x14ac:dyDescent="0.2">
      <c r="A763" s="33">
        <v>44077</v>
      </c>
      <c r="B763" s="36">
        <v>14760</v>
      </c>
      <c r="C763" s="7">
        <v>14790</v>
      </c>
      <c r="D763" s="7">
        <v>14820</v>
      </c>
      <c r="E763" s="7">
        <v>14750</v>
      </c>
      <c r="F763" s="7">
        <v>14750</v>
      </c>
      <c r="G763" s="34">
        <v>163</v>
      </c>
      <c r="H763" s="35">
        <v>20</v>
      </c>
      <c r="I763" s="38">
        <f t="shared" si="11"/>
        <v>14775</v>
      </c>
    </row>
    <row r="764" spans="1:9" x14ac:dyDescent="0.2">
      <c r="A764" s="33">
        <v>44076</v>
      </c>
      <c r="B764" s="36">
        <v>14740</v>
      </c>
      <c r="C764" s="7">
        <v>14750</v>
      </c>
      <c r="D764" s="7">
        <v>14800</v>
      </c>
      <c r="E764" s="7">
        <v>14600</v>
      </c>
      <c r="F764" s="7">
        <v>14600</v>
      </c>
      <c r="G764" s="34">
        <v>107</v>
      </c>
      <c r="H764" s="35">
        <v>175</v>
      </c>
      <c r="I764" s="38">
        <f t="shared" si="11"/>
        <v>14745</v>
      </c>
    </row>
    <row r="765" spans="1:9" x14ac:dyDescent="0.2">
      <c r="A765" s="33">
        <v>44075</v>
      </c>
      <c r="B765" s="36">
        <v>14565</v>
      </c>
      <c r="C765" s="7">
        <v>14575</v>
      </c>
      <c r="D765" s="7">
        <v>14610</v>
      </c>
      <c r="E765" s="7">
        <v>14530</v>
      </c>
      <c r="F765" s="7">
        <v>14530</v>
      </c>
      <c r="G765" s="34">
        <v>101</v>
      </c>
      <c r="H765" s="35">
        <v>5</v>
      </c>
      <c r="I765" s="38">
        <f t="shared" si="11"/>
        <v>14570</v>
      </c>
    </row>
    <row r="766" spans="1:9" x14ac:dyDescent="0.2">
      <c r="A766" s="33">
        <v>44074</v>
      </c>
      <c r="B766" s="36">
        <v>14560</v>
      </c>
      <c r="C766" s="7">
        <v>14565</v>
      </c>
      <c r="D766" s="7">
        <v>14560</v>
      </c>
      <c r="E766" s="7">
        <v>14500</v>
      </c>
      <c r="F766" s="7">
        <v>14500</v>
      </c>
      <c r="G766" s="34">
        <v>102</v>
      </c>
      <c r="H766" s="35">
        <v>-55</v>
      </c>
      <c r="I766" s="38">
        <f t="shared" si="11"/>
        <v>14562.5</v>
      </c>
    </row>
    <row r="767" spans="1:9" x14ac:dyDescent="0.2">
      <c r="A767" s="33">
        <v>44071</v>
      </c>
      <c r="B767" s="36">
        <v>14615</v>
      </c>
      <c r="C767" s="7">
        <v>14635</v>
      </c>
      <c r="D767" s="7">
        <v>14708</v>
      </c>
      <c r="E767" s="7">
        <v>14594</v>
      </c>
      <c r="F767" s="7">
        <v>14650</v>
      </c>
      <c r="G767" s="34">
        <v>138</v>
      </c>
      <c r="H767" s="35">
        <v>-35</v>
      </c>
      <c r="I767" s="38">
        <f t="shared" si="11"/>
        <v>14625</v>
      </c>
    </row>
    <row r="768" spans="1:9" x14ac:dyDescent="0.2">
      <c r="A768" s="33">
        <v>44070</v>
      </c>
      <c r="B768" s="36">
        <v>14650</v>
      </c>
      <c r="C768" s="7">
        <v>14670</v>
      </c>
      <c r="D768" s="7">
        <v>14725</v>
      </c>
      <c r="E768" s="7">
        <v>14600</v>
      </c>
      <c r="F768" s="7">
        <v>14600</v>
      </c>
      <c r="G768" s="34">
        <v>102</v>
      </c>
      <c r="H768" s="35">
        <v>-20</v>
      </c>
      <c r="I768" s="38">
        <f t="shared" si="11"/>
        <v>14660</v>
      </c>
    </row>
    <row r="769" spans="1:9" x14ac:dyDescent="0.2">
      <c r="A769" s="33">
        <v>44069</v>
      </c>
      <c r="B769" s="36">
        <v>14670</v>
      </c>
      <c r="C769" s="7">
        <v>14675</v>
      </c>
      <c r="D769" s="7">
        <v>14690</v>
      </c>
      <c r="E769" s="7">
        <v>14580</v>
      </c>
      <c r="F769" s="7">
        <v>14580</v>
      </c>
      <c r="G769" s="34">
        <v>140</v>
      </c>
      <c r="H769" s="35">
        <v>30</v>
      </c>
      <c r="I769" s="38">
        <f t="shared" si="11"/>
        <v>14672.5</v>
      </c>
    </row>
    <row r="770" spans="1:9" x14ac:dyDescent="0.2">
      <c r="A770" s="33">
        <v>44068</v>
      </c>
      <c r="B770" s="36">
        <v>14640</v>
      </c>
      <c r="C770" s="7">
        <v>14650</v>
      </c>
      <c r="D770" s="7">
        <v>14655</v>
      </c>
      <c r="E770" s="7">
        <v>14550</v>
      </c>
      <c r="F770" s="7">
        <v>14550</v>
      </c>
      <c r="G770" s="34">
        <v>117</v>
      </c>
      <c r="H770" s="35">
        <v>-30</v>
      </c>
      <c r="I770" s="38">
        <f t="shared" si="11"/>
        <v>14645</v>
      </c>
    </row>
    <row r="771" spans="1:9" x14ac:dyDescent="0.2">
      <c r="A771" s="33">
        <v>44067</v>
      </c>
      <c r="B771" s="36">
        <v>14670</v>
      </c>
      <c r="C771" s="7">
        <v>14671</v>
      </c>
      <c r="D771" s="7">
        <v>14795</v>
      </c>
      <c r="E771" s="7">
        <v>14670</v>
      </c>
      <c r="F771" s="7">
        <v>14750</v>
      </c>
      <c r="G771" s="34">
        <v>143</v>
      </c>
      <c r="H771" s="35">
        <v>-100</v>
      </c>
      <c r="I771" s="38">
        <f t="shared" si="11"/>
        <v>14670.5</v>
      </c>
    </row>
    <row r="772" spans="1:9" x14ac:dyDescent="0.2">
      <c r="A772" s="33">
        <v>44064</v>
      </c>
      <c r="B772" s="36">
        <v>14770</v>
      </c>
      <c r="C772" s="7">
        <v>14772</v>
      </c>
      <c r="D772" s="7"/>
      <c r="E772" s="7"/>
      <c r="F772" s="7"/>
      <c r="G772" s="34"/>
      <c r="H772" s="35">
        <v>0</v>
      </c>
      <c r="I772" s="38">
        <f t="shared" si="11"/>
        <v>14771</v>
      </c>
    </row>
    <row r="773" spans="1:9" x14ac:dyDescent="0.2">
      <c r="A773" s="33">
        <v>44063</v>
      </c>
      <c r="B773" s="36">
        <v>14770</v>
      </c>
      <c r="C773" s="7">
        <v>14772</v>
      </c>
      <c r="D773" s="7"/>
      <c r="E773" s="7"/>
      <c r="F773" s="7"/>
      <c r="G773" s="34"/>
      <c r="H773" s="35">
        <v>0</v>
      </c>
      <c r="I773" s="38">
        <f t="shared" si="11"/>
        <v>14771</v>
      </c>
    </row>
    <row r="774" spans="1:9" x14ac:dyDescent="0.2">
      <c r="A774" s="33">
        <v>44062</v>
      </c>
      <c r="B774" s="36">
        <v>14770</v>
      </c>
      <c r="C774" s="7">
        <v>14772</v>
      </c>
      <c r="D774" s="7">
        <v>14790</v>
      </c>
      <c r="E774" s="7">
        <v>14700</v>
      </c>
      <c r="F774" s="7">
        <v>14700</v>
      </c>
      <c r="G774" s="34">
        <v>158</v>
      </c>
      <c r="H774" s="35">
        <v>-60</v>
      </c>
      <c r="I774" s="38">
        <f t="shared" si="11"/>
        <v>14771</v>
      </c>
    </row>
    <row r="775" spans="1:9" x14ac:dyDescent="0.2">
      <c r="A775" s="33">
        <v>44061</v>
      </c>
      <c r="B775" s="36">
        <v>14830</v>
      </c>
      <c r="C775" s="7">
        <v>14860</v>
      </c>
      <c r="D775" s="7">
        <v>14832</v>
      </c>
      <c r="E775" s="7">
        <v>14700</v>
      </c>
      <c r="F775" s="7">
        <v>14700</v>
      </c>
      <c r="G775" s="34">
        <v>196</v>
      </c>
      <c r="H775" s="35">
        <v>110</v>
      </c>
      <c r="I775" s="38">
        <f t="shared" si="11"/>
        <v>14845</v>
      </c>
    </row>
    <row r="776" spans="1:9" x14ac:dyDescent="0.2">
      <c r="A776" s="33">
        <v>44060</v>
      </c>
      <c r="B776" s="36">
        <v>14720</v>
      </c>
      <c r="C776" s="7">
        <v>14870</v>
      </c>
      <c r="D776" s="7"/>
      <c r="E776" s="7"/>
      <c r="F776" s="7"/>
      <c r="G776" s="34"/>
      <c r="H776" s="35">
        <v>0</v>
      </c>
      <c r="I776" s="38">
        <f t="shared" si="11"/>
        <v>14795</v>
      </c>
    </row>
    <row r="777" spans="1:9" x14ac:dyDescent="0.2">
      <c r="A777" s="33">
        <v>44057</v>
      </c>
      <c r="B777" s="36">
        <v>14720</v>
      </c>
      <c r="C777" s="7">
        <v>14870</v>
      </c>
      <c r="D777" s="7">
        <v>14769</v>
      </c>
      <c r="E777" s="7">
        <v>14700</v>
      </c>
      <c r="F777" s="7">
        <v>14700</v>
      </c>
      <c r="G777" s="34">
        <v>19</v>
      </c>
      <c r="H777" s="35">
        <v>20</v>
      </c>
      <c r="I777" s="38">
        <f t="shared" si="11"/>
        <v>14795</v>
      </c>
    </row>
    <row r="778" spans="1:9" x14ac:dyDescent="0.2">
      <c r="A778" s="33">
        <v>44056</v>
      </c>
      <c r="B778" s="36">
        <v>14700</v>
      </c>
      <c r="C778" s="7">
        <v>14850</v>
      </c>
      <c r="D778" s="7">
        <v>14720</v>
      </c>
      <c r="E778" s="7">
        <v>14650</v>
      </c>
      <c r="F778" s="7">
        <v>14685</v>
      </c>
      <c r="G778" s="34">
        <v>46</v>
      </c>
      <c r="H778" s="35">
        <v>15</v>
      </c>
      <c r="I778" s="38">
        <f t="shared" si="11"/>
        <v>14775</v>
      </c>
    </row>
    <row r="779" spans="1:9" x14ac:dyDescent="0.2">
      <c r="A779" s="33">
        <v>44055</v>
      </c>
      <c r="B779" s="36">
        <v>14685</v>
      </c>
      <c r="C779" s="7">
        <v>14835</v>
      </c>
      <c r="D779" s="7">
        <v>14695</v>
      </c>
      <c r="E779" s="7">
        <v>14630</v>
      </c>
      <c r="F779" s="7">
        <v>14630</v>
      </c>
      <c r="G779" s="34">
        <v>54</v>
      </c>
      <c r="H779" s="35">
        <v>65</v>
      </c>
      <c r="I779" s="38">
        <f t="shared" si="11"/>
        <v>14760</v>
      </c>
    </row>
    <row r="780" spans="1:9" x14ac:dyDescent="0.2">
      <c r="A780" s="33">
        <v>44054</v>
      </c>
      <c r="B780" s="36">
        <v>14620</v>
      </c>
      <c r="C780" s="7">
        <v>14740</v>
      </c>
      <c r="D780" s="7">
        <v>14645</v>
      </c>
      <c r="E780" s="7">
        <v>14575</v>
      </c>
      <c r="F780" s="7">
        <v>14575</v>
      </c>
      <c r="G780" s="34">
        <v>60</v>
      </c>
      <c r="H780" s="35">
        <v>30</v>
      </c>
      <c r="I780" s="38">
        <f t="shared" si="11"/>
        <v>14680</v>
      </c>
    </row>
    <row r="781" spans="1:9" x14ac:dyDescent="0.2">
      <c r="A781" s="33">
        <v>44053</v>
      </c>
      <c r="B781" s="36">
        <v>14590</v>
      </c>
      <c r="C781" s="7">
        <v>14690</v>
      </c>
      <c r="D781" s="7">
        <v>14625</v>
      </c>
      <c r="E781" s="7">
        <v>14550</v>
      </c>
      <c r="F781" s="7">
        <v>14550</v>
      </c>
      <c r="G781" s="34">
        <v>34</v>
      </c>
      <c r="H781" s="35">
        <v>10</v>
      </c>
      <c r="I781" s="38">
        <f t="shared" si="11"/>
        <v>14640</v>
      </c>
    </row>
    <row r="782" spans="1:9" x14ac:dyDescent="0.2">
      <c r="A782" s="33">
        <v>44050</v>
      </c>
      <c r="B782" s="36">
        <v>14580</v>
      </c>
      <c r="C782" s="7">
        <v>14670</v>
      </c>
      <c r="D782" s="7">
        <v>14660</v>
      </c>
      <c r="E782" s="7">
        <v>14550</v>
      </c>
      <c r="F782" s="7">
        <v>14550</v>
      </c>
      <c r="G782" s="34">
        <v>34</v>
      </c>
      <c r="H782" s="35">
        <v>0</v>
      </c>
      <c r="I782" s="38">
        <f t="shared" si="11"/>
        <v>14625</v>
      </c>
    </row>
    <row r="783" spans="1:9" x14ac:dyDescent="0.2">
      <c r="A783" s="33">
        <v>44049</v>
      </c>
      <c r="B783" s="36">
        <v>14580</v>
      </c>
      <c r="C783" s="7">
        <v>14590</v>
      </c>
      <c r="D783" s="7">
        <v>14600</v>
      </c>
      <c r="E783" s="7">
        <v>14450</v>
      </c>
      <c r="F783" s="7">
        <v>14450</v>
      </c>
      <c r="G783" s="34">
        <v>83</v>
      </c>
      <c r="H783" s="35">
        <v>60</v>
      </c>
      <c r="I783" s="38">
        <f t="shared" si="11"/>
        <v>14585</v>
      </c>
    </row>
    <row r="784" spans="1:9" x14ac:dyDescent="0.2">
      <c r="A784" s="33">
        <v>44048</v>
      </c>
      <c r="B784" s="36">
        <v>14520</v>
      </c>
      <c r="C784" s="7">
        <v>14580</v>
      </c>
      <c r="D784" s="7">
        <v>14580</v>
      </c>
      <c r="E784" s="7">
        <v>14495</v>
      </c>
      <c r="F784" s="7">
        <v>14530</v>
      </c>
      <c r="G784" s="34">
        <v>61</v>
      </c>
      <c r="H784" s="35">
        <v>-30</v>
      </c>
      <c r="I784" s="38">
        <f t="shared" si="11"/>
        <v>14550</v>
      </c>
    </row>
    <row r="785" spans="1:9" x14ac:dyDescent="0.2">
      <c r="A785" s="33">
        <v>44047</v>
      </c>
      <c r="B785" s="36">
        <v>14550</v>
      </c>
      <c r="C785" s="7">
        <v>14690</v>
      </c>
      <c r="D785" s="7">
        <v>14600</v>
      </c>
      <c r="E785" s="7">
        <v>14550</v>
      </c>
      <c r="F785" s="7">
        <v>14560</v>
      </c>
      <c r="G785" s="34">
        <v>50</v>
      </c>
      <c r="H785" s="35">
        <v>-10</v>
      </c>
      <c r="I785" s="38">
        <f t="shared" si="11"/>
        <v>14620</v>
      </c>
    </row>
    <row r="786" spans="1:9" x14ac:dyDescent="0.2">
      <c r="A786" s="33">
        <v>44046</v>
      </c>
      <c r="B786" s="36">
        <v>14560</v>
      </c>
      <c r="C786" s="7">
        <v>14700</v>
      </c>
      <c r="D786" s="7">
        <v>14580</v>
      </c>
      <c r="E786" s="7">
        <v>14520</v>
      </c>
      <c r="F786" s="7">
        <v>14530</v>
      </c>
      <c r="G786" s="34">
        <v>15</v>
      </c>
      <c r="H786" s="35">
        <v>30</v>
      </c>
      <c r="I786" s="38">
        <f t="shared" si="11"/>
        <v>14630</v>
      </c>
    </row>
    <row r="787" spans="1:9" x14ac:dyDescent="0.2">
      <c r="A787" s="33">
        <v>44043</v>
      </c>
      <c r="B787" s="36">
        <v>14530</v>
      </c>
      <c r="C787" s="7">
        <v>14670</v>
      </c>
      <c r="D787" s="7"/>
      <c r="E787" s="7"/>
      <c r="F787" s="7"/>
      <c r="G787" s="34"/>
      <c r="H787" s="35">
        <v>0</v>
      </c>
      <c r="I787" s="38">
        <f t="shared" si="11"/>
        <v>14600</v>
      </c>
    </row>
    <row r="788" spans="1:9" x14ac:dyDescent="0.2">
      <c r="A788" s="33">
        <v>44042</v>
      </c>
      <c r="B788" s="36">
        <v>14530</v>
      </c>
      <c r="C788" s="7">
        <v>14670</v>
      </c>
      <c r="D788" s="7">
        <v>14550</v>
      </c>
      <c r="E788" s="7">
        <v>14450</v>
      </c>
      <c r="F788" s="7">
        <v>14450</v>
      </c>
      <c r="G788" s="34">
        <v>30</v>
      </c>
      <c r="H788" s="35">
        <v>60</v>
      </c>
      <c r="I788" s="38">
        <f t="shared" si="11"/>
        <v>14600</v>
      </c>
    </row>
    <row r="789" spans="1:9" x14ac:dyDescent="0.2">
      <c r="A789" s="33">
        <v>44041</v>
      </c>
      <c r="B789" s="36">
        <v>14470</v>
      </c>
      <c r="C789" s="7">
        <v>14600</v>
      </c>
      <c r="D789" s="7">
        <v>14520</v>
      </c>
      <c r="E789" s="7">
        <v>14449</v>
      </c>
      <c r="F789" s="7">
        <v>14450</v>
      </c>
      <c r="G789" s="34">
        <v>97</v>
      </c>
      <c r="H789" s="35">
        <v>-10</v>
      </c>
      <c r="I789" s="38">
        <f t="shared" si="11"/>
        <v>14535</v>
      </c>
    </row>
    <row r="790" spans="1:9" x14ac:dyDescent="0.2">
      <c r="A790" s="33">
        <v>44040</v>
      </c>
      <c r="B790" s="36">
        <v>14480</v>
      </c>
      <c r="C790" s="7">
        <v>14590</v>
      </c>
      <c r="D790" s="7">
        <v>14530</v>
      </c>
      <c r="E790" s="7">
        <v>14420</v>
      </c>
      <c r="F790" s="7">
        <v>14450</v>
      </c>
      <c r="G790" s="34">
        <v>33</v>
      </c>
      <c r="H790" s="35">
        <v>-10</v>
      </c>
      <c r="I790" s="38">
        <f t="shared" si="11"/>
        <v>14535</v>
      </c>
    </row>
    <row r="791" spans="1:9" x14ac:dyDescent="0.2">
      <c r="A791" s="33">
        <v>44039</v>
      </c>
      <c r="B791" s="36">
        <v>14490</v>
      </c>
      <c r="C791" s="7">
        <v>14550</v>
      </c>
      <c r="D791" s="7">
        <v>14530</v>
      </c>
      <c r="E791" s="7">
        <v>14450</v>
      </c>
      <c r="F791" s="7">
        <v>14500</v>
      </c>
      <c r="G791" s="34">
        <v>65</v>
      </c>
      <c r="H791" s="35">
        <v>-50</v>
      </c>
      <c r="I791" s="38">
        <f t="shared" si="11"/>
        <v>14520</v>
      </c>
    </row>
    <row r="792" spans="1:9" x14ac:dyDescent="0.2">
      <c r="A792" s="33">
        <v>44036</v>
      </c>
      <c r="B792" s="36">
        <v>14540</v>
      </c>
      <c r="C792" s="7">
        <v>14680</v>
      </c>
      <c r="D792" s="7">
        <v>14540</v>
      </c>
      <c r="E792" s="7">
        <v>14460</v>
      </c>
      <c r="F792" s="7">
        <v>14500</v>
      </c>
      <c r="G792" s="34">
        <v>26</v>
      </c>
      <c r="H792" s="35">
        <v>-10</v>
      </c>
      <c r="I792" s="38">
        <f t="shared" si="11"/>
        <v>14610</v>
      </c>
    </row>
    <row r="793" spans="1:9" x14ac:dyDescent="0.2">
      <c r="A793" s="33">
        <v>44035</v>
      </c>
      <c r="B793" s="36">
        <v>14550</v>
      </c>
      <c r="C793" s="7">
        <v>14610</v>
      </c>
      <c r="D793" s="7">
        <v>14650</v>
      </c>
      <c r="E793" s="7">
        <v>14510</v>
      </c>
      <c r="F793" s="7">
        <v>14600</v>
      </c>
      <c r="G793" s="34">
        <v>82</v>
      </c>
      <c r="H793" s="35">
        <v>-80</v>
      </c>
      <c r="I793" s="38">
        <f t="shared" si="11"/>
        <v>14580</v>
      </c>
    </row>
    <row r="794" spans="1:9" x14ac:dyDescent="0.2">
      <c r="A794" s="33">
        <v>44034</v>
      </c>
      <c r="B794" s="36">
        <v>14630</v>
      </c>
      <c r="C794" s="7">
        <v>14670</v>
      </c>
      <c r="D794" s="7">
        <v>14660</v>
      </c>
      <c r="E794" s="7">
        <v>14600</v>
      </c>
      <c r="F794" s="7">
        <v>14600</v>
      </c>
      <c r="G794" s="34">
        <v>102</v>
      </c>
      <c r="H794" s="35">
        <v>-50</v>
      </c>
      <c r="I794" s="38">
        <f t="shared" si="11"/>
        <v>14650</v>
      </c>
    </row>
    <row r="795" spans="1:9" x14ac:dyDescent="0.2">
      <c r="A795" s="33">
        <v>44033</v>
      </c>
      <c r="B795" s="36">
        <v>14680</v>
      </c>
      <c r="C795" s="7">
        <v>14797</v>
      </c>
      <c r="D795" s="7">
        <v>14710</v>
      </c>
      <c r="E795" s="7">
        <v>14670</v>
      </c>
      <c r="F795" s="7">
        <v>14710</v>
      </c>
      <c r="G795" s="34">
        <v>99</v>
      </c>
      <c r="H795" s="35">
        <v>-30</v>
      </c>
      <c r="I795" s="38">
        <f t="shared" si="11"/>
        <v>14738.5</v>
      </c>
    </row>
    <row r="796" spans="1:9" x14ac:dyDescent="0.2">
      <c r="A796" s="33">
        <v>44032</v>
      </c>
      <c r="B796" s="36">
        <v>14710</v>
      </c>
      <c r="C796" s="7">
        <v>14860</v>
      </c>
      <c r="D796" s="7">
        <v>14830</v>
      </c>
      <c r="E796" s="7">
        <v>14620</v>
      </c>
      <c r="F796" s="7">
        <v>14620</v>
      </c>
      <c r="G796" s="34">
        <v>42</v>
      </c>
      <c r="H796" s="35">
        <v>90</v>
      </c>
      <c r="I796" s="38">
        <f t="shared" si="11"/>
        <v>14785</v>
      </c>
    </row>
    <row r="797" spans="1:9" x14ac:dyDescent="0.2">
      <c r="A797" s="33">
        <v>44029</v>
      </c>
      <c r="B797" s="36">
        <v>14620</v>
      </c>
      <c r="C797" s="7">
        <v>14770</v>
      </c>
      <c r="D797" s="7">
        <v>14660</v>
      </c>
      <c r="E797" s="7">
        <v>14560</v>
      </c>
      <c r="F797" s="7">
        <v>14560</v>
      </c>
      <c r="G797" s="34">
        <v>21</v>
      </c>
      <c r="H797" s="35">
        <v>60</v>
      </c>
      <c r="I797" s="38">
        <f t="shared" si="11"/>
        <v>14695</v>
      </c>
    </row>
    <row r="798" spans="1:9" x14ac:dyDescent="0.2">
      <c r="A798" s="33">
        <v>44028</v>
      </c>
      <c r="B798" s="36">
        <v>14560</v>
      </c>
      <c r="C798" s="7">
        <v>14690</v>
      </c>
      <c r="D798" s="7">
        <v>14650</v>
      </c>
      <c r="E798" s="7">
        <v>14500</v>
      </c>
      <c r="F798" s="7">
        <v>14550</v>
      </c>
      <c r="G798" s="34">
        <v>50</v>
      </c>
      <c r="H798" s="35">
        <v>-15</v>
      </c>
      <c r="I798" s="38">
        <f t="shared" si="11"/>
        <v>14625</v>
      </c>
    </row>
    <row r="799" spans="1:9" x14ac:dyDescent="0.2">
      <c r="A799" s="33">
        <v>44027</v>
      </c>
      <c r="B799" s="36">
        <v>14575</v>
      </c>
      <c r="C799" s="7">
        <v>14600</v>
      </c>
      <c r="D799" s="7">
        <v>14600</v>
      </c>
      <c r="E799" s="7">
        <v>14375</v>
      </c>
      <c r="F799" s="7">
        <v>14375</v>
      </c>
      <c r="G799" s="34">
        <v>94</v>
      </c>
      <c r="H799" s="35">
        <v>200</v>
      </c>
      <c r="I799" s="38">
        <f t="shared" si="11"/>
        <v>14587.5</v>
      </c>
    </row>
    <row r="800" spans="1:9" x14ac:dyDescent="0.2">
      <c r="A800" s="33">
        <v>44026</v>
      </c>
      <c r="B800" s="36">
        <v>14375</v>
      </c>
      <c r="C800" s="7">
        <v>14525</v>
      </c>
      <c r="D800" s="7">
        <v>14375</v>
      </c>
      <c r="E800" s="7">
        <v>14344</v>
      </c>
      <c r="F800" s="7">
        <v>14350</v>
      </c>
      <c r="G800" s="34">
        <v>62</v>
      </c>
      <c r="H800" s="35">
        <v>25</v>
      </c>
      <c r="I800" s="38">
        <f t="shared" ref="I800:I863" si="12">+(B800+C800)*0.5</f>
        <v>14450</v>
      </c>
    </row>
    <row r="801" spans="1:9" x14ac:dyDescent="0.2">
      <c r="A801" s="33">
        <v>44025</v>
      </c>
      <c r="B801" s="36">
        <v>14350</v>
      </c>
      <c r="C801" s="7">
        <v>14500</v>
      </c>
      <c r="D801" s="7">
        <v>14480</v>
      </c>
      <c r="E801" s="7">
        <v>14350</v>
      </c>
      <c r="F801" s="7">
        <v>14360</v>
      </c>
      <c r="G801" s="34">
        <v>46</v>
      </c>
      <c r="H801" s="35">
        <v>-10</v>
      </c>
      <c r="I801" s="38">
        <f t="shared" si="12"/>
        <v>14425</v>
      </c>
    </row>
    <row r="802" spans="1:9" x14ac:dyDescent="0.2">
      <c r="A802" s="33">
        <v>44022</v>
      </c>
      <c r="B802" s="36">
        <v>14360</v>
      </c>
      <c r="C802" s="7">
        <v>14510</v>
      </c>
      <c r="D802" s="7">
        <v>14440</v>
      </c>
      <c r="E802" s="7">
        <v>14325</v>
      </c>
      <c r="F802" s="7">
        <v>14325</v>
      </c>
      <c r="G802" s="34">
        <v>32</v>
      </c>
      <c r="H802" s="35">
        <v>35</v>
      </c>
      <c r="I802" s="38">
        <f t="shared" si="12"/>
        <v>14435</v>
      </c>
    </row>
    <row r="803" spans="1:9" x14ac:dyDescent="0.2">
      <c r="A803" s="33">
        <v>44021</v>
      </c>
      <c r="B803" s="36">
        <v>14325</v>
      </c>
      <c r="C803" s="7">
        <v>14465</v>
      </c>
      <c r="D803" s="7">
        <v>14380</v>
      </c>
      <c r="E803" s="7">
        <v>14325</v>
      </c>
      <c r="F803" s="7">
        <v>14350</v>
      </c>
      <c r="G803" s="34">
        <v>97</v>
      </c>
      <c r="H803" s="35">
        <v>-25</v>
      </c>
      <c r="I803" s="38">
        <f t="shared" si="12"/>
        <v>14395</v>
      </c>
    </row>
    <row r="804" spans="1:9" x14ac:dyDescent="0.2">
      <c r="A804" s="33">
        <v>44020</v>
      </c>
      <c r="B804" s="36">
        <v>14350</v>
      </c>
      <c r="C804" s="7">
        <v>14470</v>
      </c>
      <c r="D804" s="7">
        <v>14400</v>
      </c>
      <c r="E804" s="7">
        <v>14350</v>
      </c>
      <c r="F804" s="7">
        <v>14390</v>
      </c>
      <c r="G804" s="34">
        <v>43</v>
      </c>
      <c r="H804" s="35">
        <v>-50</v>
      </c>
      <c r="I804" s="38">
        <f t="shared" si="12"/>
        <v>14410</v>
      </c>
    </row>
    <row r="805" spans="1:9" x14ac:dyDescent="0.2">
      <c r="A805" s="33">
        <v>44019</v>
      </c>
      <c r="B805" s="36">
        <v>14400</v>
      </c>
      <c r="C805" s="7">
        <v>14480</v>
      </c>
      <c r="D805" s="7">
        <v>14400</v>
      </c>
      <c r="E805" s="7">
        <v>14338</v>
      </c>
      <c r="F805" s="7">
        <v>14400</v>
      </c>
      <c r="G805" s="34">
        <v>34</v>
      </c>
      <c r="H805" s="35">
        <v>-40</v>
      </c>
      <c r="I805" s="38">
        <f t="shared" si="12"/>
        <v>14440</v>
      </c>
    </row>
    <row r="806" spans="1:9" x14ac:dyDescent="0.2">
      <c r="A806" s="33">
        <v>44018</v>
      </c>
      <c r="B806" s="36">
        <v>14440</v>
      </c>
      <c r="C806" s="7">
        <v>14540</v>
      </c>
      <c r="D806" s="7">
        <v>14570</v>
      </c>
      <c r="E806" s="7">
        <v>14440</v>
      </c>
      <c r="F806" s="7">
        <v>14460</v>
      </c>
      <c r="G806" s="34">
        <v>100</v>
      </c>
      <c r="H806" s="35">
        <v>-10</v>
      </c>
      <c r="I806" s="38">
        <f t="shared" si="12"/>
        <v>14490</v>
      </c>
    </row>
    <row r="807" spans="1:9" x14ac:dyDescent="0.2">
      <c r="A807" s="33">
        <v>44015</v>
      </c>
      <c r="B807" s="36">
        <v>14450</v>
      </c>
      <c r="C807" s="7">
        <v>14570</v>
      </c>
      <c r="D807" s="7">
        <v>14590</v>
      </c>
      <c r="E807" s="7">
        <v>14305</v>
      </c>
      <c r="F807" s="7">
        <v>14305</v>
      </c>
      <c r="G807" s="34">
        <v>86</v>
      </c>
      <c r="H807" s="35">
        <v>145</v>
      </c>
      <c r="I807" s="38">
        <f t="shared" si="12"/>
        <v>14510</v>
      </c>
    </row>
    <row r="808" spans="1:9" x14ac:dyDescent="0.2">
      <c r="A808" s="33">
        <v>44014</v>
      </c>
      <c r="B808" s="36">
        <v>14305</v>
      </c>
      <c r="C808" s="7">
        <v>14452</v>
      </c>
      <c r="D808" s="7">
        <v>14309</v>
      </c>
      <c r="E808" s="7">
        <v>14190</v>
      </c>
      <c r="F808" s="7">
        <v>14190</v>
      </c>
      <c r="G808" s="34">
        <v>16</v>
      </c>
      <c r="H808" s="35">
        <v>115</v>
      </c>
      <c r="I808" s="38">
        <f t="shared" si="12"/>
        <v>14378.5</v>
      </c>
    </row>
    <row r="809" spans="1:9" x14ac:dyDescent="0.2">
      <c r="A809" s="33">
        <v>44013</v>
      </c>
      <c r="B809" s="36">
        <v>14190</v>
      </c>
      <c r="C809" s="7">
        <v>14340</v>
      </c>
      <c r="D809" s="7">
        <v>14250</v>
      </c>
      <c r="E809" s="7">
        <v>14170</v>
      </c>
      <c r="F809" s="7">
        <v>14170</v>
      </c>
      <c r="G809" s="34">
        <v>25</v>
      </c>
      <c r="H809" s="35">
        <v>10</v>
      </c>
      <c r="I809" s="38">
        <f t="shared" si="12"/>
        <v>14265</v>
      </c>
    </row>
    <row r="810" spans="1:9" x14ac:dyDescent="0.2">
      <c r="A810" s="33">
        <v>44012</v>
      </c>
      <c r="B810" s="36">
        <v>14180</v>
      </c>
      <c r="C810" s="7">
        <v>14330</v>
      </c>
      <c r="D810" s="7">
        <v>14240</v>
      </c>
      <c r="E810" s="7">
        <v>14150</v>
      </c>
      <c r="F810" s="7">
        <v>14170</v>
      </c>
      <c r="G810" s="34">
        <v>40</v>
      </c>
      <c r="H810" s="35">
        <v>10</v>
      </c>
      <c r="I810" s="38">
        <f t="shared" si="12"/>
        <v>14255</v>
      </c>
    </row>
    <row r="811" spans="1:9" x14ac:dyDescent="0.2">
      <c r="A811" s="33">
        <v>44011</v>
      </c>
      <c r="B811" s="36">
        <v>14170</v>
      </c>
      <c r="C811" s="7">
        <v>14320</v>
      </c>
      <c r="D811" s="7">
        <v>14200</v>
      </c>
      <c r="E811" s="7">
        <v>14150</v>
      </c>
      <c r="F811" s="7">
        <v>14150</v>
      </c>
      <c r="G811" s="34">
        <v>13</v>
      </c>
      <c r="H811" s="35">
        <v>20</v>
      </c>
      <c r="I811" s="38">
        <f t="shared" si="12"/>
        <v>14245</v>
      </c>
    </row>
    <row r="812" spans="1:9" x14ac:dyDescent="0.2">
      <c r="A812" s="33">
        <v>44008</v>
      </c>
      <c r="B812" s="36">
        <v>14150</v>
      </c>
      <c r="C812" s="7">
        <v>14290</v>
      </c>
      <c r="D812" s="7">
        <v>14175</v>
      </c>
      <c r="E812" s="7">
        <v>14090</v>
      </c>
      <c r="F812" s="7">
        <v>14100</v>
      </c>
      <c r="G812" s="34">
        <v>61</v>
      </c>
      <c r="H812" s="35">
        <v>50</v>
      </c>
      <c r="I812" s="38">
        <f t="shared" si="12"/>
        <v>14220</v>
      </c>
    </row>
    <row r="813" spans="1:9" x14ac:dyDescent="0.2">
      <c r="A813" s="33">
        <v>44007</v>
      </c>
      <c r="B813" s="36">
        <v>14100</v>
      </c>
      <c r="C813" s="7">
        <v>14250</v>
      </c>
      <c r="D813" s="7">
        <v>14120</v>
      </c>
      <c r="E813" s="7">
        <v>14069</v>
      </c>
      <c r="F813" s="7">
        <v>14080</v>
      </c>
      <c r="G813" s="34">
        <v>77</v>
      </c>
      <c r="H813" s="35">
        <v>20</v>
      </c>
      <c r="I813" s="38">
        <f t="shared" si="12"/>
        <v>14175</v>
      </c>
    </row>
    <row r="814" spans="1:9" x14ac:dyDescent="0.2">
      <c r="A814" s="33">
        <v>44006</v>
      </c>
      <c r="B814" s="36">
        <v>14080</v>
      </c>
      <c r="C814" s="7">
        <v>14180</v>
      </c>
      <c r="D814" s="7">
        <v>14150</v>
      </c>
      <c r="E814" s="7">
        <v>14079</v>
      </c>
      <c r="F814" s="7">
        <v>14100</v>
      </c>
      <c r="G814" s="34">
        <v>69</v>
      </c>
      <c r="H814" s="35">
        <v>-30</v>
      </c>
      <c r="I814" s="38">
        <f t="shared" si="12"/>
        <v>14130</v>
      </c>
    </row>
    <row r="815" spans="1:9" x14ac:dyDescent="0.2">
      <c r="A815" s="33">
        <v>44005</v>
      </c>
      <c r="B815" s="36">
        <v>14110</v>
      </c>
      <c r="C815" s="7">
        <v>14210</v>
      </c>
      <c r="D815" s="7">
        <v>14230</v>
      </c>
      <c r="E815" s="7">
        <v>14110</v>
      </c>
      <c r="F815" s="7">
        <v>14110</v>
      </c>
      <c r="G815" s="34">
        <v>61</v>
      </c>
      <c r="H815" s="35">
        <v>0</v>
      </c>
      <c r="I815" s="38">
        <f t="shared" si="12"/>
        <v>14160</v>
      </c>
    </row>
    <row r="816" spans="1:9" x14ac:dyDescent="0.2">
      <c r="A816" s="33">
        <v>44004</v>
      </c>
      <c r="B816" s="36">
        <v>14110</v>
      </c>
      <c r="C816" s="7">
        <v>14260</v>
      </c>
      <c r="D816" s="7">
        <v>14110</v>
      </c>
      <c r="E816" s="7">
        <v>14050</v>
      </c>
      <c r="F816" s="7">
        <v>14050</v>
      </c>
      <c r="G816" s="34">
        <v>26</v>
      </c>
      <c r="H816" s="35">
        <v>60</v>
      </c>
      <c r="I816" s="38">
        <f t="shared" si="12"/>
        <v>14185</v>
      </c>
    </row>
    <row r="817" spans="1:9" x14ac:dyDescent="0.2">
      <c r="A817" s="33">
        <v>44001</v>
      </c>
      <c r="B817" s="36">
        <v>14050</v>
      </c>
      <c r="C817" s="7">
        <v>14150</v>
      </c>
      <c r="D817" s="7">
        <v>14195</v>
      </c>
      <c r="E817" s="7">
        <v>14010</v>
      </c>
      <c r="F817" s="7">
        <v>14010</v>
      </c>
      <c r="G817" s="34">
        <v>24</v>
      </c>
      <c r="H817" s="35">
        <v>40</v>
      </c>
      <c r="I817" s="38">
        <f t="shared" si="12"/>
        <v>14100</v>
      </c>
    </row>
    <row r="818" spans="1:9" x14ac:dyDescent="0.2">
      <c r="A818" s="33">
        <v>44000</v>
      </c>
      <c r="B818" s="36">
        <v>14010</v>
      </c>
      <c r="C818" s="7">
        <v>14160</v>
      </c>
      <c r="D818" s="7">
        <v>14030</v>
      </c>
      <c r="E818" s="7">
        <v>13975</v>
      </c>
      <c r="F818" s="7">
        <v>14025</v>
      </c>
      <c r="G818" s="34">
        <v>36</v>
      </c>
      <c r="H818" s="35">
        <v>-15</v>
      </c>
      <c r="I818" s="38">
        <f t="shared" si="12"/>
        <v>14085</v>
      </c>
    </row>
    <row r="819" spans="1:9" x14ac:dyDescent="0.2">
      <c r="A819" s="33">
        <v>43999</v>
      </c>
      <c r="B819" s="36">
        <v>14025</v>
      </c>
      <c r="C819" s="7">
        <v>14140</v>
      </c>
      <c r="D819" s="7">
        <v>14060</v>
      </c>
      <c r="E819" s="7">
        <v>13999</v>
      </c>
      <c r="F819" s="7">
        <v>14060</v>
      </c>
      <c r="G819" s="34">
        <v>51</v>
      </c>
      <c r="H819" s="35">
        <v>5</v>
      </c>
      <c r="I819" s="38">
        <f t="shared" si="12"/>
        <v>14082.5</v>
      </c>
    </row>
    <row r="820" spans="1:9" x14ac:dyDescent="0.2">
      <c r="A820" s="33">
        <v>43998</v>
      </c>
      <c r="B820" s="36">
        <v>14020</v>
      </c>
      <c r="C820" s="7">
        <v>14160</v>
      </c>
      <c r="D820" s="7">
        <v>14080</v>
      </c>
      <c r="E820" s="7">
        <v>14010</v>
      </c>
      <c r="F820" s="7">
        <v>14080</v>
      </c>
      <c r="G820" s="34">
        <v>39</v>
      </c>
      <c r="H820" s="35">
        <v>-30</v>
      </c>
      <c r="I820" s="38">
        <f t="shared" si="12"/>
        <v>14090</v>
      </c>
    </row>
    <row r="821" spans="1:9" x14ac:dyDescent="0.2">
      <c r="A821" s="33">
        <v>43997</v>
      </c>
      <c r="B821" s="36">
        <v>14050</v>
      </c>
      <c r="C821" s="7">
        <v>14180</v>
      </c>
      <c r="D821" s="7">
        <v>14070</v>
      </c>
      <c r="E821" s="7">
        <v>14020</v>
      </c>
      <c r="F821" s="7">
        <v>14050</v>
      </c>
      <c r="G821" s="34">
        <v>23</v>
      </c>
      <c r="H821" s="35">
        <v>0</v>
      </c>
      <c r="I821" s="38">
        <f t="shared" si="12"/>
        <v>14115</v>
      </c>
    </row>
    <row r="822" spans="1:9" x14ac:dyDescent="0.2">
      <c r="A822" s="33">
        <v>43994</v>
      </c>
      <c r="B822" s="36">
        <v>14050</v>
      </c>
      <c r="C822" s="7">
        <v>14200</v>
      </c>
      <c r="D822" s="7">
        <v>14152</v>
      </c>
      <c r="E822" s="7">
        <v>14020</v>
      </c>
      <c r="F822" s="7">
        <v>14020</v>
      </c>
      <c r="G822" s="34">
        <v>46</v>
      </c>
      <c r="H822" s="35">
        <v>100</v>
      </c>
      <c r="I822" s="38">
        <f t="shared" si="12"/>
        <v>14125</v>
      </c>
    </row>
    <row r="823" spans="1:9" x14ac:dyDescent="0.2">
      <c r="A823" s="33">
        <v>43993</v>
      </c>
      <c r="B823" s="36">
        <v>13950</v>
      </c>
      <c r="C823" s="7">
        <v>14080</v>
      </c>
      <c r="D823" s="7">
        <v>14000</v>
      </c>
      <c r="E823" s="7">
        <v>13845</v>
      </c>
      <c r="F823" s="7">
        <v>13920</v>
      </c>
      <c r="G823" s="34">
        <v>38</v>
      </c>
      <c r="H823" s="35">
        <v>30</v>
      </c>
      <c r="I823" s="38">
        <f t="shared" si="12"/>
        <v>14015</v>
      </c>
    </row>
    <row r="824" spans="1:9" x14ac:dyDescent="0.2">
      <c r="A824" s="33">
        <v>43992</v>
      </c>
      <c r="B824" s="36">
        <v>13920</v>
      </c>
      <c r="C824" s="7">
        <v>14040</v>
      </c>
      <c r="D824" s="7">
        <v>13980</v>
      </c>
      <c r="E824" s="7">
        <v>13865</v>
      </c>
      <c r="F824" s="7">
        <v>13925</v>
      </c>
      <c r="G824" s="34">
        <v>36</v>
      </c>
      <c r="H824" s="35">
        <v>80</v>
      </c>
      <c r="I824" s="38">
        <f t="shared" si="12"/>
        <v>13980</v>
      </c>
    </row>
    <row r="825" spans="1:9" x14ac:dyDescent="0.2">
      <c r="A825" s="33">
        <v>43991</v>
      </c>
      <c r="B825" s="36">
        <v>13840</v>
      </c>
      <c r="C825" s="7">
        <v>13940</v>
      </c>
      <c r="D825" s="7">
        <v>14020</v>
      </c>
      <c r="E825" s="7">
        <v>13840</v>
      </c>
      <c r="F825" s="7">
        <v>13900</v>
      </c>
      <c r="G825" s="34">
        <v>46</v>
      </c>
      <c r="H825" s="35">
        <v>-10</v>
      </c>
      <c r="I825" s="38">
        <f t="shared" si="12"/>
        <v>13890</v>
      </c>
    </row>
    <row r="826" spans="1:9" x14ac:dyDescent="0.2">
      <c r="A826" s="33">
        <v>43990</v>
      </c>
      <c r="B826" s="36">
        <v>13850</v>
      </c>
      <c r="C826" s="7">
        <v>13920</v>
      </c>
      <c r="D826" s="7">
        <v>13990</v>
      </c>
      <c r="E826" s="7">
        <v>13810</v>
      </c>
      <c r="F826" s="7">
        <v>13850</v>
      </c>
      <c r="G826" s="34">
        <v>52</v>
      </c>
      <c r="H826" s="35">
        <v>0</v>
      </c>
      <c r="I826" s="38">
        <f t="shared" si="12"/>
        <v>13885</v>
      </c>
    </row>
    <row r="827" spans="1:9" x14ac:dyDescent="0.2">
      <c r="A827" s="33">
        <v>43987</v>
      </c>
      <c r="B827" s="36">
        <v>13850</v>
      </c>
      <c r="C827" s="7">
        <v>13890</v>
      </c>
      <c r="D827" s="7">
        <v>14085</v>
      </c>
      <c r="E827" s="7">
        <v>13835</v>
      </c>
      <c r="F827" s="7">
        <v>14050</v>
      </c>
      <c r="G827" s="34">
        <v>105</v>
      </c>
      <c r="H827" s="35">
        <v>-210</v>
      </c>
      <c r="I827" s="38">
        <f t="shared" si="12"/>
        <v>13870</v>
      </c>
    </row>
    <row r="828" spans="1:9" x14ac:dyDescent="0.2">
      <c r="A828" s="33">
        <v>43986</v>
      </c>
      <c r="B828" s="36">
        <v>14060</v>
      </c>
      <c r="C828" s="7">
        <v>14130</v>
      </c>
      <c r="D828" s="7">
        <v>14150</v>
      </c>
      <c r="E828" s="7">
        <v>14030</v>
      </c>
      <c r="F828" s="7">
        <v>14100</v>
      </c>
      <c r="G828" s="34">
        <v>114</v>
      </c>
      <c r="H828" s="35">
        <v>10</v>
      </c>
      <c r="I828" s="38">
        <f t="shared" si="12"/>
        <v>14095</v>
      </c>
    </row>
    <row r="829" spans="1:9" x14ac:dyDescent="0.2">
      <c r="A829" s="33">
        <v>43985</v>
      </c>
      <c r="B829" s="36">
        <v>14050</v>
      </c>
      <c r="C829" s="7">
        <v>14140</v>
      </c>
      <c r="D829" s="7">
        <v>14230</v>
      </c>
      <c r="E829" s="7">
        <v>14050</v>
      </c>
      <c r="F829" s="7">
        <v>14210</v>
      </c>
      <c r="G829" s="34">
        <v>90</v>
      </c>
      <c r="H829" s="35">
        <v>-330</v>
      </c>
      <c r="I829" s="38">
        <f t="shared" si="12"/>
        <v>14095</v>
      </c>
    </row>
    <row r="830" spans="1:9" x14ac:dyDescent="0.2">
      <c r="A830" s="33">
        <v>43984</v>
      </c>
      <c r="B830" s="36">
        <v>14380</v>
      </c>
      <c r="C830" s="7">
        <v>14450</v>
      </c>
      <c r="D830" s="7">
        <v>14575</v>
      </c>
      <c r="E830" s="7">
        <v>14380</v>
      </c>
      <c r="F830" s="7">
        <v>14575</v>
      </c>
      <c r="G830" s="34">
        <v>80</v>
      </c>
      <c r="H830" s="35">
        <v>-195</v>
      </c>
      <c r="I830" s="38">
        <f t="shared" si="12"/>
        <v>14415</v>
      </c>
    </row>
    <row r="831" spans="1:9" x14ac:dyDescent="0.2">
      <c r="A831" s="33">
        <v>43983</v>
      </c>
      <c r="B831" s="36">
        <v>14575</v>
      </c>
      <c r="C831" s="7">
        <v>14645</v>
      </c>
      <c r="D831" s="7"/>
      <c r="E831" s="7"/>
      <c r="F831" s="7"/>
      <c r="G831" s="34"/>
      <c r="H831" s="35">
        <v>0</v>
      </c>
      <c r="I831" s="38">
        <f t="shared" si="12"/>
        <v>14610</v>
      </c>
    </row>
    <row r="832" spans="1:9" x14ac:dyDescent="0.2">
      <c r="A832" s="33">
        <v>43980</v>
      </c>
      <c r="B832" s="36">
        <v>14575</v>
      </c>
      <c r="C832" s="7">
        <v>14645</v>
      </c>
      <c r="D832" s="7">
        <v>14720</v>
      </c>
      <c r="E832" s="7">
        <v>14570</v>
      </c>
      <c r="F832" s="7">
        <v>14720</v>
      </c>
      <c r="G832" s="34">
        <v>147</v>
      </c>
      <c r="H832" s="35">
        <v>-100</v>
      </c>
      <c r="I832" s="38">
        <f t="shared" si="12"/>
        <v>14610</v>
      </c>
    </row>
    <row r="833" spans="1:9" x14ac:dyDescent="0.2">
      <c r="A833" s="33">
        <v>43979</v>
      </c>
      <c r="B833" s="36">
        <v>14675</v>
      </c>
      <c r="C833" s="7">
        <v>14755</v>
      </c>
      <c r="D833" s="7">
        <v>14760</v>
      </c>
      <c r="E833" s="7">
        <v>14675</v>
      </c>
      <c r="F833" s="7">
        <v>14735</v>
      </c>
      <c r="G833" s="34">
        <v>67</v>
      </c>
      <c r="H833" s="35">
        <v>5</v>
      </c>
      <c r="I833" s="38">
        <f t="shared" si="12"/>
        <v>14715</v>
      </c>
    </row>
    <row r="834" spans="1:9" x14ac:dyDescent="0.2">
      <c r="A834" s="33">
        <v>43978</v>
      </c>
      <c r="B834" s="36">
        <v>14670</v>
      </c>
      <c r="C834" s="7">
        <v>14750</v>
      </c>
      <c r="D834" s="7">
        <v>14770</v>
      </c>
      <c r="E834" s="7">
        <v>14670</v>
      </c>
      <c r="F834" s="7">
        <v>14735</v>
      </c>
      <c r="G834" s="34">
        <v>72</v>
      </c>
      <c r="H834" s="35">
        <v>-60</v>
      </c>
      <c r="I834" s="38">
        <f t="shared" si="12"/>
        <v>14710</v>
      </c>
    </row>
    <row r="835" spans="1:9" x14ac:dyDescent="0.2">
      <c r="A835" s="33">
        <v>43977</v>
      </c>
      <c r="B835" s="36">
        <v>14730</v>
      </c>
      <c r="C835" s="7">
        <v>14780</v>
      </c>
      <c r="D835" s="7">
        <v>14760</v>
      </c>
      <c r="E835" s="7">
        <v>14720</v>
      </c>
      <c r="F835" s="7">
        <v>14725</v>
      </c>
      <c r="G835" s="34">
        <v>65</v>
      </c>
      <c r="H835" s="35">
        <v>50</v>
      </c>
      <c r="I835" s="38">
        <f t="shared" si="12"/>
        <v>14755</v>
      </c>
    </row>
    <row r="836" spans="1:9" x14ac:dyDescent="0.2">
      <c r="A836" s="33">
        <v>43976</v>
      </c>
      <c r="B836" s="36">
        <v>14680</v>
      </c>
      <c r="C836" s="7">
        <v>14740</v>
      </c>
      <c r="D836" s="7"/>
      <c r="E836" s="7"/>
      <c r="F836" s="7"/>
      <c r="G836" s="34"/>
      <c r="H836" s="35">
        <v>0</v>
      </c>
      <c r="I836" s="38">
        <f t="shared" si="12"/>
        <v>14710</v>
      </c>
    </row>
    <row r="837" spans="1:9" x14ac:dyDescent="0.2">
      <c r="A837" s="33">
        <v>43973</v>
      </c>
      <c r="B837" s="36">
        <v>14680</v>
      </c>
      <c r="C837" s="7">
        <v>14740</v>
      </c>
      <c r="D837" s="7"/>
      <c r="E837" s="7"/>
      <c r="F837" s="7"/>
      <c r="G837" s="34"/>
      <c r="H837" s="35">
        <v>0</v>
      </c>
      <c r="I837" s="38">
        <f t="shared" si="12"/>
        <v>14710</v>
      </c>
    </row>
    <row r="838" spans="1:9" x14ac:dyDescent="0.2">
      <c r="A838" s="33">
        <v>43972</v>
      </c>
      <c r="B838" s="36">
        <v>14680</v>
      </c>
      <c r="C838" s="7">
        <v>14740</v>
      </c>
      <c r="D838" s="7"/>
      <c r="E838" s="7"/>
      <c r="F838" s="7"/>
      <c r="G838" s="34"/>
      <c r="H838" s="35">
        <v>0</v>
      </c>
      <c r="I838" s="38">
        <f t="shared" si="12"/>
        <v>14710</v>
      </c>
    </row>
    <row r="839" spans="1:9" x14ac:dyDescent="0.2">
      <c r="A839" s="33">
        <v>43971</v>
      </c>
      <c r="B839" s="36">
        <v>14680</v>
      </c>
      <c r="C839" s="7">
        <v>14740</v>
      </c>
      <c r="D839" s="7">
        <v>14770</v>
      </c>
      <c r="E839" s="7">
        <v>14680</v>
      </c>
      <c r="F839" s="7">
        <v>14750</v>
      </c>
      <c r="G839" s="34">
        <v>91</v>
      </c>
      <c r="H839" s="35">
        <v>-70</v>
      </c>
      <c r="I839" s="38">
        <f t="shared" si="12"/>
        <v>14710</v>
      </c>
    </row>
    <row r="840" spans="1:9" x14ac:dyDescent="0.2">
      <c r="A840" s="33">
        <v>43970</v>
      </c>
      <c r="B840" s="36">
        <v>14750</v>
      </c>
      <c r="C840" s="7">
        <v>14790</v>
      </c>
      <c r="D840" s="7">
        <v>14830</v>
      </c>
      <c r="E840" s="7">
        <v>14720</v>
      </c>
      <c r="F840" s="7">
        <v>14800</v>
      </c>
      <c r="G840" s="34">
        <v>127</v>
      </c>
      <c r="H840" s="35">
        <v>-70</v>
      </c>
      <c r="I840" s="38">
        <f t="shared" si="12"/>
        <v>14770</v>
      </c>
    </row>
    <row r="841" spans="1:9" x14ac:dyDescent="0.2">
      <c r="A841" s="33">
        <v>43969</v>
      </c>
      <c r="B841" s="36">
        <v>14820</v>
      </c>
      <c r="C841" s="7">
        <v>14880</v>
      </c>
      <c r="D841" s="7">
        <v>14885</v>
      </c>
      <c r="E841" s="7">
        <v>14810</v>
      </c>
      <c r="F841" s="7">
        <v>14850</v>
      </c>
      <c r="G841" s="34">
        <v>83</v>
      </c>
      <c r="H841" s="35">
        <v>-10</v>
      </c>
      <c r="I841" s="38">
        <f t="shared" si="12"/>
        <v>14850</v>
      </c>
    </row>
    <row r="842" spans="1:9" x14ac:dyDescent="0.2">
      <c r="A842" s="33">
        <v>43966</v>
      </c>
      <c r="B842" s="36">
        <v>14830</v>
      </c>
      <c r="C842" s="7">
        <v>14890</v>
      </c>
      <c r="D842" s="7">
        <v>14900</v>
      </c>
      <c r="E842" s="7">
        <v>14825</v>
      </c>
      <c r="F842" s="7">
        <v>14850</v>
      </c>
      <c r="G842" s="34">
        <v>61</v>
      </c>
      <c r="H842" s="35">
        <v>-10</v>
      </c>
      <c r="I842" s="38">
        <f t="shared" si="12"/>
        <v>14860</v>
      </c>
    </row>
    <row r="843" spans="1:9" x14ac:dyDescent="0.2">
      <c r="A843" s="33">
        <v>43965</v>
      </c>
      <c r="B843" s="36">
        <v>14840</v>
      </c>
      <c r="C843" s="7">
        <v>14930</v>
      </c>
      <c r="D843" s="7">
        <v>14930</v>
      </c>
      <c r="E843" s="7">
        <v>14840</v>
      </c>
      <c r="F843" s="7">
        <v>14890</v>
      </c>
      <c r="G843" s="34">
        <v>84</v>
      </c>
      <c r="H843" s="35">
        <v>-10</v>
      </c>
      <c r="I843" s="38">
        <f t="shared" si="12"/>
        <v>14885</v>
      </c>
    </row>
    <row r="844" spans="1:9" x14ac:dyDescent="0.2">
      <c r="A844" s="33">
        <v>43964</v>
      </c>
      <c r="B844" s="36">
        <v>14850</v>
      </c>
      <c r="C844" s="7">
        <v>14880</v>
      </c>
      <c r="D844" s="7">
        <v>14890</v>
      </c>
      <c r="E844" s="7">
        <v>14825</v>
      </c>
      <c r="F844" s="7">
        <v>14870</v>
      </c>
      <c r="G844" s="34">
        <v>77</v>
      </c>
      <c r="H844" s="35">
        <v>-30</v>
      </c>
      <c r="I844" s="38">
        <f t="shared" si="12"/>
        <v>14865</v>
      </c>
    </row>
    <row r="845" spans="1:9" x14ac:dyDescent="0.2">
      <c r="A845" s="33">
        <v>43963</v>
      </c>
      <c r="B845" s="36">
        <v>14880</v>
      </c>
      <c r="C845" s="7">
        <v>14930</v>
      </c>
      <c r="D845" s="7">
        <v>14975</v>
      </c>
      <c r="E845" s="7">
        <v>14874</v>
      </c>
      <c r="F845" s="7">
        <v>14910</v>
      </c>
      <c r="G845" s="34">
        <v>84</v>
      </c>
      <c r="H845" s="35">
        <v>30</v>
      </c>
      <c r="I845" s="38">
        <f t="shared" si="12"/>
        <v>14905</v>
      </c>
    </row>
    <row r="846" spans="1:9" x14ac:dyDescent="0.2">
      <c r="A846" s="33">
        <v>43962</v>
      </c>
      <c r="B846" s="36">
        <v>14850</v>
      </c>
      <c r="C846" s="7">
        <v>14940</v>
      </c>
      <c r="D846" s="7">
        <v>14935</v>
      </c>
      <c r="E846" s="7">
        <v>14840</v>
      </c>
      <c r="F846" s="7">
        <v>14900</v>
      </c>
      <c r="G846" s="34">
        <v>83</v>
      </c>
      <c r="H846" s="35">
        <v>-40</v>
      </c>
      <c r="I846" s="38">
        <f t="shared" si="12"/>
        <v>14895</v>
      </c>
    </row>
    <row r="847" spans="1:9" x14ac:dyDescent="0.2">
      <c r="A847" s="33">
        <v>43959</v>
      </c>
      <c r="B847" s="36">
        <v>14890</v>
      </c>
      <c r="C847" s="7">
        <v>14950</v>
      </c>
      <c r="D847" s="7">
        <v>15030</v>
      </c>
      <c r="E847" s="7">
        <v>14866</v>
      </c>
      <c r="F847" s="7">
        <v>15000</v>
      </c>
      <c r="G847" s="34">
        <v>72</v>
      </c>
      <c r="H847" s="35">
        <v>-90</v>
      </c>
      <c r="I847" s="38">
        <f t="shared" si="12"/>
        <v>14920</v>
      </c>
    </row>
    <row r="848" spans="1:9" x14ac:dyDescent="0.2">
      <c r="A848" s="33">
        <v>43958</v>
      </c>
      <c r="B848" s="36">
        <v>14980</v>
      </c>
      <c r="C848" s="7">
        <v>15110</v>
      </c>
      <c r="D848" s="7"/>
      <c r="E848" s="7"/>
      <c r="F848" s="7"/>
      <c r="G848" s="34"/>
      <c r="H848" s="35">
        <v>0</v>
      </c>
      <c r="I848" s="38">
        <f t="shared" si="12"/>
        <v>15045</v>
      </c>
    </row>
    <row r="849" spans="1:9" x14ac:dyDescent="0.2">
      <c r="A849" s="33">
        <v>43957</v>
      </c>
      <c r="B849" s="36">
        <v>14980</v>
      </c>
      <c r="C849" s="7">
        <v>15110</v>
      </c>
      <c r="D849" s="7">
        <v>15095</v>
      </c>
      <c r="E849" s="7">
        <v>14980</v>
      </c>
      <c r="F849" s="7">
        <v>15050</v>
      </c>
      <c r="G849" s="34">
        <v>59</v>
      </c>
      <c r="H849" s="35">
        <v>-50</v>
      </c>
      <c r="I849" s="38">
        <f t="shared" si="12"/>
        <v>15045</v>
      </c>
    </row>
    <row r="850" spans="1:9" x14ac:dyDescent="0.2">
      <c r="A850" s="33">
        <v>43956</v>
      </c>
      <c r="B850" s="36">
        <v>15030</v>
      </c>
      <c r="C850" s="7">
        <v>15130</v>
      </c>
      <c r="D850" s="7">
        <v>15090</v>
      </c>
      <c r="E850" s="7">
        <v>14980</v>
      </c>
      <c r="F850" s="7">
        <v>15075</v>
      </c>
      <c r="G850" s="34">
        <v>80</v>
      </c>
      <c r="H850" s="35">
        <v>-20</v>
      </c>
      <c r="I850" s="38">
        <f t="shared" si="12"/>
        <v>15080</v>
      </c>
    </row>
    <row r="851" spans="1:9" x14ac:dyDescent="0.2">
      <c r="A851" s="33">
        <v>43955</v>
      </c>
      <c r="B851" s="36">
        <v>15050</v>
      </c>
      <c r="C851" s="7">
        <v>15150</v>
      </c>
      <c r="D851" s="7">
        <v>15060</v>
      </c>
      <c r="E851" s="7">
        <v>14935</v>
      </c>
      <c r="F851" s="7">
        <v>14935</v>
      </c>
      <c r="G851" s="34">
        <v>42</v>
      </c>
      <c r="H851" s="35">
        <v>225</v>
      </c>
      <c r="I851" s="38">
        <f t="shared" si="12"/>
        <v>15100</v>
      </c>
    </row>
    <row r="852" spans="1:9" x14ac:dyDescent="0.2">
      <c r="A852" s="33">
        <v>43952</v>
      </c>
      <c r="B852" s="36">
        <v>14825</v>
      </c>
      <c r="C852" s="7">
        <v>14925</v>
      </c>
      <c r="D852" s="7"/>
      <c r="E852" s="7"/>
      <c r="F852" s="7"/>
      <c r="G852" s="34"/>
      <c r="H852" s="35">
        <v>0</v>
      </c>
      <c r="I852" s="38">
        <f t="shared" si="12"/>
        <v>14875</v>
      </c>
    </row>
    <row r="853" spans="1:9" x14ac:dyDescent="0.2">
      <c r="A853" s="33">
        <v>43951</v>
      </c>
      <c r="B853" s="36">
        <v>14825</v>
      </c>
      <c r="C853" s="7">
        <v>14925</v>
      </c>
      <c r="D853" s="7">
        <v>15150</v>
      </c>
      <c r="E853" s="7">
        <v>14790</v>
      </c>
      <c r="F853" s="7">
        <v>15140</v>
      </c>
      <c r="G853" s="34">
        <v>87</v>
      </c>
      <c r="H853" s="35">
        <v>-435</v>
      </c>
      <c r="I853" s="38">
        <f t="shared" si="12"/>
        <v>14875</v>
      </c>
    </row>
    <row r="854" spans="1:9" x14ac:dyDescent="0.2">
      <c r="A854" s="33">
        <v>43950</v>
      </c>
      <c r="B854" s="36">
        <v>15260</v>
      </c>
      <c r="C854" s="7">
        <v>15330</v>
      </c>
      <c r="D854" s="7">
        <v>15395</v>
      </c>
      <c r="E854" s="7">
        <v>15250</v>
      </c>
      <c r="F854" s="7">
        <v>15350</v>
      </c>
      <c r="G854" s="34">
        <v>79</v>
      </c>
      <c r="H854" s="35">
        <v>-120</v>
      </c>
      <c r="I854" s="38">
        <f t="shared" si="12"/>
        <v>15295</v>
      </c>
    </row>
    <row r="855" spans="1:9" x14ac:dyDescent="0.2">
      <c r="A855" s="33">
        <v>43949</v>
      </c>
      <c r="B855" s="36">
        <v>15380</v>
      </c>
      <c r="C855" s="7">
        <v>15465</v>
      </c>
      <c r="D855" s="7">
        <v>15485</v>
      </c>
      <c r="E855" s="7">
        <v>15380</v>
      </c>
      <c r="F855" s="7">
        <v>15400</v>
      </c>
      <c r="G855" s="34">
        <v>107</v>
      </c>
      <c r="H855" s="35">
        <v>70</v>
      </c>
      <c r="I855" s="38">
        <f t="shared" si="12"/>
        <v>15422.5</v>
      </c>
    </row>
    <row r="856" spans="1:9" x14ac:dyDescent="0.2">
      <c r="A856" s="33">
        <v>43948</v>
      </c>
      <c r="B856" s="36">
        <v>15310</v>
      </c>
      <c r="C856" s="7">
        <v>15460</v>
      </c>
      <c r="D856" s="7">
        <v>15430</v>
      </c>
      <c r="E856" s="7">
        <v>15310</v>
      </c>
      <c r="F856" s="7">
        <v>15405</v>
      </c>
      <c r="G856" s="34">
        <v>23</v>
      </c>
      <c r="H856" s="35">
        <v>-40</v>
      </c>
      <c r="I856" s="38">
        <f t="shared" si="12"/>
        <v>15385</v>
      </c>
    </row>
    <row r="857" spans="1:9" x14ac:dyDescent="0.2">
      <c r="A857" s="33">
        <v>43945</v>
      </c>
      <c r="B857" s="36">
        <v>15350</v>
      </c>
      <c r="C857" s="7">
        <v>15450</v>
      </c>
      <c r="D857" s="7">
        <v>15450</v>
      </c>
      <c r="E857" s="7">
        <v>15350</v>
      </c>
      <c r="F857" s="7">
        <v>15405</v>
      </c>
      <c r="G857" s="34">
        <v>68</v>
      </c>
      <c r="H857" s="35">
        <v>0</v>
      </c>
      <c r="I857" s="38">
        <f t="shared" si="12"/>
        <v>15400</v>
      </c>
    </row>
    <row r="858" spans="1:9" x14ac:dyDescent="0.2">
      <c r="A858" s="33">
        <v>43944</v>
      </c>
      <c r="B858" s="36">
        <v>15350</v>
      </c>
      <c r="C858" s="7">
        <v>15450</v>
      </c>
      <c r="D858" s="7">
        <v>15550</v>
      </c>
      <c r="E858" s="7">
        <v>15350</v>
      </c>
      <c r="F858" s="7">
        <v>15498</v>
      </c>
      <c r="G858" s="34">
        <v>120</v>
      </c>
      <c r="H858" s="35">
        <v>-50</v>
      </c>
      <c r="I858" s="38">
        <f t="shared" si="12"/>
        <v>15400</v>
      </c>
    </row>
    <row r="859" spans="1:9" x14ac:dyDescent="0.2">
      <c r="A859" s="33">
        <v>43943</v>
      </c>
      <c r="B859" s="36">
        <v>15400</v>
      </c>
      <c r="C859" s="7">
        <v>15500</v>
      </c>
      <c r="D859" s="7">
        <v>15550</v>
      </c>
      <c r="E859" s="7">
        <v>15400</v>
      </c>
      <c r="F859" s="7">
        <v>15500</v>
      </c>
      <c r="G859" s="34">
        <v>69</v>
      </c>
      <c r="H859" s="35">
        <v>0</v>
      </c>
      <c r="I859" s="38">
        <f t="shared" si="12"/>
        <v>15450</v>
      </c>
    </row>
    <row r="860" spans="1:9" x14ac:dyDescent="0.2">
      <c r="A860" s="33">
        <v>43942</v>
      </c>
      <c r="B860" s="36">
        <v>15400</v>
      </c>
      <c r="C860" s="7">
        <v>15510</v>
      </c>
      <c r="D860" s="7">
        <v>15510</v>
      </c>
      <c r="E860" s="7">
        <v>15400</v>
      </c>
      <c r="F860" s="7">
        <v>15450</v>
      </c>
      <c r="G860" s="34">
        <v>34</v>
      </c>
      <c r="H860" s="35">
        <v>25</v>
      </c>
      <c r="I860" s="38">
        <f t="shared" si="12"/>
        <v>15455</v>
      </c>
    </row>
    <row r="861" spans="1:9" x14ac:dyDescent="0.2">
      <c r="A861" s="33">
        <v>43941</v>
      </c>
      <c r="B861" s="36">
        <v>15375</v>
      </c>
      <c r="C861" s="7">
        <v>15450</v>
      </c>
      <c r="D861" s="7">
        <v>15480</v>
      </c>
      <c r="E861" s="7">
        <v>15375</v>
      </c>
      <c r="F861" s="7">
        <v>15420</v>
      </c>
      <c r="G861" s="34">
        <v>53</v>
      </c>
      <c r="H861" s="35">
        <v>-25</v>
      </c>
      <c r="I861" s="38">
        <f t="shared" si="12"/>
        <v>15412.5</v>
      </c>
    </row>
    <row r="862" spans="1:9" x14ac:dyDescent="0.2">
      <c r="A862" s="33">
        <v>43938</v>
      </c>
      <c r="B862" s="36">
        <v>15400</v>
      </c>
      <c r="C862" s="7">
        <v>15460</v>
      </c>
      <c r="D862" s="7">
        <v>15505</v>
      </c>
      <c r="E862" s="7">
        <v>15340</v>
      </c>
      <c r="F862" s="7">
        <v>15480</v>
      </c>
      <c r="G862" s="34">
        <v>93</v>
      </c>
      <c r="H862" s="35">
        <v>-200</v>
      </c>
      <c r="I862" s="38">
        <f t="shared" si="12"/>
        <v>15430</v>
      </c>
    </row>
    <row r="863" spans="1:9" x14ac:dyDescent="0.2">
      <c r="A863" s="33">
        <v>43937</v>
      </c>
      <c r="B863" s="36">
        <v>15600</v>
      </c>
      <c r="C863" s="7">
        <v>15680</v>
      </c>
      <c r="D863" s="7">
        <v>15750</v>
      </c>
      <c r="E863" s="7">
        <v>15600</v>
      </c>
      <c r="F863" s="7">
        <v>15610</v>
      </c>
      <c r="G863" s="34">
        <v>39</v>
      </c>
      <c r="H863" s="35">
        <v>50</v>
      </c>
      <c r="I863" s="38">
        <f t="shared" si="12"/>
        <v>15640</v>
      </c>
    </row>
    <row r="864" spans="1:9" x14ac:dyDescent="0.2">
      <c r="A864" s="33">
        <v>43936</v>
      </c>
      <c r="B864" s="36">
        <v>15550</v>
      </c>
      <c r="C864" s="7">
        <v>15580</v>
      </c>
      <c r="D864" s="7">
        <v>15665</v>
      </c>
      <c r="E864" s="7">
        <v>15500</v>
      </c>
      <c r="F864" s="7">
        <v>15600</v>
      </c>
      <c r="G864" s="34">
        <v>86</v>
      </c>
      <c r="H864" s="35">
        <v>-60</v>
      </c>
      <c r="I864" s="38">
        <f t="shared" ref="I864:I927" si="13">+(B864+C864)*0.5</f>
        <v>15565</v>
      </c>
    </row>
    <row r="865" spans="1:9" x14ac:dyDescent="0.2">
      <c r="A865" s="33">
        <v>43935</v>
      </c>
      <c r="B865" s="36">
        <v>15610</v>
      </c>
      <c r="C865" s="7">
        <v>15650</v>
      </c>
      <c r="D865" s="7">
        <v>15700</v>
      </c>
      <c r="E865" s="7">
        <v>15610</v>
      </c>
      <c r="F865" s="7">
        <v>15650</v>
      </c>
      <c r="G865" s="34">
        <v>73</v>
      </c>
      <c r="H865" s="35">
        <v>-10</v>
      </c>
      <c r="I865" s="38">
        <f t="shared" si="13"/>
        <v>15630</v>
      </c>
    </row>
    <row r="866" spans="1:9" x14ac:dyDescent="0.2">
      <c r="A866" s="33">
        <v>43934</v>
      </c>
      <c r="B866" s="36">
        <v>15620</v>
      </c>
      <c r="C866" s="7">
        <v>15640</v>
      </c>
      <c r="D866" s="7">
        <v>15790</v>
      </c>
      <c r="E866" s="7">
        <v>15620</v>
      </c>
      <c r="F866" s="7">
        <v>15750</v>
      </c>
      <c r="G866" s="34">
        <v>73</v>
      </c>
      <c r="H866" s="35">
        <v>-180</v>
      </c>
      <c r="I866" s="38">
        <f t="shared" si="13"/>
        <v>15630</v>
      </c>
    </row>
    <row r="867" spans="1:9" x14ac:dyDescent="0.2">
      <c r="A867" s="33">
        <v>43931</v>
      </c>
      <c r="B867" s="36">
        <v>15800</v>
      </c>
      <c r="C867" s="7">
        <v>15840</v>
      </c>
      <c r="D867" s="7"/>
      <c r="E867" s="7"/>
      <c r="F867" s="7"/>
      <c r="G867" s="34"/>
      <c r="H867" s="35">
        <v>0</v>
      </c>
      <c r="I867" s="38">
        <f t="shared" si="13"/>
        <v>15820</v>
      </c>
    </row>
    <row r="868" spans="1:9" x14ac:dyDescent="0.2">
      <c r="A868" s="33">
        <v>43930</v>
      </c>
      <c r="B868" s="36">
        <v>15800</v>
      </c>
      <c r="C868" s="7">
        <v>15840</v>
      </c>
      <c r="D868" s="7">
        <v>16200</v>
      </c>
      <c r="E868" s="7">
        <v>15800</v>
      </c>
      <c r="F868" s="7">
        <v>16155</v>
      </c>
      <c r="G868" s="34">
        <v>97</v>
      </c>
      <c r="H868" s="35">
        <v>-350</v>
      </c>
      <c r="I868" s="38">
        <f t="shared" si="13"/>
        <v>15820</v>
      </c>
    </row>
    <row r="869" spans="1:9" x14ac:dyDescent="0.2">
      <c r="A869" s="33">
        <v>43929</v>
      </c>
      <c r="B869" s="36">
        <v>16150</v>
      </c>
      <c r="C869" s="7">
        <v>16200</v>
      </c>
      <c r="D869" s="7">
        <v>16300</v>
      </c>
      <c r="E869" s="7">
        <v>16150</v>
      </c>
      <c r="F869" s="7">
        <v>16175</v>
      </c>
      <c r="G869" s="34">
        <v>37</v>
      </c>
      <c r="H869" s="35">
        <v>25</v>
      </c>
      <c r="I869" s="38">
        <f t="shared" si="13"/>
        <v>16175</v>
      </c>
    </row>
    <row r="870" spans="1:9" x14ac:dyDescent="0.2">
      <c r="A870" s="33">
        <v>43928</v>
      </c>
      <c r="B870" s="36">
        <v>16125</v>
      </c>
      <c r="C870" s="7">
        <v>16225</v>
      </c>
      <c r="D870" s="7">
        <v>16400</v>
      </c>
      <c r="E870" s="7">
        <v>16125</v>
      </c>
      <c r="F870" s="7">
        <v>16380</v>
      </c>
      <c r="G870" s="34">
        <v>65</v>
      </c>
      <c r="H870" s="35">
        <v>-255</v>
      </c>
      <c r="I870" s="38">
        <f t="shared" si="13"/>
        <v>16175</v>
      </c>
    </row>
    <row r="871" spans="1:9" x14ac:dyDescent="0.2">
      <c r="A871" s="33">
        <v>43927</v>
      </c>
      <c r="B871" s="36">
        <v>16380</v>
      </c>
      <c r="C871" s="7">
        <v>16445</v>
      </c>
      <c r="D871" s="7">
        <v>16550</v>
      </c>
      <c r="E871" s="7">
        <v>16380</v>
      </c>
      <c r="F871" s="7">
        <v>16400</v>
      </c>
      <c r="G871" s="34">
        <v>20</v>
      </c>
      <c r="H871" s="35">
        <v>-20</v>
      </c>
      <c r="I871" s="38">
        <f t="shared" si="13"/>
        <v>16412.5</v>
      </c>
    </row>
    <row r="872" spans="1:9" x14ac:dyDescent="0.2">
      <c r="A872" s="33">
        <v>43924</v>
      </c>
      <c r="B872" s="36">
        <v>16400</v>
      </c>
      <c r="C872" s="7">
        <v>16450</v>
      </c>
      <c r="D872" s="7">
        <v>16455</v>
      </c>
      <c r="E872" s="7">
        <v>16400</v>
      </c>
      <c r="F872" s="7">
        <v>16440</v>
      </c>
      <c r="G872" s="34">
        <v>26</v>
      </c>
      <c r="H872" s="35">
        <v>-70</v>
      </c>
      <c r="I872" s="38">
        <f t="shared" si="13"/>
        <v>16425</v>
      </c>
    </row>
    <row r="873" spans="1:9" x14ac:dyDescent="0.2">
      <c r="A873" s="33">
        <v>43923</v>
      </c>
      <c r="B873" s="36">
        <v>16470</v>
      </c>
      <c r="C873" s="7">
        <v>16480</v>
      </c>
      <c r="D873" s="7">
        <v>16550</v>
      </c>
      <c r="E873" s="7">
        <v>16470</v>
      </c>
      <c r="F873" s="7">
        <v>16500</v>
      </c>
      <c r="G873" s="34">
        <v>18</v>
      </c>
      <c r="H873" s="35">
        <v>30</v>
      </c>
      <c r="I873" s="38">
        <f t="shared" si="13"/>
        <v>16475</v>
      </c>
    </row>
    <row r="874" spans="1:9" x14ac:dyDescent="0.2">
      <c r="A874" s="33">
        <v>43922</v>
      </c>
      <c r="B874" s="36">
        <v>16440</v>
      </c>
      <c r="C874" s="7">
        <v>16460</v>
      </c>
      <c r="D874" s="7">
        <v>16440</v>
      </c>
      <c r="E874" s="7">
        <v>16320</v>
      </c>
      <c r="F874" s="7">
        <v>16320</v>
      </c>
      <c r="G874" s="34">
        <v>27</v>
      </c>
      <c r="H874" s="35">
        <v>140</v>
      </c>
      <c r="I874" s="38">
        <f t="shared" si="13"/>
        <v>16450</v>
      </c>
    </row>
    <row r="875" spans="1:9" x14ac:dyDescent="0.2">
      <c r="A875" s="33">
        <v>43921</v>
      </c>
      <c r="B875" s="36">
        <v>16300</v>
      </c>
      <c r="C875" s="7">
        <v>16320</v>
      </c>
      <c r="D875" s="7">
        <v>16385</v>
      </c>
      <c r="E875" s="7">
        <v>16280</v>
      </c>
      <c r="F875" s="7">
        <v>16300</v>
      </c>
      <c r="G875" s="34">
        <v>109</v>
      </c>
      <c r="H875" s="35">
        <v>-25</v>
      </c>
      <c r="I875" s="38">
        <f t="shared" si="13"/>
        <v>16310</v>
      </c>
    </row>
    <row r="876" spans="1:9" x14ac:dyDescent="0.2">
      <c r="A876" s="33">
        <v>43920</v>
      </c>
      <c r="B876" s="36">
        <v>16325</v>
      </c>
      <c r="C876" s="7">
        <v>16350</v>
      </c>
      <c r="D876" s="7">
        <v>16400</v>
      </c>
      <c r="E876" s="7">
        <v>16150</v>
      </c>
      <c r="F876" s="7">
        <v>16150</v>
      </c>
      <c r="G876" s="34">
        <v>31</v>
      </c>
      <c r="H876" s="35">
        <v>225</v>
      </c>
      <c r="I876" s="38">
        <f t="shared" si="13"/>
        <v>16337.5</v>
      </c>
    </row>
    <row r="877" spans="1:9" x14ac:dyDescent="0.2">
      <c r="A877" s="33">
        <v>43917</v>
      </c>
      <c r="B877" s="36">
        <v>16100</v>
      </c>
      <c r="C877" s="7">
        <v>16180</v>
      </c>
      <c r="D877" s="7">
        <v>16230</v>
      </c>
      <c r="E877" s="7">
        <v>16050</v>
      </c>
      <c r="F877" s="7">
        <v>16100</v>
      </c>
      <c r="G877" s="34">
        <v>101</v>
      </c>
      <c r="H877" s="35">
        <v>-175</v>
      </c>
      <c r="I877" s="38">
        <f t="shared" si="13"/>
        <v>16140</v>
      </c>
    </row>
    <row r="878" spans="1:9" x14ac:dyDescent="0.2">
      <c r="A878" s="33">
        <v>43916</v>
      </c>
      <c r="B878" s="36">
        <v>16275</v>
      </c>
      <c r="C878" s="7">
        <v>16335</v>
      </c>
      <c r="D878" s="7">
        <v>16320</v>
      </c>
      <c r="E878" s="7">
        <v>16200</v>
      </c>
      <c r="F878" s="7">
        <v>16200</v>
      </c>
      <c r="G878" s="34">
        <v>87</v>
      </c>
      <c r="H878" s="35">
        <v>-175</v>
      </c>
      <c r="I878" s="38">
        <f t="shared" si="13"/>
        <v>16305</v>
      </c>
    </row>
    <row r="879" spans="1:9" x14ac:dyDescent="0.2">
      <c r="A879" s="33">
        <v>43915</v>
      </c>
      <c r="B879" s="36">
        <v>16450</v>
      </c>
      <c r="C879" s="7">
        <v>16550</v>
      </c>
      <c r="D879" s="7"/>
      <c r="E879" s="7"/>
      <c r="F879" s="7"/>
      <c r="G879" s="34"/>
      <c r="H879" s="35">
        <v>0</v>
      </c>
      <c r="I879" s="38">
        <f t="shared" si="13"/>
        <v>16500</v>
      </c>
    </row>
    <row r="880" spans="1:9" x14ac:dyDescent="0.2">
      <c r="A880" s="33">
        <v>43914</v>
      </c>
      <c r="B880" s="36">
        <v>16450</v>
      </c>
      <c r="C880" s="7">
        <v>16550</v>
      </c>
      <c r="D880" s="7">
        <v>16500</v>
      </c>
      <c r="E880" s="7">
        <v>16450</v>
      </c>
      <c r="F880" s="7">
        <v>16500</v>
      </c>
      <c r="G880" s="34">
        <v>61</v>
      </c>
      <c r="H880" s="35">
        <v>-100</v>
      </c>
      <c r="I880" s="38">
        <f t="shared" si="13"/>
        <v>16500</v>
      </c>
    </row>
    <row r="881" spans="1:9" x14ac:dyDescent="0.2">
      <c r="A881" s="33">
        <v>43913</v>
      </c>
      <c r="B881" s="36">
        <v>16550</v>
      </c>
      <c r="C881" s="7">
        <v>16600</v>
      </c>
      <c r="D881" s="7">
        <v>16620</v>
      </c>
      <c r="E881" s="7">
        <v>15950</v>
      </c>
      <c r="F881" s="7">
        <v>15950</v>
      </c>
      <c r="G881" s="34">
        <v>54</v>
      </c>
      <c r="H881" s="35">
        <v>650</v>
      </c>
      <c r="I881" s="38">
        <f t="shared" si="13"/>
        <v>16575</v>
      </c>
    </row>
    <row r="882" spans="1:9" x14ac:dyDescent="0.2">
      <c r="A882" s="33">
        <v>43910</v>
      </c>
      <c r="B882" s="36">
        <v>15900</v>
      </c>
      <c r="C882" s="7">
        <v>15950</v>
      </c>
      <c r="D882" s="7">
        <v>16200</v>
      </c>
      <c r="E882" s="7">
        <v>15900</v>
      </c>
      <c r="F882" s="7">
        <v>15950</v>
      </c>
      <c r="G882" s="34">
        <v>39</v>
      </c>
      <c r="H882" s="35">
        <v>0</v>
      </c>
      <c r="I882" s="38">
        <f t="shared" si="13"/>
        <v>15925</v>
      </c>
    </row>
    <row r="883" spans="1:9" x14ac:dyDescent="0.2">
      <c r="A883" s="33">
        <v>43909</v>
      </c>
      <c r="B883" s="36">
        <v>15900</v>
      </c>
      <c r="C883" s="7">
        <v>15925</v>
      </c>
      <c r="D883" s="7">
        <v>15900</v>
      </c>
      <c r="E883" s="7">
        <v>15280</v>
      </c>
      <c r="F883" s="7">
        <v>15280</v>
      </c>
      <c r="G883" s="34">
        <v>15</v>
      </c>
      <c r="H883" s="35">
        <v>700</v>
      </c>
      <c r="I883" s="38">
        <f t="shared" si="13"/>
        <v>15912.5</v>
      </c>
    </row>
    <row r="884" spans="1:9" x14ac:dyDescent="0.2">
      <c r="A884" s="33">
        <v>43908</v>
      </c>
      <c r="B884" s="36">
        <v>15200</v>
      </c>
      <c r="C884" s="7">
        <v>15235</v>
      </c>
      <c r="D884" s="7">
        <v>15215</v>
      </c>
      <c r="E884" s="7">
        <v>15080</v>
      </c>
      <c r="F884" s="7">
        <v>15080</v>
      </c>
      <c r="G884" s="34">
        <v>28</v>
      </c>
      <c r="H884" s="35">
        <v>40</v>
      </c>
      <c r="I884" s="38">
        <f t="shared" si="13"/>
        <v>15217.5</v>
      </c>
    </row>
    <row r="885" spans="1:9" x14ac:dyDescent="0.2">
      <c r="A885" s="33">
        <v>43907</v>
      </c>
      <c r="B885" s="36">
        <v>15160</v>
      </c>
      <c r="C885" s="7">
        <v>15180</v>
      </c>
      <c r="D885" s="7">
        <v>15160</v>
      </c>
      <c r="E885" s="7">
        <v>14930</v>
      </c>
      <c r="F885" s="7">
        <v>14930</v>
      </c>
      <c r="G885" s="34">
        <v>50</v>
      </c>
      <c r="H885" s="35">
        <v>260</v>
      </c>
      <c r="I885" s="38">
        <f t="shared" si="13"/>
        <v>15170</v>
      </c>
    </row>
    <row r="886" spans="1:9" x14ac:dyDescent="0.2">
      <c r="A886" s="33">
        <v>43906</v>
      </c>
      <c r="B886" s="36">
        <v>14900</v>
      </c>
      <c r="C886" s="7">
        <v>14950</v>
      </c>
      <c r="D886" s="7">
        <v>14977</v>
      </c>
      <c r="E886" s="7">
        <v>14700</v>
      </c>
      <c r="F886" s="7">
        <v>14700</v>
      </c>
      <c r="G886" s="34">
        <v>99</v>
      </c>
      <c r="H886" s="35">
        <v>160</v>
      </c>
      <c r="I886" s="38">
        <f t="shared" si="13"/>
        <v>14925</v>
      </c>
    </row>
    <row r="887" spans="1:9" x14ac:dyDescent="0.2">
      <c r="A887" s="33">
        <v>43903</v>
      </c>
      <c r="B887" s="36">
        <v>14740</v>
      </c>
      <c r="C887" s="7">
        <v>14800</v>
      </c>
      <c r="D887" s="7">
        <v>14835</v>
      </c>
      <c r="E887" s="7">
        <v>14580</v>
      </c>
      <c r="F887" s="7">
        <v>14580</v>
      </c>
      <c r="G887" s="34">
        <v>121</v>
      </c>
      <c r="H887" s="35">
        <v>230</v>
      </c>
      <c r="I887" s="38">
        <f t="shared" si="13"/>
        <v>14770</v>
      </c>
    </row>
    <row r="888" spans="1:9" x14ac:dyDescent="0.2">
      <c r="A888" s="33">
        <v>43902</v>
      </c>
      <c r="B888" s="36">
        <v>14510</v>
      </c>
      <c r="C888" s="7">
        <v>14533</v>
      </c>
      <c r="D888" s="7">
        <v>14510</v>
      </c>
      <c r="E888" s="7">
        <v>14355</v>
      </c>
      <c r="F888" s="7">
        <v>14355</v>
      </c>
      <c r="G888" s="34">
        <v>42</v>
      </c>
      <c r="H888" s="35">
        <v>170</v>
      </c>
      <c r="I888" s="38">
        <f t="shared" si="13"/>
        <v>14521.5</v>
      </c>
    </row>
    <row r="889" spans="1:9" x14ac:dyDescent="0.2">
      <c r="A889" s="33">
        <v>43901</v>
      </c>
      <c r="B889" s="36">
        <v>14340</v>
      </c>
      <c r="C889" s="7">
        <v>14365</v>
      </c>
      <c r="D889" s="7">
        <v>14380</v>
      </c>
      <c r="E889" s="7">
        <v>14280</v>
      </c>
      <c r="F889" s="7">
        <v>14290</v>
      </c>
      <c r="G889" s="34">
        <v>235</v>
      </c>
      <c r="H889" s="35">
        <v>0</v>
      </c>
      <c r="I889" s="38">
        <f t="shared" si="13"/>
        <v>14352.5</v>
      </c>
    </row>
    <row r="890" spans="1:9" x14ac:dyDescent="0.2">
      <c r="A890" s="33">
        <v>43900</v>
      </c>
      <c r="B890" s="36">
        <v>14340</v>
      </c>
      <c r="C890" s="7">
        <v>14352</v>
      </c>
      <c r="D890" s="7">
        <v>14410</v>
      </c>
      <c r="E890" s="7">
        <v>14275</v>
      </c>
      <c r="F890" s="7">
        <v>14385</v>
      </c>
      <c r="G890" s="34">
        <v>281</v>
      </c>
      <c r="H890" s="35">
        <v>-45</v>
      </c>
      <c r="I890" s="38">
        <f t="shared" si="13"/>
        <v>14346</v>
      </c>
    </row>
    <row r="891" spans="1:9" x14ac:dyDescent="0.2">
      <c r="A891" s="33">
        <v>43899</v>
      </c>
      <c r="B891" s="36">
        <v>14385</v>
      </c>
      <c r="C891" s="7">
        <v>14400</v>
      </c>
      <c r="D891" s="7">
        <v>14385</v>
      </c>
      <c r="E891" s="7">
        <v>14240</v>
      </c>
      <c r="F891" s="7">
        <v>14240</v>
      </c>
      <c r="G891" s="34">
        <v>31</v>
      </c>
      <c r="H891" s="35">
        <v>165</v>
      </c>
      <c r="I891" s="38">
        <f t="shared" si="13"/>
        <v>14392.5</v>
      </c>
    </row>
    <row r="892" spans="1:9" x14ac:dyDescent="0.2">
      <c r="A892" s="33">
        <v>43896</v>
      </c>
      <c r="B892" s="36">
        <v>14220</v>
      </c>
      <c r="C892" s="7">
        <v>14240</v>
      </c>
      <c r="D892" s="7">
        <v>14285</v>
      </c>
      <c r="E892" s="7">
        <v>14180</v>
      </c>
      <c r="F892" s="7">
        <v>14180</v>
      </c>
      <c r="G892" s="34">
        <v>149</v>
      </c>
      <c r="H892" s="35">
        <v>60</v>
      </c>
      <c r="I892" s="38">
        <f t="shared" si="13"/>
        <v>14230</v>
      </c>
    </row>
    <row r="893" spans="1:9" x14ac:dyDescent="0.2">
      <c r="A893" s="33">
        <v>43895</v>
      </c>
      <c r="B893" s="36">
        <v>14160</v>
      </c>
      <c r="C893" s="7">
        <v>14180</v>
      </c>
      <c r="D893" s="7">
        <v>14180</v>
      </c>
      <c r="E893" s="7">
        <v>14110</v>
      </c>
      <c r="F893" s="7">
        <v>14110</v>
      </c>
      <c r="G893" s="34">
        <v>218</v>
      </c>
      <c r="H893" s="35">
        <v>50</v>
      </c>
      <c r="I893" s="38">
        <f t="shared" si="13"/>
        <v>14170</v>
      </c>
    </row>
    <row r="894" spans="1:9" x14ac:dyDescent="0.2">
      <c r="A894" s="33">
        <v>43894</v>
      </c>
      <c r="B894" s="36">
        <v>14110</v>
      </c>
      <c r="C894" s="7">
        <v>14120</v>
      </c>
      <c r="D894" s="7">
        <v>14250</v>
      </c>
      <c r="E894" s="7">
        <v>14090</v>
      </c>
      <c r="F894" s="7">
        <v>14250</v>
      </c>
      <c r="G894" s="34">
        <v>237</v>
      </c>
      <c r="H894" s="35">
        <v>-165</v>
      </c>
      <c r="I894" s="38">
        <f t="shared" si="13"/>
        <v>14115</v>
      </c>
    </row>
    <row r="895" spans="1:9" x14ac:dyDescent="0.2">
      <c r="A895" s="33">
        <v>43893</v>
      </c>
      <c r="B895" s="36">
        <v>14275</v>
      </c>
      <c r="C895" s="7">
        <v>14288</v>
      </c>
      <c r="D895" s="7">
        <v>14280</v>
      </c>
      <c r="E895" s="7">
        <v>14190</v>
      </c>
      <c r="F895" s="7">
        <v>14190</v>
      </c>
      <c r="G895" s="34">
        <v>166</v>
      </c>
      <c r="H895" s="35">
        <v>15</v>
      </c>
      <c r="I895" s="38">
        <f t="shared" si="13"/>
        <v>14281.5</v>
      </c>
    </row>
    <row r="896" spans="1:9" x14ac:dyDescent="0.2">
      <c r="A896" s="33">
        <v>43892</v>
      </c>
      <c r="B896" s="36">
        <v>14260</v>
      </c>
      <c r="C896" s="7">
        <v>14270</v>
      </c>
      <c r="D896" s="7">
        <v>14415</v>
      </c>
      <c r="E896" s="7">
        <v>14220</v>
      </c>
      <c r="F896" s="7">
        <v>14350</v>
      </c>
      <c r="G896" s="34">
        <v>73</v>
      </c>
      <c r="H896" s="35">
        <v>-80</v>
      </c>
      <c r="I896" s="38">
        <f t="shared" si="13"/>
        <v>14265</v>
      </c>
    </row>
    <row r="897" spans="1:9" x14ac:dyDescent="0.2">
      <c r="A897" s="33">
        <v>43889</v>
      </c>
      <c r="B897" s="36">
        <v>14340</v>
      </c>
      <c r="C897" s="7">
        <v>14355</v>
      </c>
      <c r="D897" s="7">
        <v>14340</v>
      </c>
      <c r="E897" s="7">
        <v>14050</v>
      </c>
      <c r="F897" s="7">
        <v>14050</v>
      </c>
      <c r="G897" s="34">
        <v>64</v>
      </c>
      <c r="H897" s="35">
        <v>310</v>
      </c>
      <c r="I897" s="38">
        <f t="shared" si="13"/>
        <v>14347.5</v>
      </c>
    </row>
    <row r="898" spans="1:9" x14ac:dyDescent="0.2">
      <c r="A898" s="33">
        <v>43888</v>
      </c>
      <c r="B898" s="36">
        <v>14030</v>
      </c>
      <c r="C898" s="7">
        <v>14040</v>
      </c>
      <c r="D898" s="7">
        <v>14030</v>
      </c>
      <c r="E898" s="7">
        <v>13930</v>
      </c>
      <c r="F898" s="7">
        <v>13930</v>
      </c>
      <c r="G898" s="34">
        <v>123</v>
      </c>
      <c r="H898" s="35">
        <v>105</v>
      </c>
      <c r="I898" s="38">
        <f t="shared" si="13"/>
        <v>14035</v>
      </c>
    </row>
    <row r="899" spans="1:9" x14ac:dyDescent="0.2">
      <c r="A899" s="33">
        <v>43887</v>
      </c>
      <c r="B899" s="36">
        <v>13925</v>
      </c>
      <c r="C899" s="7">
        <v>13940</v>
      </c>
      <c r="D899" s="7">
        <v>13940</v>
      </c>
      <c r="E899" s="7">
        <v>13880</v>
      </c>
      <c r="F899" s="7">
        <v>13880</v>
      </c>
      <c r="G899" s="34">
        <v>39</v>
      </c>
      <c r="H899" s="35">
        <v>55</v>
      </c>
      <c r="I899" s="38">
        <f t="shared" si="13"/>
        <v>13932.5</v>
      </c>
    </row>
    <row r="900" spans="1:9" x14ac:dyDescent="0.2">
      <c r="A900" s="33">
        <v>43886</v>
      </c>
      <c r="B900" s="36">
        <v>13870</v>
      </c>
      <c r="C900" s="7">
        <v>13895</v>
      </c>
      <c r="D900" s="7">
        <v>13900</v>
      </c>
      <c r="E900" s="7">
        <v>13860</v>
      </c>
      <c r="F900" s="7">
        <v>13860</v>
      </c>
      <c r="G900" s="34">
        <v>64</v>
      </c>
      <c r="H900" s="35">
        <v>5</v>
      </c>
      <c r="I900" s="38">
        <f t="shared" si="13"/>
        <v>13882.5</v>
      </c>
    </row>
    <row r="901" spans="1:9" x14ac:dyDescent="0.2">
      <c r="A901" s="33">
        <v>43885</v>
      </c>
      <c r="B901" s="36">
        <v>13865</v>
      </c>
      <c r="C901" s="7">
        <v>13875</v>
      </c>
      <c r="D901" s="7">
        <v>13890</v>
      </c>
      <c r="E901" s="7">
        <v>13770</v>
      </c>
      <c r="F901" s="7">
        <v>13770</v>
      </c>
      <c r="G901" s="34">
        <v>57</v>
      </c>
      <c r="H901" s="35">
        <v>105</v>
      </c>
      <c r="I901" s="38">
        <f t="shared" si="13"/>
        <v>13870</v>
      </c>
    </row>
    <row r="902" spans="1:9" x14ac:dyDescent="0.2">
      <c r="A902" s="33">
        <v>43882</v>
      </c>
      <c r="B902" s="36">
        <v>13760</v>
      </c>
      <c r="C902" s="7">
        <v>13770</v>
      </c>
      <c r="D902" s="7">
        <v>13760</v>
      </c>
      <c r="E902" s="7">
        <v>13715</v>
      </c>
      <c r="F902" s="7">
        <v>13715</v>
      </c>
      <c r="G902" s="34">
        <v>26</v>
      </c>
      <c r="H902" s="35">
        <v>60</v>
      </c>
      <c r="I902" s="38">
        <f t="shared" si="13"/>
        <v>13765</v>
      </c>
    </row>
    <row r="903" spans="1:9" x14ac:dyDescent="0.2">
      <c r="A903" s="33">
        <v>43881</v>
      </c>
      <c r="B903" s="36">
        <v>13700</v>
      </c>
      <c r="C903" s="7">
        <v>13715</v>
      </c>
      <c r="D903" s="7">
        <v>13770</v>
      </c>
      <c r="E903" s="7">
        <v>13690</v>
      </c>
      <c r="F903" s="7">
        <v>13690</v>
      </c>
      <c r="G903" s="34">
        <v>149</v>
      </c>
      <c r="H903" s="35">
        <v>20</v>
      </c>
      <c r="I903" s="38">
        <f t="shared" si="13"/>
        <v>13707.5</v>
      </c>
    </row>
    <row r="904" spans="1:9" x14ac:dyDescent="0.2">
      <c r="A904" s="33">
        <v>43880</v>
      </c>
      <c r="B904" s="36">
        <v>13680</v>
      </c>
      <c r="C904" s="7">
        <v>13695</v>
      </c>
      <c r="D904" s="7">
        <v>13715</v>
      </c>
      <c r="E904" s="7">
        <v>13680</v>
      </c>
      <c r="F904" s="7">
        <v>13690</v>
      </c>
      <c r="G904" s="34">
        <v>164</v>
      </c>
      <c r="H904" s="35">
        <v>20</v>
      </c>
      <c r="I904" s="38">
        <f t="shared" si="13"/>
        <v>13687.5</v>
      </c>
    </row>
    <row r="905" spans="1:9" x14ac:dyDescent="0.2">
      <c r="A905" s="33">
        <v>43879</v>
      </c>
      <c r="B905" s="36">
        <v>13660</v>
      </c>
      <c r="C905" s="7">
        <v>13670</v>
      </c>
      <c r="D905" s="7">
        <v>13690</v>
      </c>
      <c r="E905" s="7">
        <v>13650</v>
      </c>
      <c r="F905" s="7">
        <v>13650</v>
      </c>
      <c r="G905" s="34">
        <v>145</v>
      </c>
      <c r="H905" s="35">
        <v>10</v>
      </c>
      <c r="I905" s="38">
        <f t="shared" si="13"/>
        <v>13665</v>
      </c>
    </row>
    <row r="906" spans="1:9" x14ac:dyDescent="0.2">
      <c r="A906" s="33">
        <v>43878</v>
      </c>
      <c r="B906" s="36">
        <v>13650</v>
      </c>
      <c r="C906" s="7">
        <v>13655</v>
      </c>
      <c r="D906" s="7">
        <v>13690</v>
      </c>
      <c r="E906" s="7">
        <v>13649</v>
      </c>
      <c r="F906" s="7">
        <v>13670</v>
      </c>
      <c r="G906" s="34">
        <v>175</v>
      </c>
      <c r="H906" s="35">
        <v>-20</v>
      </c>
      <c r="I906" s="38">
        <f t="shared" si="13"/>
        <v>13652.5</v>
      </c>
    </row>
    <row r="907" spans="1:9" x14ac:dyDescent="0.2">
      <c r="A907" s="33">
        <v>43875</v>
      </c>
      <c r="B907" s="36">
        <v>13670</v>
      </c>
      <c r="C907" s="7">
        <v>13680</v>
      </c>
      <c r="D907" s="7">
        <v>13710</v>
      </c>
      <c r="E907" s="7">
        <v>13670</v>
      </c>
      <c r="F907" s="7">
        <v>13680</v>
      </c>
      <c r="G907" s="34">
        <v>179</v>
      </c>
      <c r="H907" s="35">
        <v>-5</v>
      </c>
      <c r="I907" s="38">
        <f t="shared" si="13"/>
        <v>13675</v>
      </c>
    </row>
    <row r="908" spans="1:9" x14ac:dyDescent="0.2">
      <c r="A908" s="33">
        <v>43874</v>
      </c>
      <c r="B908" s="36">
        <v>13675</v>
      </c>
      <c r="C908" s="7">
        <v>13685</v>
      </c>
      <c r="D908" s="7">
        <v>13710</v>
      </c>
      <c r="E908" s="7">
        <v>13655</v>
      </c>
      <c r="F908" s="7">
        <v>13655</v>
      </c>
      <c r="G908" s="34">
        <v>120</v>
      </c>
      <c r="H908" s="35">
        <v>20</v>
      </c>
      <c r="I908" s="38">
        <f t="shared" si="13"/>
        <v>13680</v>
      </c>
    </row>
    <row r="909" spans="1:9" x14ac:dyDescent="0.2">
      <c r="A909" s="33">
        <v>43873</v>
      </c>
      <c r="B909" s="36">
        <v>13655</v>
      </c>
      <c r="C909" s="7">
        <v>13665</v>
      </c>
      <c r="D909" s="7">
        <v>13675</v>
      </c>
      <c r="E909" s="7">
        <v>13640</v>
      </c>
      <c r="F909" s="7">
        <v>13640</v>
      </c>
      <c r="G909" s="34">
        <v>217</v>
      </c>
      <c r="H909" s="35">
        <v>-5</v>
      </c>
      <c r="I909" s="38">
        <f t="shared" si="13"/>
        <v>13660</v>
      </c>
    </row>
    <row r="910" spans="1:9" x14ac:dyDescent="0.2">
      <c r="A910" s="33">
        <v>43872</v>
      </c>
      <c r="B910" s="36">
        <v>13660</v>
      </c>
      <c r="C910" s="7">
        <v>13670</v>
      </c>
      <c r="D910" s="7">
        <v>13690</v>
      </c>
      <c r="E910" s="7">
        <v>13660</v>
      </c>
      <c r="F910" s="7">
        <v>13690</v>
      </c>
      <c r="G910" s="34">
        <v>121</v>
      </c>
      <c r="H910" s="35">
        <v>-30</v>
      </c>
      <c r="I910" s="38">
        <f t="shared" si="13"/>
        <v>13665</v>
      </c>
    </row>
    <row r="911" spans="1:9" x14ac:dyDescent="0.2">
      <c r="A911" s="33">
        <v>43871</v>
      </c>
      <c r="B911" s="36">
        <v>13690</v>
      </c>
      <c r="C911" s="7">
        <v>13700</v>
      </c>
      <c r="D911" s="7">
        <v>13725</v>
      </c>
      <c r="E911" s="7">
        <v>13670</v>
      </c>
      <c r="F911" s="7">
        <v>13670</v>
      </c>
      <c r="G911" s="34">
        <v>79</v>
      </c>
      <c r="H911" s="35">
        <v>20</v>
      </c>
      <c r="I911" s="38">
        <f t="shared" si="13"/>
        <v>13695</v>
      </c>
    </row>
    <row r="912" spans="1:9" x14ac:dyDescent="0.2">
      <c r="A912" s="33">
        <v>43868</v>
      </c>
      <c r="B912" s="36">
        <v>13670</v>
      </c>
      <c r="C912" s="7">
        <v>13680</v>
      </c>
      <c r="D912" s="7">
        <v>13675</v>
      </c>
      <c r="E912" s="7">
        <v>13615</v>
      </c>
      <c r="F912" s="7">
        <v>13615</v>
      </c>
      <c r="G912" s="34">
        <v>73</v>
      </c>
      <c r="H912" s="35">
        <v>55</v>
      </c>
      <c r="I912" s="38">
        <f t="shared" si="13"/>
        <v>13675</v>
      </c>
    </row>
    <row r="913" spans="1:9" x14ac:dyDescent="0.2">
      <c r="A913" s="33">
        <v>43867</v>
      </c>
      <c r="B913" s="36">
        <v>13615</v>
      </c>
      <c r="C913" s="7">
        <v>13625</v>
      </c>
      <c r="D913" s="7">
        <v>13670</v>
      </c>
      <c r="E913" s="7">
        <v>13590</v>
      </c>
      <c r="F913" s="7">
        <v>13640</v>
      </c>
      <c r="G913" s="34">
        <v>285</v>
      </c>
      <c r="H913" s="35">
        <v>-55</v>
      </c>
      <c r="I913" s="38">
        <f t="shared" si="13"/>
        <v>13620</v>
      </c>
    </row>
    <row r="914" spans="1:9" x14ac:dyDescent="0.2">
      <c r="A914" s="33">
        <v>43866</v>
      </c>
      <c r="B914" s="36">
        <v>13670</v>
      </c>
      <c r="C914" s="7">
        <v>13680</v>
      </c>
      <c r="D914" s="7">
        <v>13730</v>
      </c>
      <c r="E914" s="7">
        <v>13670</v>
      </c>
      <c r="F914" s="7">
        <v>13690</v>
      </c>
      <c r="G914" s="34">
        <v>231</v>
      </c>
      <c r="H914" s="35">
        <v>-35</v>
      </c>
      <c r="I914" s="38">
        <f t="shared" si="13"/>
        <v>13675</v>
      </c>
    </row>
    <row r="915" spans="1:9" x14ac:dyDescent="0.2">
      <c r="A915" s="33">
        <v>43865</v>
      </c>
      <c r="B915" s="36">
        <v>13705</v>
      </c>
      <c r="C915" s="7">
        <v>13715</v>
      </c>
      <c r="D915" s="7">
        <v>13765</v>
      </c>
      <c r="E915" s="7">
        <v>13690</v>
      </c>
      <c r="F915" s="7">
        <v>13740</v>
      </c>
      <c r="G915" s="34">
        <v>202</v>
      </c>
      <c r="H915" s="35">
        <v>-35</v>
      </c>
      <c r="I915" s="38">
        <f t="shared" si="13"/>
        <v>13710</v>
      </c>
    </row>
    <row r="916" spans="1:9" x14ac:dyDescent="0.2">
      <c r="A916" s="33">
        <v>43864</v>
      </c>
      <c r="B916" s="36">
        <v>13740</v>
      </c>
      <c r="C916" s="7">
        <v>13745</v>
      </c>
      <c r="D916" s="7">
        <v>13740</v>
      </c>
      <c r="E916" s="7">
        <v>13660</v>
      </c>
      <c r="F916" s="7">
        <v>13660</v>
      </c>
      <c r="G916" s="34">
        <v>36</v>
      </c>
      <c r="H916" s="35">
        <v>90</v>
      </c>
      <c r="I916" s="38">
        <f t="shared" si="13"/>
        <v>13742.5</v>
      </c>
    </row>
    <row r="917" spans="1:9" x14ac:dyDescent="0.2">
      <c r="A917" s="33">
        <v>43861</v>
      </c>
      <c r="B917" s="36">
        <v>13650</v>
      </c>
      <c r="C917" s="7">
        <v>13660</v>
      </c>
      <c r="D917" s="7">
        <v>13658</v>
      </c>
      <c r="E917" s="7">
        <v>13640</v>
      </c>
      <c r="F917" s="7">
        <v>13640</v>
      </c>
      <c r="G917" s="34">
        <v>32</v>
      </c>
      <c r="H917" s="35">
        <v>10</v>
      </c>
      <c r="I917" s="38">
        <f t="shared" si="13"/>
        <v>13655</v>
      </c>
    </row>
    <row r="918" spans="1:9" x14ac:dyDescent="0.2">
      <c r="A918" s="33">
        <v>43860</v>
      </c>
      <c r="B918" s="36">
        <v>13640</v>
      </c>
      <c r="C918" s="7">
        <v>13650</v>
      </c>
      <c r="D918" s="7">
        <v>13667</v>
      </c>
      <c r="E918" s="7">
        <v>13625</v>
      </c>
      <c r="F918" s="7">
        <v>13630</v>
      </c>
      <c r="G918" s="34">
        <v>124</v>
      </c>
      <c r="H918" s="35">
        <v>20</v>
      </c>
      <c r="I918" s="38">
        <f t="shared" si="13"/>
        <v>13645</v>
      </c>
    </row>
    <row r="919" spans="1:9" x14ac:dyDescent="0.2">
      <c r="A919" s="33">
        <v>43859</v>
      </c>
      <c r="B919" s="36">
        <v>13620</v>
      </c>
      <c r="C919" s="7">
        <v>13635</v>
      </c>
      <c r="D919" s="7">
        <v>13642</v>
      </c>
      <c r="E919" s="7">
        <v>13615</v>
      </c>
      <c r="F919" s="7">
        <v>13615</v>
      </c>
      <c r="G919" s="34">
        <v>202</v>
      </c>
      <c r="H919" s="35">
        <v>-10</v>
      </c>
      <c r="I919" s="38">
        <f t="shared" si="13"/>
        <v>13627.5</v>
      </c>
    </row>
    <row r="920" spans="1:9" x14ac:dyDescent="0.2">
      <c r="A920" s="33">
        <v>43858</v>
      </c>
      <c r="B920" s="36">
        <v>13630</v>
      </c>
      <c r="C920" s="7">
        <v>13645</v>
      </c>
      <c r="D920" s="7">
        <v>13653</v>
      </c>
      <c r="E920" s="7">
        <v>13610</v>
      </c>
      <c r="F920" s="7">
        <v>13610</v>
      </c>
      <c r="G920" s="34">
        <v>208</v>
      </c>
      <c r="H920" s="35">
        <v>30</v>
      </c>
      <c r="I920" s="38">
        <f t="shared" si="13"/>
        <v>13637.5</v>
      </c>
    </row>
    <row r="921" spans="1:9" x14ac:dyDescent="0.2">
      <c r="A921" s="33">
        <v>43857</v>
      </c>
      <c r="B921" s="36">
        <v>13600</v>
      </c>
      <c r="C921" s="7">
        <v>13610</v>
      </c>
      <c r="D921" s="7">
        <v>13620</v>
      </c>
      <c r="E921" s="7">
        <v>13570</v>
      </c>
      <c r="F921" s="7">
        <v>13570</v>
      </c>
      <c r="G921" s="34">
        <v>113</v>
      </c>
      <c r="H921" s="35">
        <v>35</v>
      </c>
      <c r="I921" s="38">
        <f t="shared" si="13"/>
        <v>13605</v>
      </c>
    </row>
    <row r="922" spans="1:9" x14ac:dyDescent="0.2">
      <c r="A922" s="33">
        <v>43854</v>
      </c>
      <c r="B922" s="36">
        <v>13565</v>
      </c>
      <c r="C922" s="7">
        <v>13580</v>
      </c>
      <c r="D922" s="7">
        <v>13638</v>
      </c>
      <c r="E922" s="7">
        <v>13565</v>
      </c>
      <c r="F922" s="7">
        <v>13630</v>
      </c>
      <c r="G922" s="34">
        <v>207</v>
      </c>
      <c r="H922" s="35">
        <v>-60</v>
      </c>
      <c r="I922" s="38">
        <f t="shared" si="13"/>
        <v>13572.5</v>
      </c>
    </row>
    <row r="923" spans="1:9" x14ac:dyDescent="0.2">
      <c r="A923" s="33">
        <v>43853</v>
      </c>
      <c r="B923" s="36">
        <v>13625</v>
      </c>
      <c r="C923" s="7">
        <v>13635</v>
      </c>
      <c r="D923" s="7">
        <v>13645</v>
      </c>
      <c r="E923" s="7">
        <v>13600</v>
      </c>
      <c r="F923" s="7">
        <v>13635</v>
      </c>
      <c r="G923" s="34">
        <v>197</v>
      </c>
      <c r="H923" s="35">
        <v>-15</v>
      </c>
      <c r="I923" s="38">
        <f t="shared" si="13"/>
        <v>13630</v>
      </c>
    </row>
    <row r="924" spans="1:9" x14ac:dyDescent="0.2">
      <c r="A924" s="33">
        <v>43852</v>
      </c>
      <c r="B924" s="36">
        <v>13640</v>
      </c>
      <c r="C924" s="7">
        <v>13649</v>
      </c>
      <c r="D924" s="7">
        <v>13685</v>
      </c>
      <c r="E924" s="7">
        <v>13620</v>
      </c>
      <c r="F924" s="7">
        <v>13660</v>
      </c>
      <c r="G924" s="34">
        <v>185</v>
      </c>
      <c r="H924" s="35">
        <v>-10</v>
      </c>
      <c r="I924" s="38">
        <f t="shared" si="13"/>
        <v>13644.5</v>
      </c>
    </row>
    <row r="925" spans="1:9" x14ac:dyDescent="0.2">
      <c r="A925" s="33">
        <v>43851</v>
      </c>
      <c r="B925" s="36">
        <v>13650</v>
      </c>
      <c r="C925" s="7">
        <v>13665</v>
      </c>
      <c r="D925" s="7">
        <v>13670</v>
      </c>
      <c r="E925" s="7">
        <v>13625</v>
      </c>
      <c r="F925" s="7">
        <v>13630</v>
      </c>
      <c r="G925" s="34">
        <v>213</v>
      </c>
      <c r="H925" s="35">
        <v>25</v>
      </c>
      <c r="I925" s="38">
        <f t="shared" si="13"/>
        <v>13657.5</v>
      </c>
    </row>
    <row r="926" spans="1:9" x14ac:dyDescent="0.2">
      <c r="A926" s="33">
        <v>43850</v>
      </c>
      <c r="B926" s="36">
        <v>13625</v>
      </c>
      <c r="C926" s="7">
        <v>13640</v>
      </c>
      <c r="D926" s="7">
        <v>13653</v>
      </c>
      <c r="E926" s="7">
        <v>13625</v>
      </c>
      <c r="F926" s="7">
        <v>13635</v>
      </c>
      <c r="G926" s="34">
        <v>258</v>
      </c>
      <c r="H926" s="35">
        <v>-5</v>
      </c>
      <c r="I926" s="38">
        <f t="shared" si="13"/>
        <v>13632.5</v>
      </c>
    </row>
    <row r="927" spans="1:9" x14ac:dyDescent="0.2">
      <c r="A927" s="33">
        <v>43847</v>
      </c>
      <c r="B927" s="36">
        <v>13630</v>
      </c>
      <c r="C927" s="7">
        <v>13645</v>
      </c>
      <c r="D927" s="7">
        <v>13660</v>
      </c>
      <c r="E927" s="7">
        <v>13625</v>
      </c>
      <c r="F927" s="7">
        <v>13640</v>
      </c>
      <c r="G927" s="34">
        <v>165</v>
      </c>
      <c r="H927" s="35">
        <v>5</v>
      </c>
      <c r="I927" s="38">
        <f t="shared" si="13"/>
        <v>13637.5</v>
      </c>
    </row>
    <row r="928" spans="1:9" x14ac:dyDescent="0.2">
      <c r="A928" s="33">
        <v>43846</v>
      </c>
      <c r="B928" s="36">
        <v>13625</v>
      </c>
      <c r="C928" s="7">
        <v>13635</v>
      </c>
      <c r="D928" s="7">
        <v>13675</v>
      </c>
      <c r="E928" s="7">
        <v>13615</v>
      </c>
      <c r="F928" s="7">
        <v>13675</v>
      </c>
      <c r="G928" s="34">
        <v>171</v>
      </c>
      <c r="H928" s="35">
        <v>-35</v>
      </c>
      <c r="I928" s="38">
        <f t="shared" ref="I928:I991" si="14">+(B928+C928)*0.5</f>
        <v>13630</v>
      </c>
    </row>
    <row r="929" spans="1:9" x14ac:dyDescent="0.2">
      <c r="A929" s="33">
        <v>43845</v>
      </c>
      <c r="B929" s="36">
        <v>13660</v>
      </c>
      <c r="C929" s="7">
        <v>13670</v>
      </c>
      <c r="D929" s="7">
        <v>13725</v>
      </c>
      <c r="E929" s="7">
        <v>13660</v>
      </c>
      <c r="F929" s="7">
        <v>13670</v>
      </c>
      <c r="G929" s="34">
        <v>151</v>
      </c>
      <c r="H929" s="35">
        <v>-5</v>
      </c>
      <c r="I929" s="38">
        <f t="shared" si="14"/>
        <v>13665</v>
      </c>
    </row>
    <row r="930" spans="1:9" x14ac:dyDescent="0.2">
      <c r="A930" s="33">
        <v>43844</v>
      </c>
      <c r="B930" s="36">
        <v>13665</v>
      </c>
      <c r="C930" s="7">
        <v>13675</v>
      </c>
      <c r="D930" s="7">
        <v>13690</v>
      </c>
      <c r="E930" s="7">
        <v>13630</v>
      </c>
      <c r="F930" s="7">
        <v>13650</v>
      </c>
      <c r="G930" s="34">
        <v>159</v>
      </c>
      <c r="H930" s="35">
        <v>0</v>
      </c>
      <c r="I930" s="38">
        <f t="shared" si="14"/>
        <v>13670</v>
      </c>
    </row>
    <row r="931" spans="1:9" x14ac:dyDescent="0.2">
      <c r="A931" s="33">
        <v>43843</v>
      </c>
      <c r="B931" s="36">
        <v>13665</v>
      </c>
      <c r="C931" s="7">
        <v>13671</v>
      </c>
      <c r="D931" s="7">
        <v>13740</v>
      </c>
      <c r="E931" s="7">
        <v>13665</v>
      </c>
      <c r="F931" s="7">
        <v>13730</v>
      </c>
      <c r="G931" s="34">
        <v>178</v>
      </c>
      <c r="H931" s="35">
        <v>-90</v>
      </c>
      <c r="I931" s="38">
        <f t="shared" si="14"/>
        <v>13668</v>
      </c>
    </row>
    <row r="932" spans="1:9" x14ac:dyDescent="0.2">
      <c r="A932" s="33">
        <v>43840</v>
      </c>
      <c r="B932" s="36">
        <v>13755</v>
      </c>
      <c r="C932" s="7">
        <v>13770</v>
      </c>
      <c r="D932" s="7">
        <v>13853</v>
      </c>
      <c r="E932" s="7">
        <v>13740</v>
      </c>
      <c r="F932" s="7">
        <v>13850</v>
      </c>
      <c r="G932" s="34">
        <v>183</v>
      </c>
      <c r="H932" s="35">
        <v>-90</v>
      </c>
      <c r="I932" s="38">
        <f t="shared" si="14"/>
        <v>13762.5</v>
      </c>
    </row>
    <row r="933" spans="1:9" x14ac:dyDescent="0.2">
      <c r="A933" s="33">
        <v>43839</v>
      </c>
      <c r="B933" s="36">
        <v>13845</v>
      </c>
      <c r="C933" s="7">
        <v>13855</v>
      </c>
      <c r="D933" s="7">
        <v>13865</v>
      </c>
      <c r="E933" s="7">
        <v>13830</v>
      </c>
      <c r="F933" s="7">
        <v>13850</v>
      </c>
      <c r="G933" s="34">
        <v>193</v>
      </c>
      <c r="H933" s="35">
        <v>-40</v>
      </c>
      <c r="I933" s="38">
        <f t="shared" si="14"/>
        <v>13850</v>
      </c>
    </row>
    <row r="934" spans="1:9" x14ac:dyDescent="0.2">
      <c r="A934" s="33">
        <v>43838</v>
      </c>
      <c r="B934" s="36">
        <v>13885</v>
      </c>
      <c r="C934" s="7">
        <v>13900</v>
      </c>
      <c r="D934" s="7">
        <v>13935</v>
      </c>
      <c r="E934" s="7">
        <v>13885</v>
      </c>
      <c r="F934" s="7">
        <v>13900</v>
      </c>
      <c r="G934" s="34">
        <v>241</v>
      </c>
      <c r="H934" s="35">
        <v>15</v>
      </c>
      <c r="I934" s="38">
        <f t="shared" si="14"/>
        <v>13892.5</v>
      </c>
    </row>
    <row r="935" spans="1:9" x14ac:dyDescent="0.2">
      <c r="A935" s="33">
        <v>43837</v>
      </c>
      <c r="B935" s="36">
        <v>13870</v>
      </c>
      <c r="C935" s="7">
        <v>13880</v>
      </c>
      <c r="D935" s="7">
        <v>13930</v>
      </c>
      <c r="E935" s="7">
        <v>13870</v>
      </c>
      <c r="F935" s="7">
        <v>13930</v>
      </c>
      <c r="G935" s="34">
        <v>185</v>
      </c>
      <c r="H935" s="35">
        <v>-65</v>
      </c>
      <c r="I935" s="38">
        <f t="shared" si="14"/>
        <v>13875</v>
      </c>
    </row>
    <row r="936" spans="1:9" x14ac:dyDescent="0.2">
      <c r="A936" s="33">
        <v>43836</v>
      </c>
      <c r="B936" s="36">
        <v>13935</v>
      </c>
      <c r="C936" s="7">
        <v>13945</v>
      </c>
      <c r="D936" s="7">
        <v>13965</v>
      </c>
      <c r="E936" s="7">
        <v>13920</v>
      </c>
      <c r="F936" s="7">
        <v>13920</v>
      </c>
      <c r="G936" s="34">
        <v>143</v>
      </c>
      <c r="H936" s="35">
        <v>15</v>
      </c>
      <c r="I936" s="38">
        <f t="shared" si="14"/>
        <v>13940</v>
      </c>
    </row>
    <row r="937" spans="1:9" x14ac:dyDescent="0.2">
      <c r="A937" s="33">
        <v>43833</v>
      </c>
      <c r="B937" s="36">
        <v>13920</v>
      </c>
      <c r="C937" s="7">
        <v>13930</v>
      </c>
      <c r="D937" s="7">
        <v>13930</v>
      </c>
      <c r="E937" s="7">
        <v>13875</v>
      </c>
      <c r="F937" s="7">
        <v>13875</v>
      </c>
      <c r="G937" s="34">
        <v>101</v>
      </c>
      <c r="H937" s="35">
        <v>36</v>
      </c>
      <c r="I937" s="38">
        <f t="shared" si="14"/>
        <v>13925</v>
      </c>
    </row>
    <row r="938" spans="1:9" x14ac:dyDescent="0.2">
      <c r="A938" s="33">
        <v>43832</v>
      </c>
      <c r="B938" s="36">
        <v>13884</v>
      </c>
      <c r="C938" s="7">
        <v>13894</v>
      </c>
      <c r="D938" s="7">
        <v>13900</v>
      </c>
      <c r="E938" s="7">
        <v>13865</v>
      </c>
      <c r="F938" s="7">
        <v>13865</v>
      </c>
      <c r="G938" s="34">
        <v>63</v>
      </c>
      <c r="H938" s="35">
        <v>4</v>
      </c>
      <c r="I938" s="38">
        <f t="shared" si="14"/>
        <v>13889</v>
      </c>
    </row>
    <row r="939" spans="1:9" x14ac:dyDescent="0.2">
      <c r="A939" s="33">
        <v>43831</v>
      </c>
      <c r="B939" s="36">
        <v>13880</v>
      </c>
      <c r="C939" s="7">
        <v>13885</v>
      </c>
      <c r="D939" s="7"/>
      <c r="E939" s="7"/>
      <c r="F939" s="7"/>
      <c r="G939" s="34"/>
      <c r="H939" s="35">
        <v>0</v>
      </c>
      <c r="I939" s="38">
        <f t="shared" si="14"/>
        <v>13882.5</v>
      </c>
    </row>
    <row r="940" spans="1:9" x14ac:dyDescent="0.2">
      <c r="A940" s="33">
        <v>43830</v>
      </c>
      <c r="B940" s="36">
        <v>13880</v>
      </c>
      <c r="C940" s="7">
        <v>13885</v>
      </c>
      <c r="D940" s="7">
        <v>13920</v>
      </c>
      <c r="E940" s="7">
        <v>13860</v>
      </c>
      <c r="F940" s="7">
        <v>13920</v>
      </c>
      <c r="G940" s="34">
        <v>51</v>
      </c>
      <c r="H940" s="35">
        <v>-40</v>
      </c>
      <c r="I940" s="38">
        <f t="shared" si="14"/>
        <v>13882.5</v>
      </c>
    </row>
    <row r="941" spans="1:9" x14ac:dyDescent="0.2">
      <c r="A941" s="33">
        <v>43829</v>
      </c>
      <c r="B941" s="36">
        <v>13920</v>
      </c>
      <c r="C941" s="7">
        <v>13929</v>
      </c>
      <c r="D941" s="7">
        <v>13945</v>
      </c>
      <c r="E941" s="7">
        <v>13910</v>
      </c>
      <c r="F941" s="7">
        <v>13945</v>
      </c>
      <c r="G941" s="34">
        <v>91</v>
      </c>
      <c r="H941" s="35">
        <v>-25</v>
      </c>
      <c r="I941" s="38">
        <f t="shared" si="14"/>
        <v>13924.5</v>
      </c>
    </row>
    <row r="942" spans="1:9" x14ac:dyDescent="0.2">
      <c r="A942" s="33">
        <v>43826</v>
      </c>
      <c r="B942" s="36">
        <v>13945</v>
      </c>
      <c r="C942" s="7">
        <v>13955</v>
      </c>
      <c r="D942" s="7">
        <v>13957</v>
      </c>
      <c r="E942" s="7">
        <v>13942</v>
      </c>
      <c r="F942" s="7">
        <v>13950</v>
      </c>
      <c r="G942" s="34">
        <v>121</v>
      </c>
      <c r="H942" s="35">
        <v>-5</v>
      </c>
      <c r="I942" s="38">
        <f t="shared" si="14"/>
        <v>13950</v>
      </c>
    </row>
    <row r="943" spans="1:9" x14ac:dyDescent="0.2">
      <c r="A943" s="33">
        <v>43825</v>
      </c>
      <c r="B943" s="36">
        <v>13950</v>
      </c>
      <c r="C943" s="7">
        <v>13960</v>
      </c>
      <c r="D943" s="7">
        <v>13975</v>
      </c>
      <c r="E943" s="7">
        <v>13950</v>
      </c>
      <c r="F943" s="7">
        <v>13965</v>
      </c>
      <c r="G943" s="34">
        <v>95</v>
      </c>
      <c r="H943" s="35">
        <v>-10</v>
      </c>
      <c r="I943" s="38">
        <f t="shared" si="14"/>
        <v>13955</v>
      </c>
    </row>
    <row r="944" spans="1:9" x14ac:dyDescent="0.2">
      <c r="A944" s="33">
        <v>43824</v>
      </c>
      <c r="B944" s="36">
        <v>13960</v>
      </c>
      <c r="C944" s="7">
        <v>13975</v>
      </c>
      <c r="D944" s="7"/>
      <c r="E944" s="7"/>
      <c r="F944" s="7"/>
      <c r="G944" s="34"/>
      <c r="H944" s="35">
        <v>0</v>
      </c>
      <c r="I944" s="38">
        <f t="shared" si="14"/>
        <v>13967.5</v>
      </c>
    </row>
    <row r="945" spans="1:9" x14ac:dyDescent="0.2">
      <c r="A945" s="33">
        <v>43823</v>
      </c>
      <c r="B945" s="36">
        <v>13960</v>
      </c>
      <c r="C945" s="7">
        <v>13975</v>
      </c>
      <c r="D945" s="7"/>
      <c r="E945" s="7"/>
      <c r="F945" s="7"/>
      <c r="G945" s="34"/>
      <c r="H945" s="35">
        <v>0</v>
      </c>
      <c r="I945" s="38">
        <f t="shared" si="14"/>
        <v>13967.5</v>
      </c>
    </row>
    <row r="946" spans="1:9" x14ac:dyDescent="0.2">
      <c r="A946" s="33">
        <v>43822</v>
      </c>
      <c r="B946" s="36">
        <v>13960</v>
      </c>
      <c r="C946" s="7">
        <v>13975</v>
      </c>
      <c r="D946" s="7">
        <v>13985</v>
      </c>
      <c r="E946" s="7">
        <v>13950</v>
      </c>
      <c r="F946" s="7">
        <v>13950</v>
      </c>
      <c r="G946" s="34">
        <v>85</v>
      </c>
      <c r="H946" s="35">
        <v>-10</v>
      </c>
      <c r="I946" s="38">
        <f t="shared" si="14"/>
        <v>13967.5</v>
      </c>
    </row>
    <row r="947" spans="1:9" x14ac:dyDescent="0.2">
      <c r="A947" s="33">
        <v>43819</v>
      </c>
      <c r="B947" s="36">
        <v>13970</v>
      </c>
      <c r="C947" s="7">
        <v>13985</v>
      </c>
      <c r="D947" s="7">
        <v>13996</v>
      </c>
      <c r="E947" s="7">
        <v>13970</v>
      </c>
      <c r="F947" s="7">
        <v>13975</v>
      </c>
      <c r="G947" s="34">
        <v>132</v>
      </c>
      <c r="H947" s="35">
        <v>-10</v>
      </c>
      <c r="I947" s="38">
        <f t="shared" si="14"/>
        <v>13977.5</v>
      </c>
    </row>
    <row r="948" spans="1:9" x14ac:dyDescent="0.2">
      <c r="A948" s="33">
        <v>43818</v>
      </c>
      <c r="B948" s="36">
        <v>13980</v>
      </c>
      <c r="C948" s="7">
        <v>13990</v>
      </c>
      <c r="D948" s="7">
        <v>13995</v>
      </c>
      <c r="E948" s="7">
        <v>13970</v>
      </c>
      <c r="F948" s="7">
        <v>13970</v>
      </c>
      <c r="G948" s="34">
        <v>136</v>
      </c>
      <c r="H948" s="35">
        <v>10</v>
      </c>
      <c r="I948" s="38">
        <f t="shared" si="14"/>
        <v>13985</v>
      </c>
    </row>
    <row r="949" spans="1:9" x14ac:dyDescent="0.2">
      <c r="A949" s="33">
        <v>43817</v>
      </c>
      <c r="B949" s="36">
        <v>13970</v>
      </c>
      <c r="C949" s="7">
        <v>13980</v>
      </c>
      <c r="D949" s="7">
        <v>14005</v>
      </c>
      <c r="E949" s="7">
        <v>13970</v>
      </c>
      <c r="F949" s="7">
        <v>13990</v>
      </c>
      <c r="G949" s="34">
        <v>114</v>
      </c>
      <c r="H949" s="35">
        <v>-15</v>
      </c>
      <c r="I949" s="38">
        <f t="shared" si="14"/>
        <v>13975</v>
      </c>
    </row>
    <row r="950" spans="1:9" x14ac:dyDescent="0.2">
      <c r="A950" s="33">
        <v>43816</v>
      </c>
      <c r="B950" s="36">
        <v>13985</v>
      </c>
      <c r="C950" s="7">
        <v>13995</v>
      </c>
      <c r="D950" s="7">
        <v>14014</v>
      </c>
      <c r="E950" s="7">
        <v>13985</v>
      </c>
      <c r="F950" s="7">
        <v>13990</v>
      </c>
      <c r="G950" s="34">
        <v>113</v>
      </c>
      <c r="H950" s="35">
        <v>-15</v>
      </c>
      <c r="I950" s="38">
        <f t="shared" si="14"/>
        <v>13990</v>
      </c>
    </row>
    <row r="951" spans="1:9" x14ac:dyDescent="0.2">
      <c r="A951" s="33">
        <v>43815</v>
      </c>
      <c r="B951" s="36">
        <v>14000</v>
      </c>
      <c r="C951" s="7">
        <v>14010</v>
      </c>
      <c r="D951" s="7">
        <v>14015</v>
      </c>
      <c r="E951" s="7">
        <v>13990</v>
      </c>
      <c r="F951" s="7">
        <v>13990</v>
      </c>
      <c r="G951" s="34">
        <v>36</v>
      </c>
      <c r="H951" s="35">
        <v>20</v>
      </c>
      <c r="I951" s="38">
        <f t="shared" si="14"/>
        <v>14005</v>
      </c>
    </row>
    <row r="952" spans="1:9" x14ac:dyDescent="0.2">
      <c r="A952" s="33">
        <v>43812</v>
      </c>
      <c r="B952" s="36">
        <v>13980</v>
      </c>
      <c r="C952" s="7">
        <v>13990</v>
      </c>
      <c r="D952" s="7">
        <v>13985</v>
      </c>
      <c r="E952" s="7">
        <v>13950</v>
      </c>
      <c r="F952" s="7">
        <v>13975</v>
      </c>
      <c r="G952" s="34">
        <v>34</v>
      </c>
      <c r="H952" s="35">
        <v>-40</v>
      </c>
      <c r="I952" s="38">
        <f t="shared" si="14"/>
        <v>13985</v>
      </c>
    </row>
    <row r="953" spans="1:9" x14ac:dyDescent="0.2">
      <c r="A953" s="33">
        <v>43811</v>
      </c>
      <c r="B953" s="36">
        <v>14020</v>
      </c>
      <c r="C953" s="7">
        <v>14030</v>
      </c>
      <c r="D953" s="7">
        <v>14040</v>
      </c>
      <c r="E953" s="7">
        <v>14020</v>
      </c>
      <c r="F953" s="7">
        <v>14030</v>
      </c>
      <c r="G953" s="34">
        <v>112</v>
      </c>
      <c r="H953" s="35">
        <v>-10</v>
      </c>
      <c r="I953" s="38">
        <f t="shared" si="14"/>
        <v>14025</v>
      </c>
    </row>
    <row r="954" spans="1:9" x14ac:dyDescent="0.2">
      <c r="A954" s="33">
        <v>43810</v>
      </c>
      <c r="B954" s="36">
        <v>14030</v>
      </c>
      <c r="C954" s="7">
        <v>14040</v>
      </c>
      <c r="D954" s="7">
        <v>14040</v>
      </c>
      <c r="E954" s="7">
        <v>13990</v>
      </c>
      <c r="F954" s="7">
        <v>13990</v>
      </c>
      <c r="G954" s="34">
        <v>67</v>
      </c>
      <c r="H954" s="35">
        <v>25</v>
      </c>
      <c r="I954" s="38">
        <f t="shared" si="14"/>
        <v>14035</v>
      </c>
    </row>
    <row r="955" spans="1:9" x14ac:dyDescent="0.2">
      <c r="A955" s="33">
        <v>43809</v>
      </c>
      <c r="B955" s="36">
        <v>14005</v>
      </c>
      <c r="C955" s="7">
        <v>14015</v>
      </c>
      <c r="D955" s="7">
        <v>14015</v>
      </c>
      <c r="E955" s="7">
        <v>13990</v>
      </c>
      <c r="F955" s="7">
        <v>13990</v>
      </c>
      <c r="G955" s="34">
        <v>71</v>
      </c>
      <c r="H955" s="35">
        <v>-5</v>
      </c>
      <c r="I955" s="38">
        <f t="shared" si="14"/>
        <v>14010</v>
      </c>
    </row>
    <row r="956" spans="1:9" x14ac:dyDescent="0.2">
      <c r="A956" s="33">
        <v>43808</v>
      </c>
      <c r="B956" s="36">
        <v>14010</v>
      </c>
      <c r="C956" s="7">
        <v>14020</v>
      </c>
      <c r="D956" s="7">
        <v>14018</v>
      </c>
      <c r="E956" s="7">
        <v>14000</v>
      </c>
      <c r="F956" s="7">
        <v>14000</v>
      </c>
      <c r="G956" s="34">
        <v>60</v>
      </c>
      <c r="H956" s="35">
        <v>-25</v>
      </c>
      <c r="I956" s="38">
        <f t="shared" si="14"/>
        <v>14015</v>
      </c>
    </row>
    <row r="957" spans="1:9" x14ac:dyDescent="0.2">
      <c r="A957" s="33">
        <v>43805</v>
      </c>
      <c r="B957" s="36">
        <v>14035</v>
      </c>
      <c r="C957" s="7">
        <v>14040</v>
      </c>
      <c r="D957" s="7">
        <v>14040</v>
      </c>
      <c r="E957" s="7">
        <v>14010</v>
      </c>
      <c r="F957" s="7">
        <v>14010</v>
      </c>
      <c r="G957" s="34">
        <v>119</v>
      </c>
      <c r="H957" s="35">
        <v>-25</v>
      </c>
      <c r="I957" s="38">
        <f t="shared" si="14"/>
        <v>14037.5</v>
      </c>
    </row>
    <row r="958" spans="1:9" x14ac:dyDescent="0.2">
      <c r="A958" s="33">
        <v>43804</v>
      </c>
      <c r="B958" s="36">
        <v>14060</v>
      </c>
      <c r="C958" s="7">
        <v>14070</v>
      </c>
      <c r="D958" s="7">
        <v>14095</v>
      </c>
      <c r="E958" s="7">
        <v>14060</v>
      </c>
      <c r="F958" s="7">
        <v>14095</v>
      </c>
      <c r="G958" s="34">
        <v>144</v>
      </c>
      <c r="H958" s="35">
        <v>-40</v>
      </c>
      <c r="I958" s="38">
        <f t="shared" si="14"/>
        <v>14065</v>
      </c>
    </row>
    <row r="959" spans="1:9" x14ac:dyDescent="0.2">
      <c r="A959" s="33">
        <v>43803</v>
      </c>
      <c r="B959" s="36">
        <v>14100</v>
      </c>
      <c r="C959" s="7">
        <v>14110</v>
      </c>
      <c r="D959" s="7">
        <v>14125</v>
      </c>
      <c r="E959" s="7">
        <v>14100</v>
      </c>
      <c r="F959" s="7">
        <v>14105</v>
      </c>
      <c r="G959" s="34">
        <v>107</v>
      </c>
      <c r="H959" s="35">
        <v>0</v>
      </c>
      <c r="I959" s="38">
        <f t="shared" si="14"/>
        <v>14105</v>
      </c>
    </row>
    <row r="960" spans="1:9" x14ac:dyDescent="0.2">
      <c r="A960" s="33">
        <v>43802</v>
      </c>
      <c r="B960" s="36">
        <v>14100</v>
      </c>
      <c r="C960" s="7">
        <v>14110</v>
      </c>
      <c r="D960" s="7">
        <v>14127</v>
      </c>
      <c r="E960" s="7">
        <v>14100</v>
      </c>
      <c r="F960" s="7">
        <v>14110</v>
      </c>
      <c r="G960" s="34">
        <v>112</v>
      </c>
      <c r="H960" s="35">
        <v>-20</v>
      </c>
      <c r="I960" s="38">
        <f t="shared" si="14"/>
        <v>14105</v>
      </c>
    </row>
    <row r="961" spans="1:9" x14ac:dyDescent="0.2">
      <c r="A961" s="33">
        <v>43801</v>
      </c>
      <c r="B961" s="36">
        <v>14120</v>
      </c>
      <c r="C961" s="7">
        <v>14130</v>
      </c>
      <c r="D961" s="7">
        <v>14130</v>
      </c>
      <c r="E961" s="7">
        <v>14100</v>
      </c>
      <c r="F961" s="7">
        <v>14100</v>
      </c>
      <c r="G961" s="34">
        <v>49</v>
      </c>
      <c r="H961" s="35">
        <v>20</v>
      </c>
      <c r="I961" s="38">
        <f t="shared" si="14"/>
        <v>14125</v>
      </c>
    </row>
    <row r="962" spans="1:9" x14ac:dyDescent="0.2">
      <c r="A962" s="33">
        <v>43798</v>
      </c>
      <c r="B962" s="36">
        <v>14100</v>
      </c>
      <c r="C962" s="7">
        <v>14110</v>
      </c>
      <c r="D962" s="7">
        <v>14115</v>
      </c>
      <c r="E962" s="7">
        <v>14085</v>
      </c>
      <c r="F962" s="7">
        <v>14085</v>
      </c>
      <c r="G962" s="34">
        <v>66</v>
      </c>
      <c r="H962" s="35">
        <v>15</v>
      </c>
      <c r="I962" s="38">
        <f t="shared" si="14"/>
        <v>14105</v>
      </c>
    </row>
    <row r="963" spans="1:9" x14ac:dyDescent="0.2">
      <c r="A963" s="33">
        <v>43797</v>
      </c>
      <c r="B963" s="36">
        <v>14085</v>
      </c>
      <c r="C963" s="7">
        <v>14095</v>
      </c>
      <c r="D963" s="7">
        <v>14097</v>
      </c>
      <c r="E963" s="7">
        <v>14080</v>
      </c>
      <c r="F963" s="7">
        <v>14080</v>
      </c>
      <c r="G963" s="34">
        <v>58</v>
      </c>
      <c r="H963" s="35">
        <v>-5</v>
      </c>
      <c r="I963" s="38">
        <f t="shared" si="14"/>
        <v>14090</v>
      </c>
    </row>
    <row r="964" spans="1:9" x14ac:dyDescent="0.2">
      <c r="A964" s="33">
        <v>43796</v>
      </c>
      <c r="B964" s="36">
        <v>14090</v>
      </c>
      <c r="C964" s="7">
        <v>14100</v>
      </c>
      <c r="D964" s="7">
        <v>14100</v>
      </c>
      <c r="E964" s="7">
        <v>14075</v>
      </c>
      <c r="F964" s="7">
        <v>14080</v>
      </c>
      <c r="G964" s="34">
        <v>78</v>
      </c>
      <c r="H964" s="35">
        <v>10</v>
      </c>
      <c r="I964" s="38">
        <f t="shared" si="14"/>
        <v>14095</v>
      </c>
    </row>
    <row r="965" spans="1:9" x14ac:dyDescent="0.2">
      <c r="A965" s="33">
        <v>43795</v>
      </c>
      <c r="B965" s="36">
        <v>14080</v>
      </c>
      <c r="C965" s="7">
        <v>14090</v>
      </c>
      <c r="D965" s="7">
        <v>14090</v>
      </c>
      <c r="E965" s="7">
        <v>14070</v>
      </c>
      <c r="F965" s="7">
        <v>14080</v>
      </c>
      <c r="G965" s="34">
        <v>172</v>
      </c>
      <c r="H965" s="35">
        <v>10</v>
      </c>
      <c r="I965" s="38">
        <f t="shared" si="14"/>
        <v>14085</v>
      </c>
    </row>
    <row r="966" spans="1:9" x14ac:dyDescent="0.2">
      <c r="A966" s="33">
        <v>43794</v>
      </c>
      <c r="B966" s="36">
        <v>14070</v>
      </c>
      <c r="C966" s="7">
        <v>14080</v>
      </c>
      <c r="D966" s="7">
        <v>14090</v>
      </c>
      <c r="E966" s="7">
        <v>14070</v>
      </c>
      <c r="F966" s="7">
        <v>14081</v>
      </c>
      <c r="G966" s="34">
        <v>156</v>
      </c>
      <c r="H966" s="35">
        <v>-10</v>
      </c>
      <c r="I966" s="38">
        <f t="shared" si="14"/>
        <v>14075</v>
      </c>
    </row>
    <row r="967" spans="1:9" x14ac:dyDescent="0.2">
      <c r="A967" s="33">
        <v>43791</v>
      </c>
      <c r="B967" s="36">
        <v>14080</v>
      </c>
      <c r="C967" s="7">
        <v>14090</v>
      </c>
      <c r="D967" s="7">
        <v>14105</v>
      </c>
      <c r="E967" s="7">
        <v>14075</v>
      </c>
      <c r="F967" s="7">
        <v>14080</v>
      </c>
      <c r="G967" s="34">
        <v>160</v>
      </c>
      <c r="H967" s="35">
        <v>0</v>
      </c>
      <c r="I967" s="38">
        <f t="shared" si="14"/>
        <v>14085</v>
      </c>
    </row>
    <row r="968" spans="1:9" x14ac:dyDescent="0.2">
      <c r="A968" s="33">
        <v>43790</v>
      </c>
      <c r="B968" s="36">
        <v>14080</v>
      </c>
      <c r="C968" s="7">
        <v>14095</v>
      </c>
      <c r="D968" s="7">
        <v>14115</v>
      </c>
      <c r="E968" s="7">
        <v>14080</v>
      </c>
      <c r="F968" s="7">
        <v>14090</v>
      </c>
      <c r="G968" s="34">
        <v>148</v>
      </c>
      <c r="H968" s="35">
        <v>-10</v>
      </c>
      <c r="I968" s="38">
        <f t="shared" si="14"/>
        <v>14087.5</v>
      </c>
    </row>
    <row r="969" spans="1:9" x14ac:dyDescent="0.2">
      <c r="A969" s="33">
        <v>43789</v>
      </c>
      <c r="B969" s="36">
        <v>14090</v>
      </c>
      <c r="C969" s="7">
        <v>14099</v>
      </c>
      <c r="D969" s="7">
        <v>14098</v>
      </c>
      <c r="E969" s="7">
        <v>14080</v>
      </c>
      <c r="F969" s="7">
        <v>14080</v>
      </c>
      <c r="G969" s="34">
        <v>95</v>
      </c>
      <c r="H969" s="35">
        <v>5</v>
      </c>
      <c r="I969" s="38">
        <f t="shared" si="14"/>
        <v>14094.5</v>
      </c>
    </row>
    <row r="970" spans="1:9" x14ac:dyDescent="0.2">
      <c r="A970" s="33">
        <v>43788</v>
      </c>
      <c r="B970" s="36">
        <v>14085</v>
      </c>
      <c r="C970" s="7">
        <v>14095</v>
      </c>
      <c r="D970" s="7">
        <v>14092</v>
      </c>
      <c r="E970" s="7">
        <v>14070</v>
      </c>
      <c r="F970" s="7">
        <v>14070</v>
      </c>
      <c r="G970" s="34">
        <v>158</v>
      </c>
      <c r="H970" s="35">
        <v>15</v>
      </c>
      <c r="I970" s="38">
        <f t="shared" si="14"/>
        <v>14090</v>
      </c>
    </row>
    <row r="971" spans="1:9" x14ac:dyDescent="0.2">
      <c r="A971" s="33">
        <v>43787</v>
      </c>
      <c r="B971" s="36">
        <v>14070</v>
      </c>
      <c r="C971" s="7">
        <v>14083</v>
      </c>
      <c r="D971" s="7">
        <v>14082</v>
      </c>
      <c r="E971" s="7">
        <v>14065</v>
      </c>
      <c r="F971" s="7">
        <v>14065</v>
      </c>
      <c r="G971" s="34">
        <v>136</v>
      </c>
      <c r="H971" s="35">
        <v>2</v>
      </c>
      <c r="I971" s="38">
        <f t="shared" si="14"/>
        <v>14076.5</v>
      </c>
    </row>
    <row r="972" spans="1:9" x14ac:dyDescent="0.2">
      <c r="A972" s="33">
        <v>43784</v>
      </c>
      <c r="B972" s="36">
        <v>14068</v>
      </c>
      <c r="C972" s="7">
        <v>14078</v>
      </c>
      <c r="D972" s="7">
        <v>14075</v>
      </c>
      <c r="E972" s="7">
        <v>14050</v>
      </c>
      <c r="F972" s="7">
        <v>14050</v>
      </c>
      <c r="G972" s="34">
        <v>152</v>
      </c>
      <c r="H972" s="35">
        <v>-12</v>
      </c>
      <c r="I972" s="38">
        <f t="shared" si="14"/>
        <v>14073</v>
      </c>
    </row>
    <row r="973" spans="1:9" x14ac:dyDescent="0.2">
      <c r="A973" s="33">
        <v>43783</v>
      </c>
      <c r="B973" s="36">
        <v>14080</v>
      </c>
      <c r="C973" s="7">
        <v>14090</v>
      </c>
      <c r="D973" s="7">
        <v>14100</v>
      </c>
      <c r="E973" s="7">
        <v>14070</v>
      </c>
      <c r="F973" s="7">
        <v>14070</v>
      </c>
      <c r="G973" s="34">
        <v>217</v>
      </c>
      <c r="H973" s="35">
        <v>3</v>
      </c>
      <c r="I973" s="38">
        <f t="shared" si="14"/>
        <v>14085</v>
      </c>
    </row>
    <row r="974" spans="1:9" x14ac:dyDescent="0.2">
      <c r="A974" s="33">
        <v>43782</v>
      </c>
      <c r="B974" s="36">
        <v>14077</v>
      </c>
      <c r="C974" s="7">
        <v>14085</v>
      </c>
      <c r="D974" s="7">
        <v>14084</v>
      </c>
      <c r="E974" s="7">
        <v>14060</v>
      </c>
      <c r="F974" s="7">
        <v>14060</v>
      </c>
      <c r="G974" s="34">
        <v>178</v>
      </c>
      <c r="H974" s="35">
        <v>27</v>
      </c>
      <c r="I974" s="38">
        <f t="shared" si="14"/>
        <v>14081</v>
      </c>
    </row>
    <row r="975" spans="1:9" x14ac:dyDescent="0.2">
      <c r="A975" s="33">
        <v>43781</v>
      </c>
      <c r="B975" s="36">
        <v>14050</v>
      </c>
      <c r="C975" s="7">
        <v>14060</v>
      </c>
      <c r="D975" s="7">
        <v>14060</v>
      </c>
      <c r="E975" s="7">
        <v>14040</v>
      </c>
      <c r="F975" s="7">
        <v>14052</v>
      </c>
      <c r="G975" s="34">
        <v>171</v>
      </c>
      <c r="H975" s="35">
        <v>-8</v>
      </c>
      <c r="I975" s="38">
        <f t="shared" si="14"/>
        <v>14055</v>
      </c>
    </row>
    <row r="976" spans="1:9" x14ac:dyDescent="0.2">
      <c r="A976" s="33">
        <v>43780</v>
      </c>
      <c r="B976" s="36">
        <v>14058</v>
      </c>
      <c r="C976" s="7">
        <v>14068</v>
      </c>
      <c r="D976" s="7">
        <v>14070</v>
      </c>
      <c r="E976" s="7">
        <v>14010</v>
      </c>
      <c r="F976" s="7">
        <v>14025</v>
      </c>
      <c r="G976" s="34">
        <v>137</v>
      </c>
      <c r="H976" s="35">
        <v>48</v>
      </c>
      <c r="I976" s="38">
        <f t="shared" si="14"/>
        <v>14063</v>
      </c>
    </row>
    <row r="977" spans="1:9" x14ac:dyDescent="0.2">
      <c r="A977" s="33">
        <v>43777</v>
      </c>
      <c r="B977" s="36">
        <v>14010</v>
      </c>
      <c r="C977" s="7">
        <v>14018</v>
      </c>
      <c r="D977" s="7">
        <v>14025</v>
      </c>
      <c r="E977" s="7">
        <v>14005</v>
      </c>
      <c r="F977" s="7">
        <v>14005</v>
      </c>
      <c r="G977" s="34">
        <v>255</v>
      </c>
      <c r="H977" s="35">
        <v>20</v>
      </c>
      <c r="I977" s="38">
        <f t="shared" si="14"/>
        <v>14014</v>
      </c>
    </row>
    <row r="978" spans="1:9" x14ac:dyDescent="0.2">
      <c r="A978" s="33">
        <v>43776</v>
      </c>
      <c r="B978" s="36">
        <v>13990</v>
      </c>
      <c r="C978" s="7">
        <v>13999</v>
      </c>
      <c r="D978" s="7">
        <v>14043</v>
      </c>
      <c r="E978" s="7">
        <v>13990</v>
      </c>
      <c r="F978" s="7">
        <v>14030</v>
      </c>
      <c r="G978" s="34">
        <v>170</v>
      </c>
      <c r="H978" s="35">
        <v>-20</v>
      </c>
      <c r="I978" s="38">
        <f t="shared" si="14"/>
        <v>13994.5</v>
      </c>
    </row>
    <row r="979" spans="1:9" x14ac:dyDescent="0.2">
      <c r="A979" s="33">
        <v>43775</v>
      </c>
      <c r="B979" s="36">
        <v>14010</v>
      </c>
      <c r="C979" s="7">
        <v>14020</v>
      </c>
      <c r="D979" s="7">
        <v>14027</v>
      </c>
      <c r="E979" s="7">
        <v>13975</v>
      </c>
      <c r="F979" s="7">
        <v>13975</v>
      </c>
      <c r="G979" s="34">
        <v>203</v>
      </c>
      <c r="H979" s="35">
        <v>45</v>
      </c>
      <c r="I979" s="38">
        <f t="shared" si="14"/>
        <v>14015</v>
      </c>
    </row>
    <row r="980" spans="1:9" x14ac:dyDescent="0.2">
      <c r="A980" s="33">
        <v>43774</v>
      </c>
      <c r="B980" s="36">
        <v>13965</v>
      </c>
      <c r="C980" s="7">
        <v>13970</v>
      </c>
      <c r="D980" s="7">
        <v>14033</v>
      </c>
      <c r="E980" s="7">
        <v>13965</v>
      </c>
      <c r="F980" s="7">
        <v>14015</v>
      </c>
      <c r="G980" s="34">
        <v>241</v>
      </c>
      <c r="H980" s="35">
        <v>-45</v>
      </c>
      <c r="I980" s="38">
        <f t="shared" si="14"/>
        <v>13967.5</v>
      </c>
    </row>
    <row r="981" spans="1:9" x14ac:dyDescent="0.2">
      <c r="A981" s="33">
        <v>43773</v>
      </c>
      <c r="B981" s="36">
        <v>14010</v>
      </c>
      <c r="C981" s="7">
        <v>14020</v>
      </c>
      <c r="D981" s="7">
        <v>14015</v>
      </c>
      <c r="E981" s="7">
        <v>13990</v>
      </c>
      <c r="F981" s="7">
        <v>13990</v>
      </c>
      <c r="G981" s="34">
        <v>122</v>
      </c>
      <c r="H981" s="35">
        <v>-20</v>
      </c>
      <c r="I981" s="38">
        <f t="shared" si="14"/>
        <v>14015</v>
      </c>
    </row>
    <row r="982" spans="1:9" x14ac:dyDescent="0.2">
      <c r="A982" s="33">
        <v>43770</v>
      </c>
      <c r="B982" s="36">
        <v>14030</v>
      </c>
      <c r="C982" s="7">
        <v>14040</v>
      </c>
      <c r="D982" s="7">
        <v>14067</v>
      </c>
      <c r="E982" s="7">
        <v>14030</v>
      </c>
      <c r="F982" s="7">
        <v>14040</v>
      </c>
      <c r="G982" s="34">
        <v>235</v>
      </c>
      <c r="H982" s="35">
        <v>-2</v>
      </c>
      <c r="I982" s="38">
        <f t="shared" si="14"/>
        <v>14035</v>
      </c>
    </row>
    <row r="983" spans="1:9" x14ac:dyDescent="0.2">
      <c r="A983" s="33">
        <v>43769</v>
      </c>
      <c r="B983" s="36">
        <v>14032</v>
      </c>
      <c r="C983" s="7">
        <v>14042</v>
      </c>
      <c r="D983" s="7">
        <v>14040</v>
      </c>
      <c r="E983" s="7">
        <v>13980</v>
      </c>
      <c r="F983" s="7">
        <v>13990</v>
      </c>
      <c r="G983" s="34">
        <v>187</v>
      </c>
      <c r="H983" s="35">
        <v>10</v>
      </c>
      <c r="I983" s="38">
        <f t="shared" si="14"/>
        <v>14037</v>
      </c>
    </row>
    <row r="984" spans="1:9" x14ac:dyDescent="0.2">
      <c r="A984" s="33">
        <v>43768</v>
      </c>
      <c r="B984" s="36">
        <v>14022</v>
      </c>
      <c r="C984" s="7">
        <v>14032</v>
      </c>
      <c r="D984" s="7">
        <v>14045</v>
      </c>
      <c r="E984" s="7">
        <v>14022</v>
      </c>
      <c r="F984" s="7">
        <v>14035</v>
      </c>
      <c r="G984" s="34">
        <v>148</v>
      </c>
      <c r="H984" s="35">
        <v>2</v>
      </c>
      <c r="I984" s="38">
        <f t="shared" si="14"/>
        <v>14027</v>
      </c>
    </row>
    <row r="985" spans="1:9" x14ac:dyDescent="0.2">
      <c r="A985" s="33">
        <v>43767</v>
      </c>
      <c r="B985" s="36">
        <v>14020</v>
      </c>
      <c r="C985" s="7">
        <v>14030</v>
      </c>
      <c r="D985" s="7">
        <v>14035</v>
      </c>
      <c r="E985" s="7">
        <v>14008</v>
      </c>
      <c r="F985" s="7">
        <v>14020</v>
      </c>
      <c r="G985" s="34">
        <v>191</v>
      </c>
      <c r="H985" s="35">
        <v>0</v>
      </c>
      <c r="I985" s="38">
        <f t="shared" si="14"/>
        <v>14025</v>
      </c>
    </row>
    <row r="986" spans="1:9" x14ac:dyDescent="0.2">
      <c r="A986" s="33">
        <v>43766</v>
      </c>
      <c r="B986" s="36">
        <v>14020</v>
      </c>
      <c r="C986" s="7">
        <v>14030</v>
      </c>
      <c r="D986" s="7">
        <v>14027</v>
      </c>
      <c r="E986" s="7">
        <v>14010</v>
      </c>
      <c r="F986" s="7">
        <v>14015</v>
      </c>
      <c r="G986" s="34">
        <v>198</v>
      </c>
      <c r="H986" s="35">
        <v>-10</v>
      </c>
      <c r="I986" s="38">
        <f t="shared" si="14"/>
        <v>14025</v>
      </c>
    </row>
    <row r="987" spans="1:9" x14ac:dyDescent="0.2">
      <c r="A987" s="33">
        <v>43763</v>
      </c>
      <c r="B987" s="36">
        <v>14030</v>
      </c>
      <c r="C987" s="7">
        <v>14040</v>
      </c>
      <c r="D987" s="7">
        <v>14068</v>
      </c>
      <c r="E987" s="7">
        <v>14030</v>
      </c>
      <c r="F987" s="7">
        <v>14040</v>
      </c>
      <c r="G987" s="34">
        <v>174</v>
      </c>
      <c r="H987" s="35">
        <v>-24</v>
      </c>
      <c r="I987" s="38">
        <f t="shared" si="14"/>
        <v>14035</v>
      </c>
    </row>
    <row r="988" spans="1:9" x14ac:dyDescent="0.2">
      <c r="A988" s="33">
        <v>43762</v>
      </c>
      <c r="B988" s="36">
        <v>14054</v>
      </c>
      <c r="C988" s="7">
        <v>14064</v>
      </c>
      <c r="D988" s="7">
        <v>14055</v>
      </c>
      <c r="E988" s="7">
        <v>13980</v>
      </c>
      <c r="F988" s="7">
        <v>14000</v>
      </c>
      <c r="G988" s="34">
        <v>160</v>
      </c>
      <c r="H988" s="35">
        <v>29</v>
      </c>
      <c r="I988" s="38">
        <f t="shared" si="14"/>
        <v>14059</v>
      </c>
    </row>
    <row r="989" spans="1:9" x14ac:dyDescent="0.2">
      <c r="A989" s="33">
        <v>43761</v>
      </c>
      <c r="B989" s="36">
        <v>14025</v>
      </c>
      <c r="C989" s="7">
        <v>14033</v>
      </c>
      <c r="D989" s="7">
        <v>14060</v>
      </c>
      <c r="E989" s="7">
        <v>14010</v>
      </c>
      <c r="F989" s="7">
        <v>14030</v>
      </c>
      <c r="G989" s="34">
        <v>231</v>
      </c>
      <c r="H989" s="35">
        <v>-12</v>
      </c>
      <c r="I989" s="38">
        <f t="shared" si="14"/>
        <v>14029</v>
      </c>
    </row>
    <row r="990" spans="1:9" x14ac:dyDescent="0.2">
      <c r="A990" s="33">
        <v>43760</v>
      </c>
      <c r="B990" s="36">
        <v>14037</v>
      </c>
      <c r="C990" s="7">
        <v>14043</v>
      </c>
      <c r="D990" s="7">
        <v>14070</v>
      </c>
      <c r="E990" s="7">
        <v>13990</v>
      </c>
      <c r="F990" s="7">
        <v>14070</v>
      </c>
      <c r="G990" s="34">
        <v>244</v>
      </c>
      <c r="H990" s="35">
        <v>-36</v>
      </c>
      <c r="I990" s="38">
        <f t="shared" si="14"/>
        <v>14040</v>
      </c>
    </row>
    <row r="991" spans="1:9" x14ac:dyDescent="0.2">
      <c r="A991" s="33">
        <v>43759</v>
      </c>
      <c r="B991" s="36">
        <v>14073</v>
      </c>
      <c r="C991" s="7">
        <v>14083</v>
      </c>
      <c r="D991" s="7">
        <v>14130</v>
      </c>
      <c r="E991" s="7">
        <v>14073</v>
      </c>
      <c r="F991" s="7">
        <v>14120</v>
      </c>
      <c r="G991" s="34">
        <v>230</v>
      </c>
      <c r="H991" s="35">
        <v>-66</v>
      </c>
      <c r="I991" s="38">
        <f t="shared" si="14"/>
        <v>14078</v>
      </c>
    </row>
    <row r="992" spans="1:9" x14ac:dyDescent="0.2">
      <c r="A992" s="33">
        <v>43756</v>
      </c>
      <c r="B992" s="36">
        <v>14139</v>
      </c>
      <c r="C992" s="7">
        <v>14150</v>
      </c>
      <c r="D992" s="7">
        <v>14148</v>
      </c>
      <c r="E992" s="7">
        <v>14120</v>
      </c>
      <c r="F992" s="7">
        <v>14130</v>
      </c>
      <c r="G992" s="34">
        <v>138</v>
      </c>
      <c r="H992" s="35">
        <v>-4</v>
      </c>
      <c r="I992" s="38">
        <f t="shared" ref="I992:I1055" si="15">+(B992+C992)*0.5</f>
        <v>14144.5</v>
      </c>
    </row>
    <row r="993" spans="1:9" x14ac:dyDescent="0.2">
      <c r="A993" s="33">
        <v>43755</v>
      </c>
      <c r="B993" s="36">
        <v>14143</v>
      </c>
      <c r="C993" s="7">
        <v>14153</v>
      </c>
      <c r="D993" s="7">
        <v>14171</v>
      </c>
      <c r="E993" s="7">
        <v>14141</v>
      </c>
      <c r="F993" s="7">
        <v>14170</v>
      </c>
      <c r="G993" s="34">
        <v>156</v>
      </c>
      <c r="H993" s="35">
        <v>-21</v>
      </c>
      <c r="I993" s="38">
        <f t="shared" si="15"/>
        <v>14148</v>
      </c>
    </row>
    <row r="994" spans="1:9" x14ac:dyDescent="0.2">
      <c r="A994" s="33">
        <v>43754</v>
      </c>
      <c r="B994" s="36">
        <v>14164</v>
      </c>
      <c r="C994" s="7">
        <v>14174</v>
      </c>
      <c r="D994" s="7">
        <v>14189</v>
      </c>
      <c r="E994" s="7">
        <v>14160</v>
      </c>
      <c r="F994" s="7">
        <v>14170</v>
      </c>
      <c r="G994" s="34">
        <v>279</v>
      </c>
      <c r="H994" s="35">
        <v>4</v>
      </c>
      <c r="I994" s="38">
        <f t="shared" si="15"/>
        <v>14169</v>
      </c>
    </row>
    <row r="995" spans="1:9" x14ac:dyDescent="0.2">
      <c r="A995" s="33">
        <v>43753</v>
      </c>
      <c r="B995" s="36">
        <v>14160</v>
      </c>
      <c r="C995" s="7">
        <v>14170</v>
      </c>
      <c r="D995" s="7">
        <v>14165</v>
      </c>
      <c r="E995" s="7">
        <v>14130</v>
      </c>
      <c r="F995" s="7">
        <v>14130</v>
      </c>
      <c r="G995" s="34">
        <v>168</v>
      </c>
      <c r="H995" s="35">
        <v>25</v>
      </c>
      <c r="I995" s="38">
        <f t="shared" si="15"/>
        <v>14165</v>
      </c>
    </row>
    <row r="996" spans="1:9" x14ac:dyDescent="0.2">
      <c r="A996" s="33">
        <v>43752</v>
      </c>
      <c r="B996" s="36">
        <v>14135</v>
      </c>
      <c r="C996" s="7">
        <v>14143</v>
      </c>
      <c r="D996" s="7">
        <v>14135</v>
      </c>
      <c r="E996" s="7">
        <v>14108</v>
      </c>
      <c r="F996" s="7">
        <v>14110</v>
      </c>
      <c r="G996" s="34">
        <v>222</v>
      </c>
      <c r="H996" s="35">
        <v>12</v>
      </c>
      <c r="I996" s="38">
        <f t="shared" si="15"/>
        <v>14139</v>
      </c>
    </row>
    <row r="997" spans="1:9" x14ac:dyDescent="0.2">
      <c r="A997" s="33">
        <v>43749</v>
      </c>
      <c r="B997" s="36">
        <v>14123</v>
      </c>
      <c r="C997" s="7">
        <v>14133</v>
      </c>
      <c r="D997" s="7">
        <v>14150</v>
      </c>
      <c r="E997" s="7">
        <v>14120</v>
      </c>
      <c r="F997" s="7">
        <v>14120</v>
      </c>
      <c r="G997" s="34">
        <v>154</v>
      </c>
      <c r="H997" s="35">
        <v>-22</v>
      </c>
      <c r="I997" s="38">
        <f t="shared" si="15"/>
        <v>14128</v>
      </c>
    </row>
    <row r="998" spans="1:9" x14ac:dyDescent="0.2">
      <c r="A998" s="33">
        <v>43748</v>
      </c>
      <c r="B998" s="36">
        <v>14145</v>
      </c>
      <c r="C998" s="7">
        <v>14158</v>
      </c>
      <c r="D998" s="7">
        <v>14175</v>
      </c>
      <c r="E998" s="7">
        <v>14125</v>
      </c>
      <c r="F998" s="7">
        <v>14165</v>
      </c>
      <c r="G998" s="34">
        <v>211</v>
      </c>
      <c r="H998" s="35">
        <v>-20</v>
      </c>
      <c r="I998" s="38">
        <f t="shared" si="15"/>
        <v>14151.5</v>
      </c>
    </row>
    <row r="999" spans="1:9" x14ac:dyDescent="0.2">
      <c r="A999" s="33">
        <v>43747</v>
      </c>
      <c r="B999" s="36">
        <v>14165</v>
      </c>
      <c r="C999" s="7">
        <v>14175</v>
      </c>
      <c r="D999" s="7">
        <v>14180</v>
      </c>
      <c r="E999" s="7">
        <v>14160</v>
      </c>
      <c r="F999" s="7">
        <v>14160</v>
      </c>
      <c r="G999" s="34">
        <v>179</v>
      </c>
      <c r="H999" s="35">
        <v>15</v>
      </c>
      <c r="I999" s="38">
        <f t="shared" si="15"/>
        <v>14170</v>
      </c>
    </row>
    <row r="1000" spans="1:9" x14ac:dyDescent="0.2">
      <c r="A1000" s="33">
        <v>43746</v>
      </c>
      <c r="B1000" s="36">
        <v>14150</v>
      </c>
      <c r="C1000" s="7">
        <v>14160</v>
      </c>
      <c r="D1000" s="7">
        <v>14175</v>
      </c>
      <c r="E1000" s="7">
        <v>14130</v>
      </c>
      <c r="F1000" s="7">
        <v>14170</v>
      </c>
      <c r="G1000" s="34">
        <v>201</v>
      </c>
      <c r="H1000" s="35">
        <v>-5</v>
      </c>
      <c r="I1000" s="38">
        <f t="shared" si="15"/>
        <v>14155</v>
      </c>
    </row>
    <row r="1001" spans="1:9" x14ac:dyDescent="0.2">
      <c r="A1001" s="33">
        <v>43745</v>
      </c>
      <c r="B1001" s="36">
        <v>14155</v>
      </c>
      <c r="C1001" s="7">
        <v>14170</v>
      </c>
      <c r="D1001" s="7">
        <v>14160</v>
      </c>
      <c r="E1001" s="7">
        <v>14130</v>
      </c>
      <c r="F1001" s="7">
        <v>14130</v>
      </c>
      <c r="G1001" s="34">
        <v>122</v>
      </c>
      <c r="H1001" s="35">
        <v>25</v>
      </c>
      <c r="I1001" s="38">
        <f t="shared" si="15"/>
        <v>14162.5</v>
      </c>
    </row>
    <row r="1002" spans="1:9" x14ac:dyDescent="0.2">
      <c r="A1002" s="33">
        <v>43742</v>
      </c>
      <c r="B1002" s="36">
        <v>14130</v>
      </c>
      <c r="C1002" s="7">
        <v>14140</v>
      </c>
      <c r="D1002" s="7">
        <v>14145</v>
      </c>
      <c r="E1002" s="7">
        <v>14110</v>
      </c>
      <c r="F1002" s="7">
        <v>14145</v>
      </c>
      <c r="G1002" s="34">
        <v>228</v>
      </c>
      <c r="H1002" s="35">
        <v>-40</v>
      </c>
      <c r="I1002" s="38">
        <f t="shared" si="15"/>
        <v>14135</v>
      </c>
    </row>
    <row r="1003" spans="1:9" x14ac:dyDescent="0.2">
      <c r="A1003" s="33">
        <v>43741</v>
      </c>
      <c r="B1003" s="36">
        <v>14170</v>
      </c>
      <c r="C1003" s="7">
        <v>14175</v>
      </c>
      <c r="D1003" s="7">
        <v>14195</v>
      </c>
      <c r="E1003" s="7">
        <v>14165</v>
      </c>
      <c r="F1003" s="7">
        <v>14190</v>
      </c>
      <c r="G1003" s="34">
        <v>273</v>
      </c>
      <c r="H1003" s="35">
        <v>-20</v>
      </c>
      <c r="I1003" s="38">
        <f t="shared" si="15"/>
        <v>14172.5</v>
      </c>
    </row>
    <row r="1004" spans="1:9" x14ac:dyDescent="0.2">
      <c r="A1004" s="33">
        <v>43740</v>
      </c>
      <c r="B1004" s="36">
        <v>14190</v>
      </c>
      <c r="C1004" s="7">
        <v>14200</v>
      </c>
      <c r="D1004" s="7">
        <v>14210</v>
      </c>
      <c r="E1004" s="7">
        <v>14180</v>
      </c>
      <c r="F1004" s="7">
        <v>14210</v>
      </c>
      <c r="G1004" s="34">
        <v>172</v>
      </c>
      <c r="H1004" s="35">
        <v>-15</v>
      </c>
      <c r="I1004" s="38">
        <f t="shared" si="15"/>
        <v>14195</v>
      </c>
    </row>
    <row r="1005" spans="1:9" x14ac:dyDescent="0.2">
      <c r="A1005" s="33">
        <v>43739</v>
      </c>
      <c r="B1005" s="36">
        <v>14205</v>
      </c>
      <c r="C1005" s="7">
        <v>14220</v>
      </c>
      <c r="D1005" s="7">
        <v>14215</v>
      </c>
      <c r="E1005" s="7">
        <v>14175</v>
      </c>
      <c r="F1005" s="7">
        <v>14175</v>
      </c>
      <c r="G1005" s="34">
        <v>155</v>
      </c>
      <c r="H1005" s="35">
        <v>15</v>
      </c>
      <c r="I1005" s="38">
        <f t="shared" si="15"/>
        <v>14212.5</v>
      </c>
    </row>
    <row r="1006" spans="1:9" x14ac:dyDescent="0.2">
      <c r="A1006" s="33">
        <v>43738</v>
      </c>
      <c r="B1006" s="36">
        <v>14190</v>
      </c>
      <c r="C1006" s="7">
        <v>14200</v>
      </c>
      <c r="D1006" s="7">
        <v>14190</v>
      </c>
      <c r="E1006" s="7">
        <v>14150</v>
      </c>
      <c r="F1006" s="7">
        <v>14150</v>
      </c>
      <c r="G1006" s="34">
        <v>81</v>
      </c>
      <c r="H1006" s="35">
        <v>30</v>
      </c>
      <c r="I1006" s="38">
        <f t="shared" si="15"/>
        <v>14195</v>
      </c>
    </row>
    <row r="1007" spans="1:9" x14ac:dyDescent="0.2">
      <c r="A1007" s="33">
        <v>43735</v>
      </c>
      <c r="B1007" s="36">
        <v>14160</v>
      </c>
      <c r="C1007" s="7">
        <v>14170</v>
      </c>
      <c r="D1007" s="7">
        <v>14195</v>
      </c>
      <c r="E1007" s="7">
        <v>14160</v>
      </c>
      <c r="F1007" s="7">
        <v>14180</v>
      </c>
      <c r="G1007" s="34">
        <v>145</v>
      </c>
      <c r="H1007" s="35">
        <v>-15</v>
      </c>
      <c r="I1007" s="38">
        <f t="shared" si="15"/>
        <v>14165</v>
      </c>
    </row>
    <row r="1008" spans="1:9" x14ac:dyDescent="0.2">
      <c r="A1008" s="33">
        <v>43734</v>
      </c>
      <c r="B1008" s="36">
        <v>14175</v>
      </c>
      <c r="C1008" s="7">
        <v>14180</v>
      </c>
      <c r="D1008" s="7">
        <v>14175</v>
      </c>
      <c r="E1008" s="7">
        <v>14143</v>
      </c>
      <c r="F1008" s="7">
        <v>14145</v>
      </c>
      <c r="G1008" s="34">
        <v>117</v>
      </c>
      <c r="H1008" s="35">
        <v>30</v>
      </c>
      <c r="I1008" s="38">
        <f t="shared" si="15"/>
        <v>14177.5</v>
      </c>
    </row>
    <row r="1009" spans="1:9" x14ac:dyDescent="0.2">
      <c r="A1009" s="33">
        <v>43733</v>
      </c>
      <c r="B1009" s="36">
        <v>14145</v>
      </c>
      <c r="C1009" s="7">
        <v>14155</v>
      </c>
      <c r="D1009" s="7">
        <v>14150</v>
      </c>
      <c r="E1009" s="7">
        <v>14115</v>
      </c>
      <c r="F1009" s="7">
        <v>14115</v>
      </c>
      <c r="G1009" s="34">
        <v>149</v>
      </c>
      <c r="H1009" s="35">
        <v>35</v>
      </c>
      <c r="I1009" s="38">
        <f t="shared" si="15"/>
        <v>14150</v>
      </c>
    </row>
    <row r="1010" spans="1:9" x14ac:dyDescent="0.2">
      <c r="A1010" s="33">
        <v>43732</v>
      </c>
      <c r="B1010" s="36">
        <v>14110</v>
      </c>
      <c r="C1010" s="7">
        <v>14115</v>
      </c>
      <c r="D1010" s="7">
        <v>14110</v>
      </c>
      <c r="E1010" s="7">
        <v>14075</v>
      </c>
      <c r="F1010" s="7">
        <v>14075</v>
      </c>
      <c r="G1010" s="34">
        <v>75</v>
      </c>
      <c r="H1010" s="35">
        <v>30</v>
      </c>
      <c r="I1010" s="38">
        <f t="shared" si="15"/>
        <v>14112.5</v>
      </c>
    </row>
    <row r="1011" spans="1:9" x14ac:dyDescent="0.2">
      <c r="A1011" s="33">
        <v>43731</v>
      </c>
      <c r="B1011" s="36">
        <v>14080</v>
      </c>
      <c r="C1011" s="7">
        <v>14090</v>
      </c>
      <c r="D1011" s="7">
        <v>14085</v>
      </c>
      <c r="E1011" s="7">
        <v>14060</v>
      </c>
      <c r="F1011" s="7">
        <v>14065</v>
      </c>
      <c r="G1011" s="34">
        <v>157</v>
      </c>
      <c r="H1011" s="35">
        <v>30</v>
      </c>
      <c r="I1011" s="38">
        <f t="shared" si="15"/>
        <v>14085</v>
      </c>
    </row>
    <row r="1012" spans="1:9" x14ac:dyDescent="0.2">
      <c r="A1012" s="33">
        <v>43728</v>
      </c>
      <c r="B1012" s="36">
        <v>14050</v>
      </c>
      <c r="C1012" s="7">
        <v>14060</v>
      </c>
      <c r="D1012" s="7">
        <v>14085</v>
      </c>
      <c r="E1012" s="7">
        <v>14050</v>
      </c>
      <c r="F1012" s="7">
        <v>14085</v>
      </c>
      <c r="G1012" s="34">
        <v>142</v>
      </c>
      <c r="H1012" s="35">
        <v>-5</v>
      </c>
      <c r="I1012" s="38">
        <f t="shared" si="15"/>
        <v>14055</v>
      </c>
    </row>
    <row r="1013" spans="1:9" x14ac:dyDescent="0.2">
      <c r="A1013" s="33">
        <v>43727</v>
      </c>
      <c r="B1013" s="36">
        <v>14055</v>
      </c>
      <c r="C1013" s="7">
        <v>14065</v>
      </c>
      <c r="D1013" s="7">
        <v>14099</v>
      </c>
      <c r="E1013" s="7">
        <v>14055</v>
      </c>
      <c r="F1013" s="7">
        <v>14070</v>
      </c>
      <c r="G1013" s="34">
        <v>167</v>
      </c>
      <c r="H1013" s="35">
        <v>0</v>
      </c>
      <c r="I1013" s="38">
        <f t="shared" si="15"/>
        <v>14060</v>
      </c>
    </row>
    <row r="1014" spans="1:9" x14ac:dyDescent="0.2">
      <c r="A1014" s="33">
        <v>43726</v>
      </c>
      <c r="B1014" s="36">
        <v>14055</v>
      </c>
      <c r="C1014" s="7">
        <v>14065</v>
      </c>
      <c r="D1014" s="7">
        <v>14085</v>
      </c>
      <c r="E1014" s="7">
        <v>14055</v>
      </c>
      <c r="F1014" s="7">
        <v>14070</v>
      </c>
      <c r="G1014" s="34">
        <v>144</v>
      </c>
      <c r="H1014" s="35">
        <v>-35</v>
      </c>
      <c r="I1014" s="38">
        <f t="shared" si="15"/>
        <v>14060</v>
      </c>
    </row>
    <row r="1015" spans="1:9" x14ac:dyDescent="0.2">
      <c r="A1015" s="33">
        <v>43725</v>
      </c>
      <c r="B1015" s="36">
        <v>14090</v>
      </c>
      <c r="C1015" s="7">
        <v>14100</v>
      </c>
      <c r="D1015" s="7">
        <v>14105</v>
      </c>
      <c r="E1015" s="7">
        <v>14055</v>
      </c>
      <c r="F1015" s="7">
        <v>14055</v>
      </c>
      <c r="G1015" s="34">
        <v>149</v>
      </c>
      <c r="H1015" s="35">
        <v>55</v>
      </c>
      <c r="I1015" s="38">
        <f t="shared" si="15"/>
        <v>14095</v>
      </c>
    </row>
    <row r="1016" spans="1:9" x14ac:dyDescent="0.2">
      <c r="A1016" s="33">
        <v>43724</v>
      </c>
      <c r="B1016" s="36">
        <v>14035</v>
      </c>
      <c r="C1016" s="7">
        <v>14045</v>
      </c>
      <c r="D1016" s="7">
        <v>14050</v>
      </c>
      <c r="E1016" s="7">
        <v>13970</v>
      </c>
      <c r="F1016" s="7">
        <v>13975</v>
      </c>
      <c r="G1016" s="34">
        <v>171</v>
      </c>
      <c r="H1016" s="35">
        <v>75</v>
      </c>
      <c r="I1016" s="38">
        <f t="shared" si="15"/>
        <v>14040</v>
      </c>
    </row>
    <row r="1017" spans="1:9" x14ac:dyDescent="0.2">
      <c r="A1017" s="33">
        <v>43721</v>
      </c>
      <c r="B1017" s="36">
        <v>13960</v>
      </c>
      <c r="C1017" s="7">
        <v>13970</v>
      </c>
      <c r="D1017" s="7">
        <v>13970</v>
      </c>
      <c r="E1017" s="7">
        <v>13900</v>
      </c>
      <c r="F1017" s="7">
        <v>13930</v>
      </c>
      <c r="G1017" s="34">
        <v>165</v>
      </c>
      <c r="H1017" s="35">
        <v>-25</v>
      </c>
      <c r="I1017" s="38">
        <f t="shared" si="15"/>
        <v>13965</v>
      </c>
    </row>
    <row r="1018" spans="1:9" x14ac:dyDescent="0.2">
      <c r="A1018" s="33">
        <v>43720</v>
      </c>
      <c r="B1018" s="36">
        <v>13985</v>
      </c>
      <c r="C1018" s="7">
        <v>13995</v>
      </c>
      <c r="D1018" s="7">
        <v>14050</v>
      </c>
      <c r="E1018" s="7">
        <v>13980</v>
      </c>
      <c r="F1018" s="7">
        <v>14040</v>
      </c>
      <c r="G1018" s="34">
        <v>214</v>
      </c>
      <c r="H1018" s="35">
        <v>-70</v>
      </c>
      <c r="I1018" s="38">
        <f t="shared" si="15"/>
        <v>13990</v>
      </c>
    </row>
    <row r="1019" spans="1:9" x14ac:dyDescent="0.2">
      <c r="A1019" s="33">
        <v>43719</v>
      </c>
      <c r="B1019" s="36">
        <v>14055</v>
      </c>
      <c r="C1019" s="7">
        <v>14065</v>
      </c>
      <c r="D1019" s="7">
        <v>14065</v>
      </c>
      <c r="E1019" s="7">
        <v>14045</v>
      </c>
      <c r="F1019" s="7">
        <v>14050</v>
      </c>
      <c r="G1019" s="34">
        <v>132</v>
      </c>
      <c r="H1019" s="35">
        <v>10</v>
      </c>
      <c r="I1019" s="38">
        <f t="shared" si="15"/>
        <v>14060</v>
      </c>
    </row>
    <row r="1020" spans="1:9" x14ac:dyDescent="0.2">
      <c r="A1020" s="33">
        <v>43718</v>
      </c>
      <c r="B1020" s="36">
        <v>14045</v>
      </c>
      <c r="C1020" s="7">
        <v>14055</v>
      </c>
      <c r="D1020" s="7">
        <v>14050</v>
      </c>
      <c r="E1020" s="7">
        <v>14020</v>
      </c>
      <c r="F1020" s="7">
        <v>14030</v>
      </c>
      <c r="G1020" s="34">
        <v>139</v>
      </c>
      <c r="H1020" s="35">
        <v>20</v>
      </c>
      <c r="I1020" s="38">
        <f t="shared" si="15"/>
        <v>14050</v>
      </c>
    </row>
    <row r="1021" spans="1:9" x14ac:dyDescent="0.2">
      <c r="A1021" s="33">
        <v>43717</v>
      </c>
      <c r="B1021" s="36">
        <v>14025</v>
      </c>
      <c r="C1021" s="7">
        <v>14037</v>
      </c>
      <c r="D1021" s="7">
        <v>14090</v>
      </c>
      <c r="E1021" s="7">
        <v>14020</v>
      </c>
      <c r="F1021" s="7">
        <v>14080</v>
      </c>
      <c r="G1021" s="34">
        <v>222</v>
      </c>
      <c r="H1021" s="35">
        <v>-65</v>
      </c>
      <c r="I1021" s="38">
        <f t="shared" si="15"/>
        <v>14031</v>
      </c>
    </row>
    <row r="1022" spans="1:9" x14ac:dyDescent="0.2">
      <c r="A1022" s="33">
        <v>43714</v>
      </c>
      <c r="B1022" s="36">
        <v>14090</v>
      </c>
      <c r="C1022" s="7">
        <v>14100</v>
      </c>
      <c r="D1022" s="7">
        <v>14145</v>
      </c>
      <c r="E1022" s="7">
        <v>14080</v>
      </c>
      <c r="F1022" s="7">
        <v>14130</v>
      </c>
      <c r="G1022" s="34">
        <v>160</v>
      </c>
      <c r="H1022" s="35">
        <v>-55</v>
      </c>
      <c r="I1022" s="38">
        <f t="shared" si="15"/>
        <v>14095</v>
      </c>
    </row>
    <row r="1023" spans="1:9" x14ac:dyDescent="0.2">
      <c r="A1023" s="33">
        <v>43713</v>
      </c>
      <c r="B1023" s="36">
        <v>14145</v>
      </c>
      <c r="C1023" s="7">
        <v>14155</v>
      </c>
      <c r="D1023" s="7">
        <v>14160</v>
      </c>
      <c r="E1023" s="7">
        <v>14137</v>
      </c>
      <c r="F1023" s="7">
        <v>14150</v>
      </c>
      <c r="G1023" s="34">
        <v>127</v>
      </c>
      <c r="H1023" s="35">
        <v>-5</v>
      </c>
      <c r="I1023" s="38">
        <f t="shared" si="15"/>
        <v>14150</v>
      </c>
    </row>
    <row r="1024" spans="1:9" x14ac:dyDescent="0.2">
      <c r="A1024" s="33">
        <v>43712</v>
      </c>
      <c r="B1024" s="36">
        <v>14150</v>
      </c>
      <c r="C1024" s="7">
        <v>14155</v>
      </c>
      <c r="D1024" s="7">
        <v>14220</v>
      </c>
      <c r="E1024" s="7">
        <v>14150</v>
      </c>
      <c r="F1024" s="7">
        <v>14220</v>
      </c>
      <c r="G1024" s="34">
        <v>293</v>
      </c>
      <c r="H1024" s="35">
        <v>-70</v>
      </c>
      <c r="I1024" s="38">
        <f t="shared" si="15"/>
        <v>14152.5</v>
      </c>
    </row>
    <row r="1025" spans="1:9" x14ac:dyDescent="0.2">
      <c r="A1025" s="33">
        <v>43711</v>
      </c>
      <c r="B1025" s="36">
        <v>14220</v>
      </c>
      <c r="C1025" s="7">
        <v>14230</v>
      </c>
      <c r="D1025" s="7">
        <v>14230</v>
      </c>
      <c r="E1025" s="7">
        <v>14195</v>
      </c>
      <c r="F1025" s="7">
        <v>14195</v>
      </c>
      <c r="G1025" s="34">
        <v>138</v>
      </c>
      <c r="H1025" s="35">
        <v>30</v>
      </c>
      <c r="I1025" s="38">
        <f t="shared" si="15"/>
        <v>14225</v>
      </c>
    </row>
    <row r="1026" spans="1:9" x14ac:dyDescent="0.2">
      <c r="A1026" s="33">
        <v>43710</v>
      </c>
      <c r="B1026" s="36">
        <v>14190</v>
      </c>
      <c r="C1026" s="7">
        <v>14198</v>
      </c>
      <c r="D1026" s="7">
        <v>14198</v>
      </c>
      <c r="E1026" s="7">
        <v>14180</v>
      </c>
      <c r="F1026" s="7">
        <v>14181</v>
      </c>
      <c r="G1026" s="34">
        <v>134</v>
      </c>
      <c r="H1026" s="35">
        <v>10</v>
      </c>
      <c r="I1026" s="38">
        <f t="shared" si="15"/>
        <v>14194</v>
      </c>
    </row>
    <row r="1027" spans="1:9" x14ac:dyDescent="0.2">
      <c r="A1027" s="33">
        <v>43707</v>
      </c>
      <c r="B1027" s="36">
        <v>14180</v>
      </c>
      <c r="C1027" s="7">
        <v>14190</v>
      </c>
      <c r="D1027" s="7">
        <v>14240</v>
      </c>
      <c r="E1027" s="7">
        <v>14180</v>
      </c>
      <c r="F1027" s="7">
        <v>14215</v>
      </c>
      <c r="G1027" s="34">
        <v>165</v>
      </c>
      <c r="H1027" s="35">
        <v>-55</v>
      </c>
      <c r="I1027" s="38">
        <f t="shared" si="15"/>
        <v>14185</v>
      </c>
    </row>
    <row r="1028" spans="1:9" x14ac:dyDescent="0.2">
      <c r="A1028" s="33">
        <v>43706</v>
      </c>
      <c r="B1028" s="36">
        <v>14235</v>
      </c>
      <c r="C1028" s="7">
        <v>14240</v>
      </c>
      <c r="D1028" s="7">
        <v>14260</v>
      </c>
      <c r="E1028" s="7">
        <v>14230</v>
      </c>
      <c r="F1028" s="7">
        <v>14240</v>
      </c>
      <c r="G1028" s="34">
        <v>207</v>
      </c>
      <c r="H1028" s="35">
        <v>-15</v>
      </c>
      <c r="I1028" s="38">
        <f t="shared" si="15"/>
        <v>14237.5</v>
      </c>
    </row>
    <row r="1029" spans="1:9" x14ac:dyDescent="0.2">
      <c r="A1029" s="33">
        <v>43705</v>
      </c>
      <c r="B1029" s="36">
        <v>14250</v>
      </c>
      <c r="C1029" s="7">
        <v>14260</v>
      </c>
      <c r="D1029" s="7">
        <v>14265</v>
      </c>
      <c r="E1029" s="7">
        <v>14249</v>
      </c>
      <c r="F1029" s="7">
        <v>14250</v>
      </c>
      <c r="G1029" s="34">
        <v>243</v>
      </c>
      <c r="H1029" s="35">
        <v>0</v>
      </c>
      <c r="I1029" s="38">
        <f t="shared" si="15"/>
        <v>14255</v>
      </c>
    </row>
    <row r="1030" spans="1:9" x14ac:dyDescent="0.2">
      <c r="A1030" s="33">
        <v>43704</v>
      </c>
      <c r="B1030" s="36">
        <v>14250</v>
      </c>
      <c r="C1030" s="7">
        <v>14260</v>
      </c>
      <c r="D1030" s="7">
        <v>14255</v>
      </c>
      <c r="E1030" s="7">
        <v>14225</v>
      </c>
      <c r="F1030" s="7">
        <v>14240</v>
      </c>
      <c r="G1030" s="34">
        <v>299</v>
      </c>
      <c r="H1030" s="35">
        <v>15</v>
      </c>
      <c r="I1030" s="38">
        <f t="shared" si="15"/>
        <v>14255</v>
      </c>
    </row>
    <row r="1031" spans="1:9" x14ac:dyDescent="0.2">
      <c r="A1031" s="33">
        <v>43703</v>
      </c>
      <c r="B1031" s="36">
        <v>14235</v>
      </c>
      <c r="C1031" s="7">
        <v>14245</v>
      </c>
      <c r="D1031" s="7">
        <v>14275</v>
      </c>
      <c r="E1031" s="7">
        <v>14230</v>
      </c>
      <c r="F1031" s="7">
        <v>14230</v>
      </c>
      <c r="G1031" s="34">
        <v>216</v>
      </c>
      <c r="H1031" s="35">
        <v>25</v>
      </c>
      <c r="I1031" s="38">
        <f t="shared" si="15"/>
        <v>14240</v>
      </c>
    </row>
    <row r="1032" spans="1:9" x14ac:dyDescent="0.2">
      <c r="A1032" s="33">
        <v>43700</v>
      </c>
      <c r="B1032" s="36">
        <v>14210</v>
      </c>
      <c r="C1032" s="7">
        <v>14215</v>
      </c>
      <c r="D1032" s="7">
        <v>14250</v>
      </c>
      <c r="E1032" s="7">
        <v>14200</v>
      </c>
      <c r="F1032" s="7">
        <v>14235</v>
      </c>
      <c r="G1032" s="34">
        <v>289</v>
      </c>
      <c r="H1032" s="35">
        <v>-20</v>
      </c>
      <c r="I1032" s="38">
        <f t="shared" si="15"/>
        <v>14212.5</v>
      </c>
    </row>
    <row r="1033" spans="1:9" x14ac:dyDescent="0.2">
      <c r="A1033" s="33">
        <v>43699</v>
      </c>
      <c r="B1033" s="36">
        <v>14230</v>
      </c>
      <c r="C1033" s="7">
        <v>14240</v>
      </c>
      <c r="D1033" s="7">
        <v>14245</v>
      </c>
      <c r="E1033" s="7">
        <v>14220</v>
      </c>
      <c r="F1033" s="7">
        <v>14220</v>
      </c>
      <c r="G1033" s="34">
        <v>220</v>
      </c>
      <c r="H1033" s="35">
        <v>-5</v>
      </c>
      <c r="I1033" s="38">
        <f t="shared" si="15"/>
        <v>14235</v>
      </c>
    </row>
    <row r="1034" spans="1:9" x14ac:dyDescent="0.2">
      <c r="A1034" s="33">
        <v>43698</v>
      </c>
      <c r="B1034" s="36">
        <v>14235</v>
      </c>
      <c r="C1034" s="7">
        <v>14245</v>
      </c>
      <c r="D1034" s="7">
        <v>14270</v>
      </c>
      <c r="E1034" s="7">
        <v>14220</v>
      </c>
      <c r="F1034" s="7">
        <v>14255</v>
      </c>
      <c r="G1034" s="34">
        <v>291</v>
      </c>
      <c r="H1034" s="35">
        <v>-20</v>
      </c>
      <c r="I1034" s="38">
        <f t="shared" si="15"/>
        <v>14240</v>
      </c>
    </row>
    <row r="1035" spans="1:9" x14ac:dyDescent="0.2">
      <c r="A1035" s="33">
        <v>43697</v>
      </c>
      <c r="B1035" s="36">
        <v>14255</v>
      </c>
      <c r="C1035" s="7">
        <v>14265</v>
      </c>
      <c r="D1035" s="7">
        <v>14270</v>
      </c>
      <c r="E1035" s="7">
        <v>14230</v>
      </c>
      <c r="F1035" s="7">
        <v>14230</v>
      </c>
      <c r="G1035" s="34">
        <v>225</v>
      </c>
      <c r="H1035" s="35">
        <v>25</v>
      </c>
      <c r="I1035" s="38">
        <f t="shared" si="15"/>
        <v>14260</v>
      </c>
    </row>
    <row r="1036" spans="1:9" x14ac:dyDescent="0.2">
      <c r="A1036" s="33">
        <v>43696</v>
      </c>
      <c r="B1036" s="36">
        <v>14230</v>
      </c>
      <c r="C1036" s="7">
        <v>14240</v>
      </c>
      <c r="D1036" s="7">
        <v>14235</v>
      </c>
      <c r="E1036" s="7">
        <v>14180</v>
      </c>
      <c r="F1036" s="7">
        <v>14210</v>
      </c>
      <c r="G1036" s="34">
        <v>171</v>
      </c>
      <c r="H1036" s="35">
        <v>0</v>
      </c>
      <c r="I1036" s="38">
        <f t="shared" si="15"/>
        <v>14235</v>
      </c>
    </row>
    <row r="1037" spans="1:9" x14ac:dyDescent="0.2">
      <c r="A1037" s="33">
        <v>43693</v>
      </c>
      <c r="B1037" s="36">
        <v>14230</v>
      </c>
      <c r="C1037" s="7">
        <v>14240</v>
      </c>
      <c r="D1037" s="7">
        <v>14265</v>
      </c>
      <c r="E1037" s="7">
        <v>14220</v>
      </c>
      <c r="F1037" s="7">
        <v>14255</v>
      </c>
      <c r="G1037" s="34">
        <v>160</v>
      </c>
      <c r="H1037" s="35">
        <v>-30</v>
      </c>
      <c r="I1037" s="38">
        <f t="shared" si="15"/>
        <v>14235</v>
      </c>
    </row>
    <row r="1038" spans="1:9" x14ac:dyDescent="0.2">
      <c r="A1038" s="33">
        <v>43692</v>
      </c>
      <c r="B1038" s="36">
        <v>14260</v>
      </c>
      <c r="C1038" s="7">
        <v>14275</v>
      </c>
      <c r="D1038" s="7">
        <v>14305</v>
      </c>
      <c r="E1038" s="7">
        <v>14250</v>
      </c>
      <c r="F1038" s="7">
        <v>14260</v>
      </c>
      <c r="G1038" s="34">
        <v>194</v>
      </c>
      <c r="H1038" s="35">
        <v>20</v>
      </c>
      <c r="I1038" s="38">
        <f t="shared" si="15"/>
        <v>14267.5</v>
      </c>
    </row>
    <row r="1039" spans="1:9" x14ac:dyDescent="0.2">
      <c r="A1039" s="33">
        <v>43691</v>
      </c>
      <c r="B1039" s="36">
        <v>14240</v>
      </c>
      <c r="C1039" s="7">
        <v>14250</v>
      </c>
      <c r="D1039" s="7">
        <v>14250</v>
      </c>
      <c r="E1039" s="7">
        <v>14210</v>
      </c>
      <c r="F1039" s="7">
        <v>14250</v>
      </c>
      <c r="G1039" s="34">
        <v>220</v>
      </c>
      <c r="H1039" s="35">
        <v>-75</v>
      </c>
      <c r="I1039" s="38">
        <f t="shared" si="15"/>
        <v>14245</v>
      </c>
    </row>
    <row r="1040" spans="1:9" x14ac:dyDescent="0.2">
      <c r="A1040" s="33">
        <v>43690</v>
      </c>
      <c r="B1040" s="36">
        <v>14315</v>
      </c>
      <c r="C1040" s="7">
        <v>14320</v>
      </c>
      <c r="D1040" s="7">
        <v>14330</v>
      </c>
      <c r="E1040" s="7">
        <v>14255</v>
      </c>
      <c r="F1040" s="7">
        <v>14255</v>
      </c>
      <c r="G1040" s="34">
        <v>202</v>
      </c>
      <c r="H1040" s="35">
        <v>70</v>
      </c>
      <c r="I1040" s="38">
        <f t="shared" si="15"/>
        <v>14317.5</v>
      </c>
    </row>
    <row r="1041" spans="1:9" x14ac:dyDescent="0.2">
      <c r="A1041" s="33">
        <v>43689</v>
      </c>
      <c r="B1041" s="36">
        <v>14245</v>
      </c>
      <c r="C1041" s="7">
        <v>14250</v>
      </c>
      <c r="D1041" s="7">
        <v>14247</v>
      </c>
      <c r="E1041" s="7">
        <v>14200</v>
      </c>
      <c r="F1041" s="7">
        <v>14200</v>
      </c>
      <c r="G1041" s="34">
        <v>103</v>
      </c>
      <c r="H1041" s="35">
        <v>60</v>
      </c>
      <c r="I1041" s="38">
        <f t="shared" si="15"/>
        <v>14247.5</v>
      </c>
    </row>
    <row r="1042" spans="1:9" x14ac:dyDescent="0.2">
      <c r="A1042" s="33">
        <v>43686</v>
      </c>
      <c r="B1042" s="36">
        <v>14185</v>
      </c>
      <c r="C1042" s="7">
        <v>14195</v>
      </c>
      <c r="D1042" s="7">
        <v>14205</v>
      </c>
      <c r="E1042" s="7">
        <v>14170</v>
      </c>
      <c r="F1042" s="7">
        <v>14200</v>
      </c>
      <c r="G1042" s="34">
        <v>240</v>
      </c>
      <c r="H1042" s="35">
        <v>-20</v>
      </c>
      <c r="I1042" s="38">
        <f t="shared" si="15"/>
        <v>14190</v>
      </c>
    </row>
    <row r="1043" spans="1:9" x14ac:dyDescent="0.2">
      <c r="A1043" s="33">
        <v>43685</v>
      </c>
      <c r="B1043" s="36">
        <v>14205</v>
      </c>
      <c r="C1043" s="7">
        <v>14211</v>
      </c>
      <c r="D1043" s="7">
        <v>14240</v>
      </c>
      <c r="E1043" s="7">
        <v>14190</v>
      </c>
      <c r="F1043" s="7">
        <v>14210</v>
      </c>
      <c r="G1043" s="34">
        <v>351</v>
      </c>
      <c r="H1043" s="35">
        <v>-10</v>
      </c>
      <c r="I1043" s="38">
        <f t="shared" si="15"/>
        <v>14208</v>
      </c>
    </row>
    <row r="1044" spans="1:9" x14ac:dyDescent="0.2">
      <c r="A1044" s="33">
        <v>43684</v>
      </c>
      <c r="B1044" s="36">
        <v>14215</v>
      </c>
      <c r="C1044" s="7">
        <v>14230</v>
      </c>
      <c r="D1044" s="7">
        <v>14290</v>
      </c>
      <c r="E1044" s="7">
        <v>14200</v>
      </c>
      <c r="F1044" s="7">
        <v>14250</v>
      </c>
      <c r="G1044" s="34">
        <v>236</v>
      </c>
      <c r="H1044" s="35">
        <v>-45</v>
      </c>
      <c r="I1044" s="38">
        <f t="shared" si="15"/>
        <v>14222.5</v>
      </c>
    </row>
    <row r="1045" spans="1:9" x14ac:dyDescent="0.2">
      <c r="A1045" s="33">
        <v>43683</v>
      </c>
      <c r="B1045" s="36">
        <v>14260</v>
      </c>
      <c r="C1045" s="7">
        <v>14270</v>
      </c>
      <c r="D1045" s="7">
        <v>14350</v>
      </c>
      <c r="E1045" s="7">
        <v>14250</v>
      </c>
      <c r="F1045" s="7">
        <v>14300</v>
      </c>
      <c r="G1045" s="34">
        <v>279</v>
      </c>
      <c r="H1045" s="35">
        <v>10</v>
      </c>
      <c r="I1045" s="38">
        <f t="shared" si="15"/>
        <v>14265</v>
      </c>
    </row>
    <row r="1046" spans="1:9" x14ac:dyDescent="0.2">
      <c r="A1046" s="33">
        <v>43682</v>
      </c>
      <c r="B1046" s="36">
        <v>14250</v>
      </c>
      <c r="C1046" s="7">
        <v>14260</v>
      </c>
      <c r="D1046" s="7">
        <v>14275</v>
      </c>
      <c r="E1046" s="7">
        <v>14185</v>
      </c>
      <c r="F1046" s="7">
        <v>14185</v>
      </c>
      <c r="G1046" s="34">
        <v>172</v>
      </c>
      <c r="H1046" s="35">
        <v>75</v>
      </c>
      <c r="I1046" s="38">
        <f t="shared" si="15"/>
        <v>14255</v>
      </c>
    </row>
    <row r="1047" spans="1:9" x14ac:dyDescent="0.2">
      <c r="A1047" s="33">
        <v>43679</v>
      </c>
      <c r="B1047" s="36">
        <v>14175</v>
      </c>
      <c r="C1047" s="7">
        <v>14185</v>
      </c>
      <c r="D1047" s="7">
        <v>14225</v>
      </c>
      <c r="E1047" s="7">
        <v>14160</v>
      </c>
      <c r="F1047" s="7">
        <v>14160</v>
      </c>
      <c r="G1047" s="34">
        <v>139</v>
      </c>
      <c r="H1047" s="35">
        <v>65</v>
      </c>
      <c r="I1047" s="38">
        <f t="shared" si="15"/>
        <v>14180</v>
      </c>
    </row>
    <row r="1048" spans="1:9" x14ac:dyDescent="0.2">
      <c r="A1048" s="33">
        <v>43678</v>
      </c>
      <c r="B1048" s="36">
        <v>14110</v>
      </c>
      <c r="C1048" s="7">
        <v>14122</v>
      </c>
      <c r="D1048" s="7">
        <v>14122</v>
      </c>
      <c r="E1048" s="7">
        <v>14055</v>
      </c>
      <c r="F1048" s="7">
        <v>14055</v>
      </c>
      <c r="G1048" s="34">
        <v>169</v>
      </c>
      <c r="H1048" s="35">
        <v>98</v>
      </c>
      <c r="I1048" s="38">
        <f t="shared" si="15"/>
        <v>14116</v>
      </c>
    </row>
    <row r="1049" spans="1:9" x14ac:dyDescent="0.2">
      <c r="A1049" s="33">
        <v>43677</v>
      </c>
      <c r="B1049" s="36">
        <v>14012</v>
      </c>
      <c r="C1049" s="7">
        <v>14022</v>
      </c>
      <c r="D1049" s="7">
        <v>14026</v>
      </c>
      <c r="E1049" s="7">
        <v>14000</v>
      </c>
      <c r="F1049" s="7">
        <v>14010</v>
      </c>
      <c r="G1049" s="34">
        <v>325</v>
      </c>
      <c r="H1049" s="35">
        <v>-3</v>
      </c>
      <c r="I1049" s="38">
        <f t="shared" si="15"/>
        <v>14017</v>
      </c>
    </row>
    <row r="1050" spans="1:9" x14ac:dyDescent="0.2">
      <c r="A1050" s="33">
        <v>43676</v>
      </c>
      <c r="B1050" s="36">
        <v>14015</v>
      </c>
      <c r="C1050" s="7">
        <v>14025</v>
      </c>
      <c r="D1050" s="7">
        <v>14035</v>
      </c>
      <c r="E1050" s="7">
        <v>14010</v>
      </c>
      <c r="F1050" s="7">
        <v>14015</v>
      </c>
      <c r="G1050" s="34">
        <v>200</v>
      </c>
      <c r="H1050" s="35">
        <v>0</v>
      </c>
      <c r="I1050" s="38">
        <f t="shared" si="15"/>
        <v>14020</v>
      </c>
    </row>
    <row r="1051" spans="1:9" x14ac:dyDescent="0.2">
      <c r="A1051" s="33">
        <v>43675</v>
      </c>
      <c r="B1051" s="36">
        <v>14015</v>
      </c>
      <c r="C1051" s="7">
        <v>14025</v>
      </c>
      <c r="D1051" s="7">
        <v>14023</v>
      </c>
      <c r="E1051" s="7">
        <v>13990</v>
      </c>
      <c r="F1051" s="7">
        <v>13990</v>
      </c>
      <c r="G1051" s="34">
        <v>245</v>
      </c>
      <c r="H1051" s="35">
        <v>16</v>
      </c>
      <c r="I1051" s="38">
        <f t="shared" si="15"/>
        <v>14020</v>
      </c>
    </row>
    <row r="1052" spans="1:9" x14ac:dyDescent="0.2">
      <c r="A1052" s="33">
        <v>43672</v>
      </c>
      <c r="B1052" s="36">
        <v>13999</v>
      </c>
      <c r="C1052" s="7">
        <v>14009</v>
      </c>
      <c r="D1052" s="7">
        <v>14010</v>
      </c>
      <c r="E1052" s="7">
        <v>13990</v>
      </c>
      <c r="F1052" s="7">
        <v>13990</v>
      </c>
      <c r="G1052" s="34">
        <v>202</v>
      </c>
      <c r="H1052" s="35">
        <v>24</v>
      </c>
      <c r="I1052" s="38">
        <f t="shared" si="15"/>
        <v>14004</v>
      </c>
    </row>
    <row r="1053" spans="1:9" x14ac:dyDescent="0.2">
      <c r="A1053" s="33">
        <v>43671</v>
      </c>
      <c r="B1053" s="36">
        <v>13975</v>
      </c>
      <c r="C1053" s="7">
        <v>13980</v>
      </c>
      <c r="D1053" s="7">
        <v>13990</v>
      </c>
      <c r="E1053" s="7">
        <v>13970</v>
      </c>
      <c r="F1053" s="7">
        <v>13985</v>
      </c>
      <c r="G1053" s="34">
        <v>236</v>
      </c>
      <c r="H1053" s="35">
        <v>-15</v>
      </c>
      <c r="I1053" s="38">
        <f t="shared" si="15"/>
        <v>13977.5</v>
      </c>
    </row>
    <row r="1054" spans="1:9" x14ac:dyDescent="0.2">
      <c r="A1054" s="33">
        <v>43670</v>
      </c>
      <c r="B1054" s="36">
        <v>13990</v>
      </c>
      <c r="C1054" s="7">
        <v>13996</v>
      </c>
      <c r="D1054" s="7">
        <v>14022</v>
      </c>
      <c r="E1054" s="7">
        <v>13980</v>
      </c>
      <c r="F1054" s="7">
        <v>13980</v>
      </c>
      <c r="G1054" s="34">
        <v>194</v>
      </c>
      <c r="H1054" s="35">
        <v>10</v>
      </c>
      <c r="I1054" s="38">
        <f t="shared" si="15"/>
        <v>13993</v>
      </c>
    </row>
    <row r="1055" spans="1:9" x14ac:dyDescent="0.2">
      <c r="A1055" s="33">
        <v>43669</v>
      </c>
      <c r="B1055" s="36">
        <v>13980</v>
      </c>
      <c r="C1055" s="7">
        <v>13988</v>
      </c>
      <c r="D1055" s="7">
        <v>13986</v>
      </c>
      <c r="E1055" s="7">
        <v>13950</v>
      </c>
      <c r="F1055" s="7">
        <v>13950</v>
      </c>
      <c r="G1055" s="34">
        <v>223</v>
      </c>
      <c r="H1055" s="35">
        <v>40</v>
      </c>
      <c r="I1055" s="38">
        <f t="shared" si="15"/>
        <v>13984</v>
      </c>
    </row>
    <row r="1056" spans="1:9" x14ac:dyDescent="0.2">
      <c r="A1056" s="33">
        <v>43668</v>
      </c>
      <c r="B1056" s="36">
        <v>13940</v>
      </c>
      <c r="C1056" s="7">
        <v>13950</v>
      </c>
      <c r="D1056" s="7">
        <v>13965</v>
      </c>
      <c r="E1056" s="7">
        <v>13935</v>
      </c>
      <c r="F1056" s="7">
        <v>13940</v>
      </c>
      <c r="G1056" s="34">
        <v>166</v>
      </c>
      <c r="H1056" s="35">
        <v>10</v>
      </c>
      <c r="I1056" s="38">
        <f t="shared" ref="I1056:I1119" si="16">+(B1056+C1056)*0.5</f>
        <v>13945</v>
      </c>
    </row>
    <row r="1057" spans="1:9" x14ac:dyDescent="0.2">
      <c r="A1057" s="33">
        <v>43665</v>
      </c>
      <c r="B1057" s="36">
        <v>13930</v>
      </c>
      <c r="C1057" s="7">
        <v>13940</v>
      </c>
      <c r="D1057" s="7">
        <v>13940</v>
      </c>
      <c r="E1057" s="7">
        <v>13885</v>
      </c>
      <c r="F1057" s="7">
        <v>13930</v>
      </c>
      <c r="G1057" s="34">
        <v>298</v>
      </c>
      <c r="H1057" s="35">
        <v>-25</v>
      </c>
      <c r="I1057" s="38">
        <f t="shared" si="16"/>
        <v>13935</v>
      </c>
    </row>
    <row r="1058" spans="1:9" x14ac:dyDescent="0.2">
      <c r="A1058" s="33">
        <v>43664</v>
      </c>
      <c r="B1058" s="36">
        <v>13955</v>
      </c>
      <c r="C1058" s="7">
        <v>13965</v>
      </c>
      <c r="D1058" s="7">
        <v>13979</v>
      </c>
      <c r="E1058" s="7">
        <v>13920</v>
      </c>
      <c r="F1058" s="7">
        <v>13960</v>
      </c>
      <c r="G1058" s="34">
        <v>277</v>
      </c>
      <c r="H1058" s="35">
        <v>-20</v>
      </c>
      <c r="I1058" s="38">
        <f t="shared" si="16"/>
        <v>13960</v>
      </c>
    </row>
    <row r="1059" spans="1:9" x14ac:dyDescent="0.2">
      <c r="A1059" s="33">
        <v>43663</v>
      </c>
      <c r="B1059" s="36">
        <v>13975</v>
      </c>
      <c r="C1059" s="7">
        <v>13985</v>
      </c>
      <c r="D1059" s="7">
        <v>13985</v>
      </c>
      <c r="E1059" s="7">
        <v>13930</v>
      </c>
      <c r="F1059" s="7">
        <v>13935</v>
      </c>
      <c r="G1059" s="34">
        <v>206</v>
      </c>
      <c r="H1059" s="35">
        <v>45</v>
      </c>
      <c r="I1059" s="38">
        <f t="shared" si="16"/>
        <v>13980</v>
      </c>
    </row>
    <row r="1060" spans="1:9" x14ac:dyDescent="0.2">
      <c r="A1060" s="33">
        <v>43662</v>
      </c>
      <c r="B1060" s="36">
        <v>13930</v>
      </c>
      <c r="C1060" s="7">
        <v>13940</v>
      </c>
      <c r="D1060" s="7">
        <v>13938</v>
      </c>
      <c r="E1060" s="7">
        <v>13900</v>
      </c>
      <c r="F1060" s="7">
        <v>13900</v>
      </c>
      <c r="G1060" s="34">
        <v>222</v>
      </c>
      <c r="H1060" s="35">
        <v>15</v>
      </c>
      <c r="I1060" s="38">
        <f t="shared" si="16"/>
        <v>13935</v>
      </c>
    </row>
    <row r="1061" spans="1:9" x14ac:dyDescent="0.2">
      <c r="A1061" s="33">
        <v>43661</v>
      </c>
      <c r="B1061" s="36">
        <v>13915</v>
      </c>
      <c r="C1061" s="7">
        <v>13924</v>
      </c>
      <c r="D1061" s="7">
        <v>13995</v>
      </c>
      <c r="E1061" s="7">
        <v>13885</v>
      </c>
      <c r="F1061" s="7">
        <v>13995</v>
      </c>
      <c r="G1061" s="34">
        <v>246</v>
      </c>
      <c r="H1061" s="35">
        <v>-84</v>
      </c>
      <c r="I1061" s="38">
        <f t="shared" si="16"/>
        <v>13919.5</v>
      </c>
    </row>
    <row r="1062" spans="1:9" x14ac:dyDescent="0.2">
      <c r="A1062" s="33">
        <v>43658</v>
      </c>
      <c r="B1062" s="36">
        <v>13999</v>
      </c>
      <c r="C1062" s="7">
        <v>14015</v>
      </c>
      <c r="D1062" s="7">
        <v>14090</v>
      </c>
      <c r="E1062" s="7">
        <v>13995</v>
      </c>
      <c r="F1062" s="7">
        <v>14065</v>
      </c>
      <c r="G1062" s="34">
        <v>176</v>
      </c>
      <c r="H1062" s="35">
        <v>-61</v>
      </c>
      <c r="I1062" s="38">
        <f t="shared" si="16"/>
        <v>14007</v>
      </c>
    </row>
    <row r="1063" spans="1:9" x14ac:dyDescent="0.2">
      <c r="A1063" s="33">
        <v>43657</v>
      </c>
      <c r="B1063" s="36">
        <v>14060</v>
      </c>
      <c r="C1063" s="7">
        <v>14070</v>
      </c>
      <c r="D1063" s="7">
        <v>14100</v>
      </c>
      <c r="E1063" s="7">
        <v>14045</v>
      </c>
      <c r="F1063" s="7">
        <v>14095</v>
      </c>
      <c r="G1063" s="34">
        <v>182</v>
      </c>
      <c r="H1063" s="35">
        <v>-65</v>
      </c>
      <c r="I1063" s="38">
        <f t="shared" si="16"/>
        <v>14065</v>
      </c>
    </row>
    <row r="1064" spans="1:9" x14ac:dyDescent="0.2">
      <c r="A1064" s="33">
        <v>43656</v>
      </c>
      <c r="B1064" s="36">
        <v>14125</v>
      </c>
      <c r="C1064" s="7">
        <v>14135</v>
      </c>
      <c r="D1064" s="7">
        <v>14150</v>
      </c>
      <c r="E1064" s="7">
        <v>14125</v>
      </c>
      <c r="F1064" s="7">
        <v>14130</v>
      </c>
      <c r="G1064" s="34">
        <v>194</v>
      </c>
      <c r="H1064" s="35">
        <v>0</v>
      </c>
      <c r="I1064" s="38">
        <f t="shared" si="16"/>
        <v>14130</v>
      </c>
    </row>
    <row r="1065" spans="1:9" x14ac:dyDescent="0.2">
      <c r="A1065" s="33">
        <v>43655</v>
      </c>
      <c r="B1065" s="36">
        <v>14125</v>
      </c>
      <c r="C1065" s="7">
        <v>14135</v>
      </c>
      <c r="D1065" s="7">
        <v>14130</v>
      </c>
      <c r="E1065" s="7">
        <v>14100</v>
      </c>
      <c r="F1065" s="7">
        <v>14100</v>
      </c>
      <c r="G1065" s="34">
        <v>185</v>
      </c>
      <c r="H1065" s="35">
        <v>20</v>
      </c>
      <c r="I1065" s="38">
        <f t="shared" si="16"/>
        <v>14130</v>
      </c>
    </row>
    <row r="1066" spans="1:9" x14ac:dyDescent="0.2">
      <c r="A1066" s="33">
        <v>43654</v>
      </c>
      <c r="B1066" s="36">
        <v>14105</v>
      </c>
      <c r="C1066" s="7">
        <v>14115</v>
      </c>
      <c r="D1066" s="7">
        <v>14150</v>
      </c>
      <c r="E1066" s="7">
        <v>14090</v>
      </c>
      <c r="F1066" s="7">
        <v>14110</v>
      </c>
      <c r="G1066" s="34">
        <v>188</v>
      </c>
      <c r="H1066" s="35">
        <v>25</v>
      </c>
      <c r="I1066" s="38">
        <f t="shared" si="16"/>
        <v>14110</v>
      </c>
    </row>
    <row r="1067" spans="1:9" x14ac:dyDescent="0.2">
      <c r="A1067" s="33">
        <v>43651</v>
      </c>
      <c r="B1067" s="36">
        <v>14080</v>
      </c>
      <c r="C1067" s="7">
        <v>14085</v>
      </c>
      <c r="D1067" s="7">
        <v>14145</v>
      </c>
      <c r="E1067" s="7">
        <v>14075</v>
      </c>
      <c r="F1067" s="7">
        <v>14135</v>
      </c>
      <c r="G1067" s="34">
        <v>106</v>
      </c>
      <c r="H1067" s="35">
        <v>-55</v>
      </c>
      <c r="I1067" s="38">
        <f t="shared" si="16"/>
        <v>14082.5</v>
      </c>
    </row>
    <row r="1068" spans="1:9" x14ac:dyDescent="0.2">
      <c r="A1068" s="33">
        <v>43650</v>
      </c>
      <c r="B1068" s="36">
        <v>14135</v>
      </c>
      <c r="C1068" s="7">
        <v>14145</v>
      </c>
      <c r="D1068" s="7">
        <v>14140</v>
      </c>
      <c r="E1068" s="7">
        <v>14095</v>
      </c>
      <c r="F1068" s="7">
        <v>14100</v>
      </c>
      <c r="G1068" s="34">
        <v>132</v>
      </c>
      <c r="H1068" s="35">
        <v>20</v>
      </c>
      <c r="I1068" s="38">
        <f t="shared" si="16"/>
        <v>14140</v>
      </c>
    </row>
    <row r="1069" spans="1:9" x14ac:dyDescent="0.2">
      <c r="A1069" s="33">
        <v>43649</v>
      </c>
      <c r="B1069" s="36">
        <v>14115</v>
      </c>
      <c r="C1069" s="7">
        <v>14120</v>
      </c>
      <c r="D1069" s="7">
        <v>14165</v>
      </c>
      <c r="E1069" s="7">
        <v>14115</v>
      </c>
      <c r="F1069" s="7">
        <v>14140</v>
      </c>
      <c r="G1069" s="34">
        <v>95</v>
      </c>
      <c r="H1069" s="35">
        <v>-20</v>
      </c>
      <c r="I1069" s="38">
        <f t="shared" si="16"/>
        <v>14117.5</v>
      </c>
    </row>
    <row r="1070" spans="1:9" x14ac:dyDescent="0.2">
      <c r="A1070" s="33">
        <v>43648</v>
      </c>
      <c r="B1070" s="36">
        <v>14135</v>
      </c>
      <c r="C1070" s="7">
        <v>14140</v>
      </c>
      <c r="D1070" s="7">
        <v>14145</v>
      </c>
      <c r="E1070" s="7">
        <v>14115</v>
      </c>
      <c r="F1070" s="7">
        <v>14115</v>
      </c>
      <c r="G1070" s="34">
        <v>113</v>
      </c>
      <c r="H1070" s="35">
        <v>25</v>
      </c>
      <c r="I1070" s="38">
        <f t="shared" si="16"/>
        <v>14137.5</v>
      </c>
    </row>
    <row r="1071" spans="1:9" x14ac:dyDescent="0.2">
      <c r="A1071" s="33">
        <v>43647</v>
      </c>
      <c r="B1071" s="36">
        <v>14110</v>
      </c>
      <c r="C1071" s="7">
        <v>14115</v>
      </c>
      <c r="D1071" s="7">
        <v>14115</v>
      </c>
      <c r="E1071" s="7">
        <v>14080</v>
      </c>
      <c r="F1071" s="7">
        <v>14080</v>
      </c>
      <c r="G1071" s="34">
        <v>119</v>
      </c>
      <c r="H1071" s="35">
        <v>-15</v>
      </c>
      <c r="I1071" s="38">
        <f t="shared" si="16"/>
        <v>14112.5</v>
      </c>
    </row>
    <row r="1072" spans="1:9" x14ac:dyDescent="0.2">
      <c r="A1072" s="33">
        <v>43644</v>
      </c>
      <c r="B1072" s="36">
        <v>14125</v>
      </c>
      <c r="C1072" s="7">
        <v>14130</v>
      </c>
      <c r="D1072" s="7">
        <v>14145</v>
      </c>
      <c r="E1072" s="7">
        <v>14095</v>
      </c>
      <c r="F1072" s="7">
        <v>14130</v>
      </c>
      <c r="G1072" s="34">
        <v>94</v>
      </c>
      <c r="H1072" s="35">
        <v>-10</v>
      </c>
      <c r="I1072" s="38">
        <f t="shared" si="16"/>
        <v>14127.5</v>
      </c>
    </row>
    <row r="1073" spans="1:9" x14ac:dyDescent="0.2">
      <c r="A1073" s="33">
        <v>43643</v>
      </c>
      <c r="B1073" s="36">
        <v>14135</v>
      </c>
      <c r="C1073" s="7">
        <v>14145</v>
      </c>
      <c r="D1073" s="7">
        <v>14180</v>
      </c>
      <c r="E1073" s="7">
        <v>14135</v>
      </c>
      <c r="F1073" s="7">
        <v>14170</v>
      </c>
      <c r="G1073" s="34">
        <v>94</v>
      </c>
      <c r="H1073" s="35">
        <v>-35</v>
      </c>
      <c r="I1073" s="38">
        <f t="shared" si="16"/>
        <v>14140</v>
      </c>
    </row>
    <row r="1074" spans="1:9" x14ac:dyDescent="0.2">
      <c r="A1074" s="33">
        <v>43642</v>
      </c>
      <c r="B1074" s="36">
        <v>14170</v>
      </c>
      <c r="C1074" s="7">
        <v>14180</v>
      </c>
      <c r="D1074" s="7">
        <v>14180</v>
      </c>
      <c r="E1074" s="7">
        <v>14130</v>
      </c>
      <c r="F1074" s="7">
        <v>14130</v>
      </c>
      <c r="G1074" s="34">
        <v>50</v>
      </c>
      <c r="H1074" s="35">
        <v>50</v>
      </c>
      <c r="I1074" s="38">
        <f t="shared" si="16"/>
        <v>14175</v>
      </c>
    </row>
    <row r="1075" spans="1:9" x14ac:dyDescent="0.2">
      <c r="A1075" s="33">
        <v>43641</v>
      </c>
      <c r="B1075" s="36">
        <v>14120</v>
      </c>
      <c r="C1075" s="7">
        <v>14130</v>
      </c>
      <c r="D1075" s="7">
        <v>14140</v>
      </c>
      <c r="E1075" s="7">
        <v>14090</v>
      </c>
      <c r="F1075" s="7">
        <v>14135</v>
      </c>
      <c r="G1075" s="34">
        <v>105</v>
      </c>
      <c r="H1075" s="35">
        <v>-15</v>
      </c>
      <c r="I1075" s="38">
        <f t="shared" si="16"/>
        <v>14125</v>
      </c>
    </row>
    <row r="1076" spans="1:9" x14ac:dyDescent="0.2">
      <c r="A1076" s="33">
        <v>43640</v>
      </c>
      <c r="B1076" s="36">
        <v>14135</v>
      </c>
      <c r="C1076" s="7">
        <v>14145</v>
      </c>
      <c r="D1076" s="7">
        <v>14170</v>
      </c>
      <c r="E1076" s="7">
        <v>14130</v>
      </c>
      <c r="F1076" s="7">
        <v>14130</v>
      </c>
      <c r="G1076" s="34">
        <v>37</v>
      </c>
      <c r="H1076" s="35">
        <v>-15</v>
      </c>
      <c r="I1076" s="38">
        <f t="shared" si="16"/>
        <v>14140</v>
      </c>
    </row>
    <row r="1077" spans="1:9" x14ac:dyDescent="0.2">
      <c r="A1077" s="33">
        <v>43637</v>
      </c>
      <c r="B1077" s="36">
        <v>14150</v>
      </c>
      <c r="C1077" s="7">
        <v>14160</v>
      </c>
      <c r="D1077" s="7">
        <v>14165</v>
      </c>
      <c r="E1077" s="7">
        <v>14075</v>
      </c>
      <c r="F1077" s="7">
        <v>14120</v>
      </c>
      <c r="G1077" s="34">
        <v>85</v>
      </c>
      <c r="H1077" s="35">
        <v>-30</v>
      </c>
      <c r="I1077" s="38">
        <f t="shared" si="16"/>
        <v>14155</v>
      </c>
    </row>
    <row r="1078" spans="1:9" x14ac:dyDescent="0.2">
      <c r="A1078" s="33">
        <v>43636</v>
      </c>
      <c r="B1078" s="36">
        <v>14180</v>
      </c>
      <c r="C1078" s="7">
        <v>14185</v>
      </c>
      <c r="D1078" s="7">
        <v>14250</v>
      </c>
      <c r="E1078" s="7">
        <v>14170</v>
      </c>
      <c r="F1078" s="7">
        <v>14240</v>
      </c>
      <c r="G1078" s="34">
        <v>188</v>
      </c>
      <c r="H1078" s="35">
        <v>-85</v>
      </c>
      <c r="I1078" s="38">
        <f t="shared" si="16"/>
        <v>14182.5</v>
      </c>
    </row>
    <row r="1079" spans="1:9" x14ac:dyDescent="0.2">
      <c r="A1079" s="33">
        <v>43635</v>
      </c>
      <c r="B1079" s="36">
        <v>14265</v>
      </c>
      <c r="C1079" s="7">
        <v>14274</v>
      </c>
      <c r="D1079" s="7">
        <v>14275</v>
      </c>
      <c r="E1079" s="7">
        <v>14255</v>
      </c>
      <c r="F1079" s="7">
        <v>14260</v>
      </c>
      <c r="G1079" s="34">
        <v>74</v>
      </c>
      <c r="H1079" s="35">
        <v>-55</v>
      </c>
      <c r="I1079" s="38">
        <f t="shared" si="16"/>
        <v>14269.5</v>
      </c>
    </row>
    <row r="1080" spans="1:9" x14ac:dyDescent="0.2">
      <c r="A1080" s="33">
        <v>43634</v>
      </c>
      <c r="B1080" s="36">
        <v>14320</v>
      </c>
      <c r="C1080" s="7">
        <v>14325</v>
      </c>
      <c r="D1080" s="7">
        <v>14340</v>
      </c>
      <c r="E1080" s="7">
        <v>14315</v>
      </c>
      <c r="F1080" s="7">
        <v>14330</v>
      </c>
      <c r="G1080" s="34">
        <v>110</v>
      </c>
      <c r="H1080" s="35">
        <v>-10</v>
      </c>
      <c r="I1080" s="38">
        <f t="shared" si="16"/>
        <v>14322.5</v>
      </c>
    </row>
    <row r="1081" spans="1:9" x14ac:dyDescent="0.2">
      <c r="A1081" s="33">
        <v>43633</v>
      </c>
      <c r="B1081" s="36">
        <v>14330</v>
      </c>
      <c r="C1081" s="7">
        <v>14340</v>
      </c>
      <c r="D1081" s="7">
        <v>14350</v>
      </c>
      <c r="E1081" s="7">
        <v>14325</v>
      </c>
      <c r="F1081" s="7">
        <v>14325</v>
      </c>
      <c r="G1081" s="34">
        <v>74</v>
      </c>
      <c r="H1081" s="35">
        <v>10</v>
      </c>
      <c r="I1081" s="38">
        <f t="shared" si="16"/>
        <v>14335</v>
      </c>
    </row>
    <row r="1082" spans="1:9" x14ac:dyDescent="0.2">
      <c r="A1082" s="33">
        <v>43630</v>
      </c>
      <c r="B1082" s="36">
        <v>14320</v>
      </c>
      <c r="C1082" s="7">
        <v>14330</v>
      </c>
      <c r="D1082" s="7">
        <v>14325</v>
      </c>
      <c r="E1082" s="7">
        <v>14270</v>
      </c>
      <c r="F1082" s="7">
        <v>14270</v>
      </c>
      <c r="G1082" s="34">
        <v>35</v>
      </c>
      <c r="H1082" s="35">
        <v>45</v>
      </c>
      <c r="I1082" s="38">
        <f t="shared" si="16"/>
        <v>14325</v>
      </c>
    </row>
    <row r="1083" spans="1:9" x14ac:dyDescent="0.2">
      <c r="A1083" s="33">
        <v>43629</v>
      </c>
      <c r="B1083" s="36">
        <v>14275</v>
      </c>
      <c r="C1083" s="7">
        <v>14285</v>
      </c>
      <c r="D1083" s="7">
        <v>14275</v>
      </c>
      <c r="E1083" s="7">
        <v>14230</v>
      </c>
      <c r="F1083" s="7">
        <v>14230</v>
      </c>
      <c r="G1083" s="34">
        <v>21</v>
      </c>
      <c r="H1083" s="35">
        <v>45</v>
      </c>
      <c r="I1083" s="38">
        <f t="shared" si="16"/>
        <v>14280</v>
      </c>
    </row>
    <row r="1084" spans="1:9" x14ac:dyDescent="0.2">
      <c r="A1084" s="33">
        <v>43628</v>
      </c>
      <c r="B1084" s="36">
        <v>14230</v>
      </c>
      <c r="C1084" s="7">
        <v>14240</v>
      </c>
      <c r="D1084" s="7">
        <v>14260</v>
      </c>
      <c r="E1084" s="7">
        <v>14215</v>
      </c>
      <c r="F1084" s="7">
        <v>14220</v>
      </c>
      <c r="G1084" s="34">
        <v>92</v>
      </c>
      <c r="H1084" s="35">
        <v>-5</v>
      </c>
      <c r="I1084" s="38">
        <f t="shared" si="16"/>
        <v>14235</v>
      </c>
    </row>
    <row r="1085" spans="1:9" x14ac:dyDescent="0.2">
      <c r="A1085" s="33">
        <v>43627</v>
      </c>
      <c r="B1085" s="36">
        <v>14235</v>
      </c>
      <c r="C1085" s="7">
        <v>14240</v>
      </c>
      <c r="D1085" s="7">
        <v>14258</v>
      </c>
      <c r="E1085" s="7">
        <v>14230</v>
      </c>
      <c r="F1085" s="7">
        <v>14240</v>
      </c>
      <c r="G1085" s="34">
        <v>50</v>
      </c>
      <c r="H1085" s="35">
        <v>-10</v>
      </c>
      <c r="I1085" s="38">
        <f t="shared" si="16"/>
        <v>14237.5</v>
      </c>
    </row>
    <row r="1086" spans="1:9" x14ac:dyDescent="0.2">
      <c r="A1086" s="33">
        <v>43626</v>
      </c>
      <c r="B1086" s="36">
        <v>14245</v>
      </c>
      <c r="C1086" s="7">
        <v>14255</v>
      </c>
      <c r="D1086" s="7">
        <v>14255</v>
      </c>
      <c r="E1086" s="7">
        <v>14200</v>
      </c>
      <c r="F1086" s="7">
        <v>14200</v>
      </c>
      <c r="G1086" s="34">
        <v>27</v>
      </c>
      <c r="H1086" s="35">
        <v>-25</v>
      </c>
      <c r="I1086" s="38">
        <f t="shared" si="16"/>
        <v>14250</v>
      </c>
    </row>
    <row r="1087" spans="1:9" x14ac:dyDescent="0.2">
      <c r="A1087" s="33">
        <v>43623</v>
      </c>
      <c r="B1087" s="36">
        <v>14270</v>
      </c>
      <c r="C1087" s="7">
        <v>14280</v>
      </c>
      <c r="D1087" s="7"/>
      <c r="E1087" s="7"/>
      <c r="F1087" s="7"/>
      <c r="G1087" s="34"/>
      <c r="H1087" s="35">
        <v>0</v>
      </c>
      <c r="I1087" s="38">
        <f t="shared" si="16"/>
        <v>14275</v>
      </c>
    </row>
    <row r="1088" spans="1:9" x14ac:dyDescent="0.2">
      <c r="A1088" s="33">
        <v>43622</v>
      </c>
      <c r="B1088" s="36">
        <v>14270</v>
      </c>
      <c r="C1088" s="7">
        <v>14280</v>
      </c>
      <c r="D1088" s="7"/>
      <c r="E1088" s="7"/>
      <c r="F1088" s="7"/>
      <c r="G1088" s="34"/>
      <c r="H1088" s="35">
        <v>0</v>
      </c>
      <c r="I1088" s="38">
        <f t="shared" si="16"/>
        <v>14275</v>
      </c>
    </row>
    <row r="1089" spans="1:9" x14ac:dyDescent="0.2">
      <c r="A1089" s="33">
        <v>43621</v>
      </c>
      <c r="B1089" s="36">
        <v>14270</v>
      </c>
      <c r="C1089" s="7">
        <v>14280</v>
      </c>
      <c r="D1089" s="7"/>
      <c r="E1089" s="7"/>
      <c r="F1089" s="7"/>
      <c r="G1089" s="34"/>
      <c r="H1089" s="35">
        <v>0</v>
      </c>
      <c r="I1089" s="38">
        <f t="shared" si="16"/>
        <v>14275</v>
      </c>
    </row>
    <row r="1090" spans="1:9" x14ac:dyDescent="0.2">
      <c r="A1090" s="33">
        <v>43620</v>
      </c>
      <c r="B1090" s="36">
        <v>14270</v>
      </c>
      <c r="C1090" s="7">
        <v>14280</v>
      </c>
      <c r="D1090" s="7"/>
      <c r="E1090" s="7"/>
      <c r="F1090" s="7"/>
      <c r="G1090" s="34"/>
      <c r="H1090" s="35">
        <v>0</v>
      </c>
      <c r="I1090" s="38">
        <f t="shared" si="16"/>
        <v>14275</v>
      </c>
    </row>
    <row r="1091" spans="1:9" x14ac:dyDescent="0.2">
      <c r="A1091" s="33">
        <v>43619</v>
      </c>
      <c r="B1091" s="36">
        <v>14270</v>
      </c>
      <c r="C1091" s="7">
        <v>14280</v>
      </c>
      <c r="D1091" s="7"/>
      <c r="E1091" s="7"/>
      <c r="F1091" s="7"/>
      <c r="G1091" s="34"/>
      <c r="H1091" s="35">
        <v>0</v>
      </c>
      <c r="I1091" s="38">
        <f t="shared" si="16"/>
        <v>14275</v>
      </c>
    </row>
    <row r="1092" spans="1:9" x14ac:dyDescent="0.2">
      <c r="A1092" s="33">
        <v>43616</v>
      </c>
      <c r="B1092" s="36">
        <v>14270</v>
      </c>
      <c r="C1092" s="7">
        <v>14280</v>
      </c>
      <c r="D1092" s="7">
        <v>14380</v>
      </c>
      <c r="E1092" s="7">
        <v>14250</v>
      </c>
      <c r="F1092" s="7">
        <v>14375</v>
      </c>
      <c r="G1092" s="34">
        <v>58</v>
      </c>
      <c r="H1092" s="35">
        <v>-125</v>
      </c>
      <c r="I1092" s="38">
        <f t="shared" si="16"/>
        <v>14275</v>
      </c>
    </row>
    <row r="1093" spans="1:9" x14ac:dyDescent="0.2">
      <c r="A1093" s="33">
        <v>43615</v>
      </c>
      <c r="B1093" s="36">
        <v>14395</v>
      </c>
      <c r="C1093" s="7">
        <v>14405</v>
      </c>
      <c r="D1093" s="7"/>
      <c r="E1093" s="7"/>
      <c r="F1093" s="7"/>
      <c r="G1093" s="34"/>
      <c r="H1093" s="35">
        <v>0</v>
      </c>
      <c r="I1093" s="38">
        <f t="shared" si="16"/>
        <v>14400</v>
      </c>
    </row>
    <row r="1094" spans="1:9" x14ac:dyDescent="0.2">
      <c r="A1094" s="33">
        <v>43614</v>
      </c>
      <c r="B1094" s="36">
        <v>14395</v>
      </c>
      <c r="C1094" s="7">
        <v>14405</v>
      </c>
      <c r="D1094" s="7">
        <v>14430</v>
      </c>
      <c r="E1094" s="7">
        <v>14380</v>
      </c>
      <c r="F1094" s="7">
        <v>14380</v>
      </c>
      <c r="G1094" s="34">
        <v>44</v>
      </c>
      <c r="H1094" s="35">
        <v>25</v>
      </c>
      <c r="I1094" s="38">
        <f t="shared" si="16"/>
        <v>14400</v>
      </c>
    </row>
    <row r="1095" spans="1:9" x14ac:dyDescent="0.2">
      <c r="A1095" s="33">
        <v>43613</v>
      </c>
      <c r="B1095" s="36">
        <v>14370</v>
      </c>
      <c r="C1095" s="7">
        <v>14380</v>
      </c>
      <c r="D1095" s="7">
        <v>14385</v>
      </c>
      <c r="E1095" s="7">
        <v>14360</v>
      </c>
      <c r="F1095" s="7">
        <v>14360</v>
      </c>
      <c r="G1095" s="34">
        <v>58</v>
      </c>
      <c r="H1095" s="35">
        <v>-5</v>
      </c>
      <c r="I1095" s="38">
        <f t="shared" si="16"/>
        <v>14375</v>
      </c>
    </row>
    <row r="1096" spans="1:9" x14ac:dyDescent="0.2">
      <c r="A1096" s="33">
        <v>43612</v>
      </c>
      <c r="B1096" s="36">
        <v>14375</v>
      </c>
      <c r="C1096" s="7">
        <v>14385</v>
      </c>
      <c r="D1096" s="7">
        <v>14385</v>
      </c>
      <c r="E1096" s="7">
        <v>14340</v>
      </c>
      <c r="F1096" s="7">
        <v>14350</v>
      </c>
      <c r="G1096" s="34">
        <v>45</v>
      </c>
      <c r="H1096" s="35">
        <v>-10</v>
      </c>
      <c r="I1096" s="38">
        <f t="shared" si="16"/>
        <v>14380</v>
      </c>
    </row>
    <row r="1097" spans="1:9" x14ac:dyDescent="0.2">
      <c r="A1097" s="33">
        <v>43609</v>
      </c>
      <c r="B1097" s="36">
        <v>14385</v>
      </c>
      <c r="C1097" s="7">
        <v>14400</v>
      </c>
      <c r="D1097" s="7">
        <v>14465</v>
      </c>
      <c r="E1097" s="7">
        <v>14385</v>
      </c>
      <c r="F1097" s="7">
        <v>14435</v>
      </c>
      <c r="G1097" s="34">
        <v>154</v>
      </c>
      <c r="H1097" s="35">
        <v>-70</v>
      </c>
      <c r="I1097" s="38">
        <f t="shared" si="16"/>
        <v>14392.5</v>
      </c>
    </row>
    <row r="1098" spans="1:9" x14ac:dyDescent="0.2">
      <c r="A1098" s="33">
        <v>43608</v>
      </c>
      <c r="B1098" s="36">
        <v>14455</v>
      </c>
      <c r="C1098" s="7">
        <v>14465</v>
      </c>
      <c r="D1098" s="7">
        <v>14520</v>
      </c>
      <c r="E1098" s="7">
        <v>14450</v>
      </c>
      <c r="F1098" s="7">
        <v>14505</v>
      </c>
      <c r="G1098" s="34">
        <v>119</v>
      </c>
      <c r="H1098" s="35">
        <v>-65</v>
      </c>
      <c r="I1098" s="38">
        <f t="shared" si="16"/>
        <v>14460</v>
      </c>
    </row>
    <row r="1099" spans="1:9" x14ac:dyDescent="0.2">
      <c r="A1099" s="33">
        <v>43607</v>
      </c>
      <c r="B1099" s="36">
        <v>14520</v>
      </c>
      <c r="C1099" s="7">
        <v>14530</v>
      </c>
      <c r="D1099" s="7">
        <v>14525</v>
      </c>
      <c r="E1099" s="7">
        <v>14465</v>
      </c>
      <c r="F1099" s="7">
        <v>14465</v>
      </c>
      <c r="G1099" s="34">
        <v>53</v>
      </c>
      <c r="H1099" s="35">
        <v>45</v>
      </c>
      <c r="I1099" s="38">
        <f t="shared" si="16"/>
        <v>14525</v>
      </c>
    </row>
    <row r="1100" spans="1:9" x14ac:dyDescent="0.2">
      <c r="A1100" s="33">
        <v>43606</v>
      </c>
      <c r="B1100" s="36">
        <v>14475</v>
      </c>
      <c r="C1100" s="7">
        <v>14485</v>
      </c>
      <c r="D1100" s="7">
        <v>14475</v>
      </c>
      <c r="E1100" s="7">
        <v>14450</v>
      </c>
      <c r="F1100" s="7">
        <v>14450</v>
      </c>
      <c r="G1100" s="34">
        <v>33</v>
      </c>
      <c r="H1100" s="35">
        <v>25</v>
      </c>
      <c r="I1100" s="38">
        <f t="shared" si="16"/>
        <v>14480</v>
      </c>
    </row>
    <row r="1101" spans="1:9" x14ac:dyDescent="0.2">
      <c r="A1101" s="33">
        <v>43605</v>
      </c>
      <c r="B1101" s="36">
        <v>14450</v>
      </c>
      <c r="C1101" s="7">
        <v>14460</v>
      </c>
      <c r="D1101" s="7">
        <v>14455</v>
      </c>
      <c r="E1101" s="7">
        <v>14445</v>
      </c>
      <c r="F1101" s="7">
        <v>14445</v>
      </c>
      <c r="G1101" s="34">
        <v>13</v>
      </c>
      <c r="H1101" s="35">
        <v>5</v>
      </c>
      <c r="I1101" s="38">
        <f t="shared" si="16"/>
        <v>14455</v>
      </c>
    </row>
    <row r="1102" spans="1:9" x14ac:dyDescent="0.2">
      <c r="A1102" s="33">
        <v>43602</v>
      </c>
      <c r="B1102" s="36">
        <v>14445</v>
      </c>
      <c r="C1102" s="7">
        <v>14455</v>
      </c>
      <c r="D1102" s="7">
        <v>14470</v>
      </c>
      <c r="E1102" s="7">
        <v>14440</v>
      </c>
      <c r="F1102" s="7">
        <v>14455</v>
      </c>
      <c r="G1102" s="34">
        <v>76</v>
      </c>
      <c r="H1102" s="35">
        <v>0</v>
      </c>
      <c r="I1102" s="38">
        <f t="shared" si="16"/>
        <v>14450</v>
      </c>
    </row>
    <row r="1103" spans="1:9" x14ac:dyDescent="0.2">
      <c r="A1103" s="33">
        <v>43601</v>
      </c>
      <c r="B1103" s="36">
        <v>14445</v>
      </c>
      <c r="C1103" s="7">
        <v>14455</v>
      </c>
      <c r="D1103" s="7">
        <v>14470</v>
      </c>
      <c r="E1103" s="7">
        <v>14435</v>
      </c>
      <c r="F1103" s="7">
        <v>14450</v>
      </c>
      <c r="G1103" s="34">
        <v>112</v>
      </c>
      <c r="H1103" s="35">
        <v>-10</v>
      </c>
      <c r="I1103" s="38">
        <f t="shared" si="16"/>
        <v>14450</v>
      </c>
    </row>
    <row r="1104" spans="1:9" x14ac:dyDescent="0.2">
      <c r="A1104" s="33">
        <v>43600</v>
      </c>
      <c r="B1104" s="36">
        <v>14455</v>
      </c>
      <c r="C1104" s="7">
        <v>14465</v>
      </c>
      <c r="D1104" s="7">
        <v>14460</v>
      </c>
      <c r="E1104" s="7">
        <v>14435</v>
      </c>
      <c r="F1104" s="7">
        <v>14440</v>
      </c>
      <c r="G1104" s="34">
        <v>93</v>
      </c>
      <c r="H1104" s="35">
        <v>30</v>
      </c>
      <c r="I1104" s="38">
        <f t="shared" si="16"/>
        <v>14460</v>
      </c>
    </row>
    <row r="1105" spans="1:9" x14ac:dyDescent="0.2">
      <c r="A1105" s="33">
        <v>43599</v>
      </c>
      <c r="B1105" s="36">
        <v>14425</v>
      </c>
      <c r="C1105" s="7">
        <v>14435</v>
      </c>
      <c r="D1105" s="7">
        <v>14455</v>
      </c>
      <c r="E1105" s="7">
        <v>14415</v>
      </c>
      <c r="F1105" s="7">
        <v>14415</v>
      </c>
      <c r="G1105" s="34">
        <v>60</v>
      </c>
      <c r="H1105" s="35">
        <v>15</v>
      </c>
      <c r="I1105" s="38">
        <f t="shared" si="16"/>
        <v>14430</v>
      </c>
    </row>
    <row r="1106" spans="1:9" x14ac:dyDescent="0.2">
      <c r="A1106" s="33">
        <v>43598</v>
      </c>
      <c r="B1106" s="36">
        <v>14410</v>
      </c>
      <c r="C1106" s="7">
        <v>14420</v>
      </c>
      <c r="D1106" s="7">
        <v>14437</v>
      </c>
      <c r="E1106" s="7">
        <v>14330</v>
      </c>
      <c r="F1106" s="7">
        <v>14330</v>
      </c>
      <c r="G1106" s="34">
        <v>81</v>
      </c>
      <c r="H1106" s="35">
        <v>90</v>
      </c>
      <c r="I1106" s="38">
        <f t="shared" si="16"/>
        <v>14415</v>
      </c>
    </row>
    <row r="1107" spans="1:9" x14ac:dyDescent="0.2">
      <c r="A1107" s="33">
        <v>43595</v>
      </c>
      <c r="B1107" s="36">
        <v>14320</v>
      </c>
      <c r="C1107" s="7">
        <v>14330</v>
      </c>
      <c r="D1107" s="7">
        <v>14365</v>
      </c>
      <c r="E1107" s="7">
        <v>14320</v>
      </c>
      <c r="F1107" s="7">
        <v>14320</v>
      </c>
      <c r="G1107" s="34">
        <v>100</v>
      </c>
      <c r="H1107" s="35">
        <v>-25</v>
      </c>
      <c r="I1107" s="38">
        <f t="shared" si="16"/>
        <v>14325</v>
      </c>
    </row>
    <row r="1108" spans="1:9" x14ac:dyDescent="0.2">
      <c r="A1108" s="33">
        <v>43594</v>
      </c>
      <c r="B1108" s="36">
        <v>14345</v>
      </c>
      <c r="C1108" s="7">
        <v>14355</v>
      </c>
      <c r="D1108" s="7">
        <v>14370</v>
      </c>
      <c r="E1108" s="7">
        <v>14295</v>
      </c>
      <c r="F1108" s="7">
        <v>14295</v>
      </c>
      <c r="G1108" s="34">
        <v>87</v>
      </c>
      <c r="H1108" s="35">
        <v>55</v>
      </c>
      <c r="I1108" s="38">
        <f t="shared" si="16"/>
        <v>14350</v>
      </c>
    </row>
    <row r="1109" spans="1:9" x14ac:dyDescent="0.2">
      <c r="A1109" s="33">
        <v>43593</v>
      </c>
      <c r="B1109" s="36">
        <v>14290</v>
      </c>
      <c r="C1109" s="7">
        <v>14300</v>
      </c>
      <c r="D1109" s="7">
        <v>14310</v>
      </c>
      <c r="E1109" s="7">
        <v>14285</v>
      </c>
      <c r="F1109" s="7">
        <v>14285</v>
      </c>
      <c r="G1109" s="34">
        <v>125</v>
      </c>
      <c r="H1109" s="35">
        <v>15</v>
      </c>
      <c r="I1109" s="38">
        <f t="shared" si="16"/>
        <v>14295</v>
      </c>
    </row>
    <row r="1110" spans="1:9" x14ac:dyDescent="0.2">
      <c r="A1110" s="33">
        <v>43592</v>
      </c>
      <c r="B1110" s="36">
        <v>14275</v>
      </c>
      <c r="C1110" s="7">
        <v>14285</v>
      </c>
      <c r="D1110" s="7">
        <v>14315</v>
      </c>
      <c r="E1110" s="7">
        <v>14260</v>
      </c>
      <c r="F1110" s="7">
        <v>14285</v>
      </c>
      <c r="G1110" s="34">
        <v>138</v>
      </c>
      <c r="H1110" s="35">
        <v>-15</v>
      </c>
      <c r="I1110" s="38">
        <f t="shared" si="16"/>
        <v>14280</v>
      </c>
    </row>
    <row r="1111" spans="1:9" x14ac:dyDescent="0.2">
      <c r="A1111" s="33">
        <v>43591</v>
      </c>
      <c r="B1111" s="36">
        <v>14290</v>
      </c>
      <c r="C1111" s="7">
        <v>14295</v>
      </c>
      <c r="D1111" s="7">
        <v>14330</v>
      </c>
      <c r="E1111" s="7">
        <v>14270</v>
      </c>
      <c r="F1111" s="7">
        <v>14270</v>
      </c>
      <c r="G1111" s="34">
        <v>66</v>
      </c>
      <c r="H1111" s="35">
        <v>40</v>
      </c>
      <c r="I1111" s="38">
        <f t="shared" si="16"/>
        <v>14292.5</v>
      </c>
    </row>
    <row r="1112" spans="1:9" x14ac:dyDescent="0.2">
      <c r="A1112" s="33">
        <v>43588</v>
      </c>
      <c r="B1112" s="36">
        <v>14250</v>
      </c>
      <c r="C1112" s="7">
        <v>14260</v>
      </c>
      <c r="D1112" s="7">
        <v>14282</v>
      </c>
      <c r="E1112" s="7">
        <v>14250</v>
      </c>
      <c r="F1112" s="7">
        <v>14250</v>
      </c>
      <c r="G1112" s="34">
        <v>93</v>
      </c>
      <c r="H1112" s="35">
        <v>5</v>
      </c>
      <c r="I1112" s="38">
        <f t="shared" si="16"/>
        <v>14255</v>
      </c>
    </row>
    <row r="1113" spans="1:9" x14ac:dyDescent="0.2">
      <c r="A1113" s="33">
        <v>43587</v>
      </c>
      <c r="B1113" s="36">
        <v>14245</v>
      </c>
      <c r="C1113" s="7">
        <v>14255</v>
      </c>
      <c r="D1113" s="7">
        <v>14265</v>
      </c>
      <c r="E1113" s="7">
        <v>14200</v>
      </c>
      <c r="F1113" s="7">
        <v>14200</v>
      </c>
      <c r="G1113" s="34">
        <v>70</v>
      </c>
      <c r="H1113" s="35">
        <v>0</v>
      </c>
      <c r="I1113" s="38">
        <f t="shared" si="16"/>
        <v>14250</v>
      </c>
    </row>
    <row r="1114" spans="1:9" x14ac:dyDescent="0.2">
      <c r="A1114" s="33">
        <v>43586</v>
      </c>
      <c r="B1114" s="36">
        <v>14245</v>
      </c>
      <c r="C1114" s="7">
        <v>14255</v>
      </c>
      <c r="D1114" s="7"/>
      <c r="E1114" s="7"/>
      <c r="F1114" s="7"/>
      <c r="G1114" s="34"/>
      <c r="H1114" s="35">
        <v>0</v>
      </c>
      <c r="I1114" s="38">
        <f t="shared" si="16"/>
        <v>14250</v>
      </c>
    </row>
    <row r="1115" spans="1:9" x14ac:dyDescent="0.2">
      <c r="A1115" s="33">
        <v>43585</v>
      </c>
      <c r="B1115" s="36">
        <v>14245</v>
      </c>
      <c r="C1115" s="7">
        <v>14255</v>
      </c>
      <c r="D1115" s="7">
        <v>14260</v>
      </c>
      <c r="E1115" s="7">
        <v>14190</v>
      </c>
      <c r="F1115" s="7">
        <v>14190</v>
      </c>
      <c r="G1115" s="34">
        <v>107</v>
      </c>
      <c r="H1115" s="35">
        <v>50</v>
      </c>
      <c r="I1115" s="38">
        <f t="shared" si="16"/>
        <v>14250</v>
      </c>
    </row>
    <row r="1116" spans="1:9" x14ac:dyDescent="0.2">
      <c r="A1116" s="33">
        <v>43584</v>
      </c>
      <c r="B1116" s="36">
        <v>14195</v>
      </c>
      <c r="C1116" s="7">
        <v>14205</v>
      </c>
      <c r="D1116" s="7">
        <v>14212</v>
      </c>
      <c r="E1116" s="7">
        <v>14175</v>
      </c>
      <c r="F1116" s="7">
        <v>14185</v>
      </c>
      <c r="G1116" s="34">
        <v>74</v>
      </c>
      <c r="H1116" s="35">
        <v>15</v>
      </c>
      <c r="I1116" s="38">
        <f t="shared" si="16"/>
        <v>14200</v>
      </c>
    </row>
    <row r="1117" spans="1:9" x14ac:dyDescent="0.2">
      <c r="A1117" s="33">
        <v>43581</v>
      </c>
      <c r="B1117" s="36">
        <v>14180</v>
      </c>
      <c r="C1117" s="7">
        <v>14195</v>
      </c>
      <c r="D1117" s="7">
        <v>14195</v>
      </c>
      <c r="E1117" s="7">
        <v>14165</v>
      </c>
      <c r="F1117" s="7">
        <v>14185</v>
      </c>
      <c r="G1117" s="34">
        <v>89</v>
      </c>
      <c r="H1117" s="35">
        <v>0</v>
      </c>
      <c r="I1117" s="38">
        <f t="shared" si="16"/>
        <v>14187.5</v>
      </c>
    </row>
    <row r="1118" spans="1:9" x14ac:dyDescent="0.2">
      <c r="A1118" s="33">
        <v>43580</v>
      </c>
      <c r="B1118" s="36">
        <v>14180</v>
      </c>
      <c r="C1118" s="7">
        <v>14190</v>
      </c>
      <c r="D1118" s="7">
        <v>14185</v>
      </c>
      <c r="E1118" s="7">
        <v>14090</v>
      </c>
      <c r="F1118" s="7">
        <v>14090</v>
      </c>
      <c r="G1118" s="34">
        <v>78</v>
      </c>
      <c r="H1118" s="35">
        <v>90</v>
      </c>
      <c r="I1118" s="38">
        <f t="shared" si="16"/>
        <v>14185</v>
      </c>
    </row>
    <row r="1119" spans="1:9" x14ac:dyDescent="0.2">
      <c r="A1119" s="33">
        <v>43579</v>
      </c>
      <c r="B1119" s="36">
        <v>14090</v>
      </c>
      <c r="C1119" s="7">
        <v>14100</v>
      </c>
      <c r="D1119" s="7">
        <v>14125</v>
      </c>
      <c r="E1119" s="7">
        <v>14085</v>
      </c>
      <c r="F1119" s="7">
        <v>14085</v>
      </c>
      <c r="G1119" s="34">
        <v>87</v>
      </c>
      <c r="H1119" s="35">
        <v>20</v>
      </c>
      <c r="I1119" s="38">
        <f t="shared" si="16"/>
        <v>14095</v>
      </c>
    </row>
    <row r="1120" spans="1:9" x14ac:dyDescent="0.2">
      <c r="A1120" s="33">
        <v>43578</v>
      </c>
      <c r="B1120" s="36">
        <v>14070</v>
      </c>
      <c r="C1120" s="7">
        <v>14080</v>
      </c>
      <c r="D1120" s="7">
        <v>14085</v>
      </c>
      <c r="E1120" s="7">
        <v>14060</v>
      </c>
      <c r="F1120" s="7">
        <v>14060</v>
      </c>
      <c r="G1120" s="34">
        <v>116</v>
      </c>
      <c r="H1120" s="35">
        <v>0</v>
      </c>
      <c r="I1120" s="38">
        <f t="shared" ref="I1120:I1183" si="17">+(B1120+C1120)*0.5</f>
        <v>14075</v>
      </c>
    </row>
    <row r="1121" spans="1:9" x14ac:dyDescent="0.2">
      <c r="A1121" s="33">
        <v>43577</v>
      </c>
      <c r="B1121" s="36">
        <v>14070</v>
      </c>
      <c r="C1121" s="7">
        <v>14080</v>
      </c>
      <c r="D1121" s="7">
        <v>14092</v>
      </c>
      <c r="E1121" s="7">
        <v>14040</v>
      </c>
      <c r="F1121" s="7">
        <v>14040</v>
      </c>
      <c r="G1121" s="34">
        <v>93</v>
      </c>
      <c r="H1121" s="35">
        <v>30</v>
      </c>
      <c r="I1121" s="38">
        <f t="shared" si="17"/>
        <v>14075</v>
      </c>
    </row>
    <row r="1122" spans="1:9" x14ac:dyDescent="0.2">
      <c r="A1122" s="33">
        <v>43574</v>
      </c>
      <c r="B1122" s="36">
        <v>14040</v>
      </c>
      <c r="C1122" s="7">
        <v>14045</v>
      </c>
      <c r="D1122" s="7"/>
      <c r="E1122" s="7"/>
      <c r="F1122" s="7"/>
      <c r="G1122" s="34"/>
      <c r="H1122" s="35">
        <v>0</v>
      </c>
      <c r="I1122" s="38">
        <f t="shared" si="17"/>
        <v>14042.5</v>
      </c>
    </row>
    <row r="1123" spans="1:9" x14ac:dyDescent="0.2">
      <c r="A1123" s="33">
        <v>43573</v>
      </c>
      <c r="B1123" s="36">
        <v>14040</v>
      </c>
      <c r="C1123" s="7">
        <v>14045</v>
      </c>
      <c r="D1123" s="7">
        <v>14045</v>
      </c>
      <c r="E1123" s="7">
        <v>13990</v>
      </c>
      <c r="F1123" s="7">
        <v>14000</v>
      </c>
      <c r="G1123" s="34">
        <v>49</v>
      </c>
      <c r="H1123" s="35">
        <v>-40</v>
      </c>
      <c r="I1123" s="38">
        <f t="shared" si="17"/>
        <v>14042.5</v>
      </c>
    </row>
    <row r="1124" spans="1:9" x14ac:dyDescent="0.2">
      <c r="A1124" s="33">
        <v>43572</v>
      </c>
      <c r="B1124" s="36">
        <v>14080</v>
      </c>
      <c r="C1124" s="7">
        <v>14090</v>
      </c>
      <c r="D1124" s="7"/>
      <c r="E1124" s="7"/>
      <c r="F1124" s="7"/>
      <c r="G1124" s="34"/>
      <c r="H1124" s="35">
        <v>0</v>
      </c>
      <c r="I1124" s="38">
        <f t="shared" si="17"/>
        <v>14085</v>
      </c>
    </row>
    <row r="1125" spans="1:9" x14ac:dyDescent="0.2">
      <c r="A1125" s="33">
        <v>43571</v>
      </c>
      <c r="B1125" s="36">
        <v>14080</v>
      </c>
      <c r="C1125" s="7">
        <v>14090</v>
      </c>
      <c r="D1125" s="7">
        <v>14080</v>
      </c>
      <c r="E1125" s="7">
        <v>14055</v>
      </c>
      <c r="F1125" s="7">
        <v>14055</v>
      </c>
      <c r="G1125" s="34">
        <v>44</v>
      </c>
      <c r="H1125" s="35">
        <v>25</v>
      </c>
      <c r="I1125" s="38">
        <f t="shared" si="17"/>
        <v>14085</v>
      </c>
    </row>
    <row r="1126" spans="1:9" x14ac:dyDescent="0.2">
      <c r="A1126" s="33">
        <v>43570</v>
      </c>
      <c r="B1126" s="36">
        <v>14055</v>
      </c>
      <c r="C1126" s="7">
        <v>14065</v>
      </c>
      <c r="D1126" s="7">
        <v>14080</v>
      </c>
      <c r="E1126" s="7">
        <v>14055</v>
      </c>
      <c r="F1126" s="7">
        <v>14080</v>
      </c>
      <c r="G1126" s="34">
        <v>61</v>
      </c>
      <c r="H1126" s="35">
        <v>-35</v>
      </c>
      <c r="I1126" s="38">
        <f t="shared" si="17"/>
        <v>14060</v>
      </c>
    </row>
    <row r="1127" spans="1:9" x14ac:dyDescent="0.2">
      <c r="A1127" s="33">
        <v>43567</v>
      </c>
      <c r="B1127" s="36">
        <v>14090</v>
      </c>
      <c r="C1127" s="7">
        <v>14095</v>
      </c>
      <c r="D1127" s="7">
        <v>14150</v>
      </c>
      <c r="E1127" s="7">
        <v>14090</v>
      </c>
      <c r="F1127" s="7">
        <v>14140</v>
      </c>
      <c r="G1127" s="34">
        <v>72</v>
      </c>
      <c r="H1127" s="35">
        <v>-40</v>
      </c>
      <c r="I1127" s="38">
        <f t="shared" si="17"/>
        <v>14092.5</v>
      </c>
    </row>
    <row r="1128" spans="1:9" x14ac:dyDescent="0.2">
      <c r="A1128" s="33">
        <v>43566</v>
      </c>
      <c r="B1128" s="36">
        <v>14130</v>
      </c>
      <c r="C1128" s="7">
        <v>14140</v>
      </c>
      <c r="D1128" s="7">
        <v>14160</v>
      </c>
      <c r="E1128" s="7">
        <v>14130</v>
      </c>
      <c r="F1128" s="7">
        <v>14145</v>
      </c>
      <c r="G1128" s="34">
        <v>147</v>
      </c>
      <c r="H1128" s="35">
        <v>-15</v>
      </c>
      <c r="I1128" s="38">
        <f t="shared" si="17"/>
        <v>14135</v>
      </c>
    </row>
    <row r="1129" spans="1:9" x14ac:dyDescent="0.2">
      <c r="A1129" s="33">
        <v>43565</v>
      </c>
      <c r="B1129" s="36">
        <v>14145</v>
      </c>
      <c r="C1129" s="7">
        <v>14155</v>
      </c>
      <c r="D1129" s="7">
        <v>14165</v>
      </c>
      <c r="E1129" s="7">
        <v>14140</v>
      </c>
      <c r="F1129" s="7">
        <v>14140</v>
      </c>
      <c r="G1129" s="34">
        <v>119</v>
      </c>
      <c r="H1129" s="35">
        <v>15</v>
      </c>
      <c r="I1129" s="38">
        <f t="shared" si="17"/>
        <v>14150</v>
      </c>
    </row>
    <row r="1130" spans="1:9" x14ac:dyDescent="0.2">
      <c r="A1130" s="33">
        <v>43564</v>
      </c>
      <c r="B1130" s="36">
        <v>14130</v>
      </c>
      <c r="C1130" s="7">
        <v>14136</v>
      </c>
      <c r="D1130" s="7">
        <v>14150</v>
      </c>
      <c r="E1130" s="7">
        <v>14126</v>
      </c>
      <c r="F1130" s="7">
        <v>14145</v>
      </c>
      <c r="G1130" s="34">
        <v>108</v>
      </c>
      <c r="H1130" s="35">
        <v>-30</v>
      </c>
      <c r="I1130" s="38">
        <f t="shared" si="17"/>
        <v>14133</v>
      </c>
    </row>
    <row r="1131" spans="1:9" x14ac:dyDescent="0.2">
      <c r="A1131" s="33">
        <v>43563</v>
      </c>
      <c r="B1131" s="36">
        <v>14160</v>
      </c>
      <c r="C1131" s="7">
        <v>14166</v>
      </c>
      <c r="D1131" s="7">
        <v>14170</v>
      </c>
      <c r="E1131" s="7">
        <v>14130</v>
      </c>
      <c r="F1131" s="7">
        <v>14130</v>
      </c>
      <c r="G1131" s="34">
        <v>105</v>
      </c>
      <c r="H1131" s="35">
        <v>40</v>
      </c>
      <c r="I1131" s="38">
        <f t="shared" si="17"/>
        <v>14163</v>
      </c>
    </row>
    <row r="1132" spans="1:9" x14ac:dyDescent="0.2">
      <c r="A1132" s="33">
        <v>43560</v>
      </c>
      <c r="B1132" s="36">
        <v>14120</v>
      </c>
      <c r="C1132" s="7">
        <v>14130</v>
      </c>
      <c r="D1132" s="7">
        <v>14175</v>
      </c>
      <c r="E1132" s="7">
        <v>14120</v>
      </c>
      <c r="F1132" s="7">
        <v>14175</v>
      </c>
      <c r="G1132" s="34">
        <v>117</v>
      </c>
      <c r="H1132" s="35">
        <v>-55</v>
      </c>
      <c r="I1132" s="38">
        <f t="shared" si="17"/>
        <v>14125</v>
      </c>
    </row>
    <row r="1133" spans="1:9" x14ac:dyDescent="0.2">
      <c r="A1133" s="33">
        <v>43559</v>
      </c>
      <c r="B1133" s="36">
        <v>14175</v>
      </c>
      <c r="C1133" s="7">
        <v>14185</v>
      </c>
      <c r="D1133" s="7">
        <v>14190</v>
      </c>
      <c r="E1133" s="7">
        <v>14170</v>
      </c>
      <c r="F1133" s="7">
        <v>14185</v>
      </c>
      <c r="G1133" s="34">
        <v>101</v>
      </c>
      <c r="H1133" s="35">
        <v>-40</v>
      </c>
      <c r="I1133" s="38">
        <f t="shared" si="17"/>
        <v>14180</v>
      </c>
    </row>
    <row r="1134" spans="1:9" x14ac:dyDescent="0.2">
      <c r="A1134" s="33">
        <v>43558</v>
      </c>
      <c r="B1134" s="36">
        <v>14215</v>
      </c>
      <c r="C1134" s="7">
        <v>14225</v>
      </c>
      <c r="D1134" s="7"/>
      <c r="E1134" s="7"/>
      <c r="F1134" s="7"/>
      <c r="G1134" s="34"/>
      <c r="H1134" s="35">
        <v>0</v>
      </c>
      <c r="I1134" s="38">
        <f t="shared" si="17"/>
        <v>14220</v>
      </c>
    </row>
    <row r="1135" spans="1:9" x14ac:dyDescent="0.2">
      <c r="A1135" s="33">
        <v>43557</v>
      </c>
      <c r="B1135" s="36">
        <v>14215</v>
      </c>
      <c r="C1135" s="7">
        <v>14225</v>
      </c>
      <c r="D1135" s="7">
        <v>14240</v>
      </c>
      <c r="E1135" s="7">
        <v>14214</v>
      </c>
      <c r="F1135" s="7">
        <v>14215</v>
      </c>
      <c r="G1135" s="34">
        <v>123</v>
      </c>
      <c r="H1135" s="35">
        <v>-5</v>
      </c>
      <c r="I1135" s="38">
        <f t="shared" si="17"/>
        <v>14220</v>
      </c>
    </row>
    <row r="1136" spans="1:9" x14ac:dyDescent="0.2">
      <c r="A1136" s="33">
        <v>43556</v>
      </c>
      <c r="B1136" s="36">
        <v>14220</v>
      </c>
      <c r="C1136" s="7">
        <v>14230</v>
      </c>
      <c r="D1136" s="7">
        <v>14241</v>
      </c>
      <c r="E1136" s="7">
        <v>14215</v>
      </c>
      <c r="F1136" s="7">
        <v>14220</v>
      </c>
      <c r="G1136" s="34">
        <v>76</v>
      </c>
      <c r="H1136" s="35">
        <v>-15</v>
      </c>
      <c r="I1136" s="38">
        <f t="shared" si="17"/>
        <v>14225</v>
      </c>
    </row>
    <row r="1137" spans="1:9" x14ac:dyDescent="0.2">
      <c r="A1137" s="33">
        <v>43553</v>
      </c>
      <c r="B1137" s="36">
        <v>14235</v>
      </c>
      <c r="C1137" s="7">
        <v>14245</v>
      </c>
      <c r="D1137" s="7">
        <v>14245</v>
      </c>
      <c r="E1137" s="7">
        <v>14215</v>
      </c>
      <c r="F1137" s="7">
        <v>14240</v>
      </c>
      <c r="G1137" s="34">
        <v>110</v>
      </c>
      <c r="H1137" s="35">
        <v>-2</v>
      </c>
      <c r="I1137" s="38">
        <f t="shared" si="17"/>
        <v>14240</v>
      </c>
    </row>
    <row r="1138" spans="1:9" x14ac:dyDescent="0.2">
      <c r="A1138" s="33">
        <v>43552</v>
      </c>
      <c r="B1138" s="36">
        <v>14237</v>
      </c>
      <c r="C1138" s="7">
        <v>14247</v>
      </c>
      <c r="D1138" s="7">
        <v>14255</v>
      </c>
      <c r="E1138" s="7">
        <v>14210</v>
      </c>
      <c r="F1138" s="7">
        <v>14215</v>
      </c>
      <c r="G1138" s="34">
        <v>66</v>
      </c>
      <c r="H1138" s="35">
        <v>47</v>
      </c>
      <c r="I1138" s="38">
        <f t="shared" si="17"/>
        <v>14242</v>
      </c>
    </row>
    <row r="1139" spans="1:9" x14ac:dyDescent="0.2">
      <c r="A1139" s="33">
        <v>43551</v>
      </c>
      <c r="B1139" s="36">
        <v>14190</v>
      </c>
      <c r="C1139" s="7">
        <v>14200</v>
      </c>
      <c r="D1139" s="7">
        <v>14220</v>
      </c>
      <c r="E1139" s="7">
        <v>14170</v>
      </c>
      <c r="F1139" s="7">
        <v>14170</v>
      </c>
      <c r="G1139" s="34">
        <v>103</v>
      </c>
      <c r="H1139" s="35">
        <v>25</v>
      </c>
      <c r="I1139" s="38">
        <f t="shared" si="17"/>
        <v>14195</v>
      </c>
    </row>
    <row r="1140" spans="1:9" x14ac:dyDescent="0.2">
      <c r="A1140" s="33">
        <v>43550</v>
      </c>
      <c r="B1140" s="36">
        <v>14165</v>
      </c>
      <c r="C1140" s="7">
        <v>14175</v>
      </c>
      <c r="D1140" s="7">
        <v>14190</v>
      </c>
      <c r="E1140" s="7">
        <v>14150</v>
      </c>
      <c r="F1140" s="7">
        <v>14190</v>
      </c>
      <c r="G1140" s="34">
        <v>132</v>
      </c>
      <c r="H1140" s="35">
        <v>-10</v>
      </c>
      <c r="I1140" s="38">
        <f t="shared" si="17"/>
        <v>14170</v>
      </c>
    </row>
    <row r="1141" spans="1:9" x14ac:dyDescent="0.2">
      <c r="A1141" s="33">
        <v>43549</v>
      </c>
      <c r="B1141" s="36">
        <v>14175</v>
      </c>
      <c r="C1141" s="7">
        <v>14185</v>
      </c>
      <c r="D1141" s="7">
        <v>14225</v>
      </c>
      <c r="E1141" s="7">
        <v>14174</v>
      </c>
      <c r="F1141" s="7">
        <v>14190</v>
      </c>
      <c r="G1141" s="34">
        <v>109</v>
      </c>
      <c r="H1141" s="35">
        <v>15</v>
      </c>
      <c r="I1141" s="38">
        <f t="shared" si="17"/>
        <v>14180</v>
      </c>
    </row>
    <row r="1142" spans="1:9" x14ac:dyDescent="0.2">
      <c r="A1142" s="33">
        <v>43546</v>
      </c>
      <c r="B1142" s="36">
        <v>14160</v>
      </c>
      <c r="C1142" s="7">
        <v>14170</v>
      </c>
      <c r="D1142" s="7">
        <v>14165</v>
      </c>
      <c r="E1142" s="7">
        <v>14130</v>
      </c>
      <c r="F1142" s="7">
        <v>14130</v>
      </c>
      <c r="G1142" s="34">
        <v>102</v>
      </c>
      <c r="H1142" s="35">
        <v>25</v>
      </c>
      <c r="I1142" s="38">
        <f t="shared" si="17"/>
        <v>14165</v>
      </c>
    </row>
    <row r="1143" spans="1:9" x14ac:dyDescent="0.2">
      <c r="A1143" s="33">
        <v>43545</v>
      </c>
      <c r="B1143" s="36">
        <v>14135</v>
      </c>
      <c r="C1143" s="7">
        <v>14145</v>
      </c>
      <c r="D1143" s="7">
        <v>14140</v>
      </c>
      <c r="E1143" s="7">
        <v>14079</v>
      </c>
      <c r="F1143" s="7">
        <v>14100</v>
      </c>
      <c r="G1143" s="34">
        <v>114</v>
      </c>
      <c r="H1143" s="35">
        <v>-45</v>
      </c>
      <c r="I1143" s="38">
        <f t="shared" si="17"/>
        <v>14140</v>
      </c>
    </row>
    <row r="1144" spans="1:9" x14ac:dyDescent="0.2">
      <c r="A1144" s="33">
        <v>43544</v>
      </c>
      <c r="B1144" s="36">
        <v>14180</v>
      </c>
      <c r="C1144" s="7">
        <v>14190</v>
      </c>
      <c r="D1144" s="7">
        <v>14230</v>
      </c>
      <c r="E1144" s="7">
        <v>14175</v>
      </c>
      <c r="F1144" s="7">
        <v>14210</v>
      </c>
      <c r="G1144" s="34">
        <v>137</v>
      </c>
      <c r="H1144" s="35">
        <v>-45</v>
      </c>
      <c r="I1144" s="38">
        <f t="shared" si="17"/>
        <v>14185</v>
      </c>
    </row>
    <row r="1145" spans="1:9" x14ac:dyDescent="0.2">
      <c r="A1145" s="33">
        <v>43543</v>
      </c>
      <c r="B1145" s="36">
        <v>14225</v>
      </c>
      <c r="C1145" s="7">
        <v>14235</v>
      </c>
      <c r="D1145" s="7">
        <v>14235</v>
      </c>
      <c r="E1145" s="7">
        <v>14210</v>
      </c>
      <c r="F1145" s="7">
        <v>14210</v>
      </c>
      <c r="G1145" s="34">
        <v>159</v>
      </c>
      <c r="H1145" s="35">
        <v>-10</v>
      </c>
      <c r="I1145" s="38">
        <f t="shared" si="17"/>
        <v>14230</v>
      </c>
    </row>
    <row r="1146" spans="1:9" x14ac:dyDescent="0.2">
      <c r="A1146" s="33">
        <v>43542</v>
      </c>
      <c r="B1146" s="36">
        <v>14235</v>
      </c>
      <c r="C1146" s="7">
        <v>14240</v>
      </c>
      <c r="D1146" s="7">
        <v>14245</v>
      </c>
      <c r="E1146" s="7">
        <v>14210</v>
      </c>
      <c r="F1146" s="7">
        <v>14230</v>
      </c>
      <c r="G1146" s="34">
        <v>107</v>
      </c>
      <c r="H1146" s="35">
        <v>-20</v>
      </c>
      <c r="I1146" s="38">
        <f t="shared" si="17"/>
        <v>14237.5</v>
      </c>
    </row>
    <row r="1147" spans="1:9" x14ac:dyDescent="0.2">
      <c r="A1147" s="33">
        <v>43539</v>
      </c>
      <c r="B1147" s="36">
        <v>14255</v>
      </c>
      <c r="C1147" s="7">
        <v>14263</v>
      </c>
      <c r="D1147" s="7">
        <v>14310</v>
      </c>
      <c r="E1147" s="7">
        <v>14255</v>
      </c>
      <c r="F1147" s="7">
        <v>14280</v>
      </c>
      <c r="G1147" s="34">
        <v>115</v>
      </c>
      <c r="H1147" s="35">
        <v>-7</v>
      </c>
      <c r="I1147" s="38">
        <f t="shared" si="17"/>
        <v>14259</v>
      </c>
    </row>
    <row r="1148" spans="1:9" x14ac:dyDescent="0.2">
      <c r="A1148" s="33">
        <v>43538</v>
      </c>
      <c r="B1148" s="36">
        <v>14262</v>
      </c>
      <c r="C1148" s="7">
        <v>14272</v>
      </c>
      <c r="D1148" s="7">
        <v>14279</v>
      </c>
      <c r="E1148" s="7">
        <v>14230</v>
      </c>
      <c r="F1148" s="7">
        <v>14230</v>
      </c>
      <c r="G1148" s="34">
        <v>97</v>
      </c>
      <c r="H1148" s="35">
        <v>2</v>
      </c>
      <c r="I1148" s="38">
        <f t="shared" si="17"/>
        <v>14267</v>
      </c>
    </row>
    <row r="1149" spans="1:9" x14ac:dyDescent="0.2">
      <c r="A1149" s="33">
        <v>43537</v>
      </c>
      <c r="B1149" s="36">
        <v>14260</v>
      </c>
      <c r="C1149" s="7">
        <v>14270</v>
      </c>
      <c r="D1149" s="7">
        <v>14281</v>
      </c>
      <c r="E1149" s="7">
        <v>14240</v>
      </c>
      <c r="F1149" s="7">
        <v>14240</v>
      </c>
      <c r="G1149" s="34">
        <v>53</v>
      </c>
      <c r="H1149" s="35">
        <v>0</v>
      </c>
      <c r="I1149" s="38">
        <f t="shared" si="17"/>
        <v>14265</v>
      </c>
    </row>
    <row r="1150" spans="1:9" x14ac:dyDescent="0.2">
      <c r="A1150" s="33">
        <v>43536</v>
      </c>
      <c r="B1150" s="36">
        <v>14260</v>
      </c>
      <c r="C1150" s="7">
        <v>14270</v>
      </c>
      <c r="D1150" s="7">
        <v>14275</v>
      </c>
      <c r="E1150" s="7">
        <v>14230</v>
      </c>
      <c r="F1150" s="7">
        <v>14240</v>
      </c>
      <c r="G1150" s="34">
        <v>94</v>
      </c>
      <c r="H1150" s="35">
        <v>-25</v>
      </c>
      <c r="I1150" s="38">
        <f t="shared" si="17"/>
        <v>14265</v>
      </c>
    </row>
    <row r="1151" spans="1:9" x14ac:dyDescent="0.2">
      <c r="A1151" s="33">
        <v>43535</v>
      </c>
      <c r="B1151" s="36">
        <v>14285</v>
      </c>
      <c r="C1151" s="7">
        <v>14295</v>
      </c>
      <c r="D1151" s="7">
        <v>14333</v>
      </c>
      <c r="E1151" s="7">
        <v>14270</v>
      </c>
      <c r="F1151" s="7">
        <v>14305</v>
      </c>
      <c r="G1151" s="34">
        <v>155</v>
      </c>
      <c r="H1151" s="35">
        <v>-20</v>
      </c>
      <c r="I1151" s="38">
        <f t="shared" si="17"/>
        <v>14290</v>
      </c>
    </row>
    <row r="1152" spans="1:9" x14ac:dyDescent="0.2">
      <c r="A1152" s="33">
        <v>43532</v>
      </c>
      <c r="B1152" s="36">
        <v>14305</v>
      </c>
      <c r="C1152" s="7">
        <v>14315</v>
      </c>
      <c r="D1152" s="7">
        <v>14335</v>
      </c>
      <c r="E1152" s="7">
        <v>14195</v>
      </c>
      <c r="F1152" s="7">
        <v>14195</v>
      </c>
      <c r="G1152" s="34">
        <v>103</v>
      </c>
      <c r="H1152" s="35">
        <v>170</v>
      </c>
      <c r="I1152" s="38">
        <f t="shared" si="17"/>
        <v>14310</v>
      </c>
    </row>
    <row r="1153" spans="1:9" x14ac:dyDescent="0.2">
      <c r="A1153" s="33">
        <v>43531</v>
      </c>
      <c r="B1153" s="36">
        <v>14135</v>
      </c>
      <c r="C1153" s="7">
        <v>14145</v>
      </c>
      <c r="D1153" s="7"/>
      <c r="E1153" s="7"/>
      <c r="F1153" s="7"/>
      <c r="G1153" s="34"/>
      <c r="H1153" s="35">
        <v>0</v>
      </c>
      <c r="I1153" s="38">
        <f t="shared" si="17"/>
        <v>14140</v>
      </c>
    </row>
    <row r="1154" spans="1:9" x14ac:dyDescent="0.2">
      <c r="A1154" s="33">
        <v>43530</v>
      </c>
      <c r="B1154" s="36">
        <v>14135</v>
      </c>
      <c r="C1154" s="7">
        <v>14145</v>
      </c>
      <c r="D1154" s="7">
        <v>14150</v>
      </c>
      <c r="E1154" s="7">
        <v>14115</v>
      </c>
      <c r="F1154" s="7">
        <v>14120</v>
      </c>
      <c r="G1154" s="34">
        <v>89</v>
      </c>
      <c r="H1154" s="35">
        <v>20</v>
      </c>
      <c r="I1154" s="38">
        <f t="shared" si="17"/>
        <v>14140</v>
      </c>
    </row>
    <row r="1155" spans="1:9" x14ac:dyDescent="0.2">
      <c r="A1155" s="33">
        <v>43529</v>
      </c>
      <c r="B1155" s="36">
        <v>14115</v>
      </c>
      <c r="C1155" s="7">
        <v>14125</v>
      </c>
      <c r="D1155" s="7">
        <v>14150</v>
      </c>
      <c r="E1155" s="7">
        <v>14115</v>
      </c>
      <c r="F1155" s="7">
        <v>14120</v>
      </c>
      <c r="G1155" s="34">
        <v>116</v>
      </c>
      <c r="H1155" s="35">
        <v>-10</v>
      </c>
      <c r="I1155" s="38">
        <f t="shared" si="17"/>
        <v>14120</v>
      </c>
    </row>
    <row r="1156" spans="1:9" x14ac:dyDescent="0.2">
      <c r="A1156" s="33">
        <v>43528</v>
      </c>
      <c r="B1156" s="36">
        <v>14125</v>
      </c>
      <c r="C1156" s="7">
        <v>14135</v>
      </c>
      <c r="D1156" s="7">
        <v>14150</v>
      </c>
      <c r="E1156" s="7">
        <v>14110</v>
      </c>
      <c r="F1156" s="7">
        <v>14115</v>
      </c>
      <c r="G1156" s="34">
        <v>104</v>
      </c>
      <c r="H1156" s="35">
        <v>15</v>
      </c>
      <c r="I1156" s="38">
        <f t="shared" si="17"/>
        <v>14130</v>
      </c>
    </row>
    <row r="1157" spans="1:9" x14ac:dyDescent="0.2">
      <c r="A1157" s="33">
        <v>43525</v>
      </c>
      <c r="B1157" s="36">
        <v>14110</v>
      </c>
      <c r="C1157" s="7">
        <v>14120</v>
      </c>
      <c r="D1157" s="7">
        <v>14130</v>
      </c>
      <c r="E1157" s="7">
        <v>14097</v>
      </c>
      <c r="F1157" s="7">
        <v>14097</v>
      </c>
      <c r="G1157" s="34">
        <v>101</v>
      </c>
      <c r="H1157" s="35">
        <v>50</v>
      </c>
      <c r="I1157" s="38">
        <f t="shared" si="17"/>
        <v>14115</v>
      </c>
    </row>
    <row r="1158" spans="1:9" x14ac:dyDescent="0.2">
      <c r="A1158" s="33">
        <v>43524</v>
      </c>
      <c r="B1158" s="36">
        <v>14060</v>
      </c>
      <c r="C1158" s="7">
        <v>14070</v>
      </c>
      <c r="D1158" s="7">
        <v>14078</v>
      </c>
      <c r="E1158" s="7">
        <v>14025</v>
      </c>
      <c r="F1158" s="7">
        <v>14025</v>
      </c>
      <c r="G1158" s="34">
        <v>137</v>
      </c>
      <c r="H1158" s="35">
        <v>35</v>
      </c>
      <c r="I1158" s="38">
        <f t="shared" si="17"/>
        <v>14065</v>
      </c>
    </row>
    <row r="1159" spans="1:9" x14ac:dyDescent="0.2">
      <c r="A1159" s="33">
        <v>43523</v>
      </c>
      <c r="B1159" s="36">
        <v>14025</v>
      </c>
      <c r="C1159" s="7">
        <v>14035</v>
      </c>
      <c r="D1159" s="7">
        <v>14040</v>
      </c>
      <c r="E1159" s="7">
        <v>13975</v>
      </c>
      <c r="F1159" s="7">
        <v>13980</v>
      </c>
      <c r="G1159" s="34">
        <v>188</v>
      </c>
      <c r="H1159" s="35">
        <v>37</v>
      </c>
      <c r="I1159" s="38">
        <f t="shared" si="17"/>
        <v>14030</v>
      </c>
    </row>
    <row r="1160" spans="1:9" x14ac:dyDescent="0.2">
      <c r="A1160" s="33">
        <v>43522</v>
      </c>
      <c r="B1160" s="36">
        <v>13988</v>
      </c>
      <c r="C1160" s="7">
        <v>13994</v>
      </c>
      <c r="D1160" s="7">
        <v>14000</v>
      </c>
      <c r="E1160" s="7">
        <v>13960</v>
      </c>
      <c r="F1160" s="7">
        <v>13960</v>
      </c>
      <c r="G1160" s="34">
        <v>150</v>
      </c>
      <c r="H1160" s="35">
        <v>-27</v>
      </c>
      <c r="I1160" s="38">
        <f t="shared" si="17"/>
        <v>13991</v>
      </c>
    </row>
    <row r="1161" spans="1:9" x14ac:dyDescent="0.2">
      <c r="A1161" s="33">
        <v>43521</v>
      </c>
      <c r="B1161" s="36">
        <v>14015</v>
      </c>
      <c r="C1161" s="7">
        <v>14020</v>
      </c>
      <c r="D1161" s="7">
        <v>14020</v>
      </c>
      <c r="E1161" s="7">
        <v>13985</v>
      </c>
      <c r="F1161" s="7">
        <v>13985</v>
      </c>
      <c r="G1161" s="34">
        <v>145</v>
      </c>
      <c r="H1161" s="35">
        <v>-40</v>
      </c>
      <c r="I1161" s="38">
        <f t="shared" si="17"/>
        <v>14017.5</v>
      </c>
    </row>
    <row r="1162" spans="1:9" x14ac:dyDescent="0.2">
      <c r="A1162" s="33">
        <v>43518</v>
      </c>
      <c r="B1162" s="36">
        <v>14055</v>
      </c>
      <c r="C1162" s="7">
        <v>14060</v>
      </c>
      <c r="D1162" s="7">
        <v>14080</v>
      </c>
      <c r="E1162" s="7">
        <v>14047</v>
      </c>
      <c r="F1162" s="7">
        <v>14065</v>
      </c>
      <c r="G1162" s="34">
        <v>131</v>
      </c>
      <c r="H1162" s="35">
        <v>-3</v>
      </c>
      <c r="I1162" s="38">
        <f t="shared" si="17"/>
        <v>14057.5</v>
      </c>
    </row>
    <row r="1163" spans="1:9" x14ac:dyDescent="0.2">
      <c r="A1163" s="33">
        <v>43517</v>
      </c>
      <c r="B1163" s="36">
        <v>14058</v>
      </c>
      <c r="C1163" s="7">
        <v>14068</v>
      </c>
      <c r="D1163" s="7">
        <v>14070</v>
      </c>
      <c r="E1163" s="7">
        <v>14035</v>
      </c>
      <c r="F1163" s="7">
        <v>14035</v>
      </c>
      <c r="G1163" s="34">
        <v>137</v>
      </c>
      <c r="H1163" s="35">
        <v>23</v>
      </c>
      <c r="I1163" s="38">
        <f t="shared" si="17"/>
        <v>14063</v>
      </c>
    </row>
    <row r="1164" spans="1:9" x14ac:dyDescent="0.2">
      <c r="A1164" s="33">
        <v>43516</v>
      </c>
      <c r="B1164" s="36">
        <v>14035</v>
      </c>
      <c r="C1164" s="7">
        <v>14045</v>
      </c>
      <c r="D1164" s="7">
        <v>14075</v>
      </c>
      <c r="E1164" s="7">
        <v>14035</v>
      </c>
      <c r="F1164" s="7">
        <v>14075</v>
      </c>
      <c r="G1164" s="34">
        <v>171</v>
      </c>
      <c r="H1164" s="35">
        <v>-62</v>
      </c>
      <c r="I1164" s="38">
        <f t="shared" si="17"/>
        <v>14040</v>
      </c>
    </row>
    <row r="1165" spans="1:9" x14ac:dyDescent="0.2">
      <c r="A1165" s="33">
        <v>43515</v>
      </c>
      <c r="B1165" s="36">
        <v>14097</v>
      </c>
      <c r="C1165" s="7">
        <v>14107</v>
      </c>
      <c r="D1165" s="7">
        <v>14125</v>
      </c>
      <c r="E1165" s="7">
        <v>14097</v>
      </c>
      <c r="F1165" s="7">
        <v>14100</v>
      </c>
      <c r="G1165" s="34">
        <v>153</v>
      </c>
      <c r="H1165" s="35">
        <v>-8</v>
      </c>
      <c r="I1165" s="38">
        <f t="shared" si="17"/>
        <v>14102</v>
      </c>
    </row>
    <row r="1166" spans="1:9" x14ac:dyDescent="0.2">
      <c r="A1166" s="33">
        <v>43514</v>
      </c>
      <c r="B1166" s="36">
        <v>14105</v>
      </c>
      <c r="C1166" s="7">
        <v>14108</v>
      </c>
      <c r="D1166" s="7">
        <v>14115</v>
      </c>
      <c r="E1166" s="7">
        <v>14075</v>
      </c>
      <c r="F1166" s="7">
        <v>14100</v>
      </c>
      <c r="G1166" s="34">
        <v>64</v>
      </c>
      <c r="H1166" s="35">
        <v>-35</v>
      </c>
      <c r="I1166" s="38">
        <f t="shared" si="17"/>
        <v>14106.5</v>
      </c>
    </row>
    <row r="1167" spans="1:9" x14ac:dyDescent="0.2">
      <c r="A1167" s="33">
        <v>43511</v>
      </c>
      <c r="B1167" s="36">
        <v>14140</v>
      </c>
      <c r="C1167" s="7">
        <v>14145</v>
      </c>
      <c r="D1167" s="7">
        <v>14155</v>
      </c>
      <c r="E1167" s="7">
        <v>14090</v>
      </c>
      <c r="F1167" s="7">
        <v>14090</v>
      </c>
      <c r="G1167" s="34">
        <v>63</v>
      </c>
      <c r="H1167" s="35">
        <v>55</v>
      </c>
      <c r="I1167" s="38">
        <f t="shared" si="17"/>
        <v>14142.5</v>
      </c>
    </row>
    <row r="1168" spans="1:9" x14ac:dyDescent="0.2">
      <c r="A1168" s="33">
        <v>43510</v>
      </c>
      <c r="B1168" s="36">
        <v>14085</v>
      </c>
      <c r="C1168" s="7">
        <v>14095</v>
      </c>
      <c r="D1168" s="7">
        <v>14095</v>
      </c>
      <c r="E1168" s="7">
        <v>14060</v>
      </c>
      <c r="F1168" s="7">
        <v>14060</v>
      </c>
      <c r="G1168" s="34">
        <v>99</v>
      </c>
      <c r="H1168" s="35">
        <v>30</v>
      </c>
      <c r="I1168" s="38">
        <f t="shared" si="17"/>
        <v>14090</v>
      </c>
    </row>
    <row r="1169" spans="1:9" x14ac:dyDescent="0.2">
      <c r="A1169" s="33">
        <v>43509</v>
      </c>
      <c r="B1169" s="36">
        <v>14055</v>
      </c>
      <c r="C1169" s="7">
        <v>14060</v>
      </c>
      <c r="D1169" s="7">
        <v>14055</v>
      </c>
      <c r="E1169" s="7">
        <v>14005</v>
      </c>
      <c r="F1169" s="7">
        <v>14025</v>
      </c>
      <c r="G1169" s="34">
        <v>148</v>
      </c>
      <c r="H1169" s="35">
        <v>-10</v>
      </c>
      <c r="I1169" s="38">
        <f t="shared" si="17"/>
        <v>14057.5</v>
      </c>
    </row>
    <row r="1170" spans="1:9" x14ac:dyDescent="0.2">
      <c r="A1170" s="33">
        <v>43508</v>
      </c>
      <c r="B1170" s="36">
        <v>14065</v>
      </c>
      <c r="C1170" s="7">
        <v>14072</v>
      </c>
      <c r="D1170" s="7">
        <v>14095</v>
      </c>
      <c r="E1170" s="7">
        <v>14030</v>
      </c>
      <c r="F1170" s="7">
        <v>14080</v>
      </c>
      <c r="G1170" s="34">
        <v>119</v>
      </c>
      <c r="H1170" s="35">
        <v>30</v>
      </c>
      <c r="I1170" s="38">
        <f t="shared" si="17"/>
        <v>14068.5</v>
      </c>
    </row>
    <row r="1171" spans="1:9" x14ac:dyDescent="0.2">
      <c r="A1171" s="33">
        <v>43507</v>
      </c>
      <c r="B1171" s="36">
        <v>14035</v>
      </c>
      <c r="C1171" s="7">
        <v>14045</v>
      </c>
      <c r="D1171" s="7">
        <v>14045</v>
      </c>
      <c r="E1171" s="7">
        <v>13980</v>
      </c>
      <c r="F1171" s="7">
        <v>13980</v>
      </c>
      <c r="G1171" s="34">
        <v>113</v>
      </c>
      <c r="H1171" s="35">
        <v>75</v>
      </c>
      <c r="I1171" s="38">
        <f t="shared" si="17"/>
        <v>14040</v>
      </c>
    </row>
    <row r="1172" spans="1:9" x14ac:dyDescent="0.2">
      <c r="A1172" s="33">
        <v>43504</v>
      </c>
      <c r="B1172" s="36">
        <v>13960</v>
      </c>
      <c r="C1172" s="7">
        <v>13970</v>
      </c>
      <c r="D1172" s="7">
        <v>13995</v>
      </c>
      <c r="E1172" s="7">
        <v>13943</v>
      </c>
      <c r="F1172" s="7">
        <v>13970</v>
      </c>
      <c r="G1172" s="34">
        <v>161</v>
      </c>
      <c r="H1172" s="35">
        <v>-10</v>
      </c>
      <c r="I1172" s="38">
        <f t="shared" si="17"/>
        <v>13965</v>
      </c>
    </row>
    <row r="1173" spans="1:9" x14ac:dyDescent="0.2">
      <c r="A1173" s="33">
        <v>43503</v>
      </c>
      <c r="B1173" s="36">
        <v>13970</v>
      </c>
      <c r="C1173" s="7">
        <v>13975</v>
      </c>
      <c r="D1173" s="7">
        <v>13985</v>
      </c>
      <c r="E1173" s="7">
        <v>13925</v>
      </c>
      <c r="F1173" s="7">
        <v>13925</v>
      </c>
      <c r="G1173" s="34">
        <v>67</v>
      </c>
      <c r="H1173" s="35">
        <v>53</v>
      </c>
      <c r="I1173" s="38">
        <f t="shared" si="17"/>
        <v>13972.5</v>
      </c>
    </row>
    <row r="1174" spans="1:9" x14ac:dyDescent="0.2">
      <c r="A1174" s="33">
        <v>43502</v>
      </c>
      <c r="B1174" s="36">
        <v>13917</v>
      </c>
      <c r="C1174" s="7">
        <v>13927</v>
      </c>
      <c r="D1174" s="7">
        <v>13945</v>
      </c>
      <c r="E1174" s="7">
        <v>13885</v>
      </c>
      <c r="F1174" s="7">
        <v>13945</v>
      </c>
      <c r="G1174" s="34">
        <v>151</v>
      </c>
      <c r="H1174" s="35">
        <v>-33</v>
      </c>
      <c r="I1174" s="38">
        <f t="shared" si="17"/>
        <v>13922</v>
      </c>
    </row>
    <row r="1175" spans="1:9" x14ac:dyDescent="0.2">
      <c r="A1175" s="33">
        <v>43501</v>
      </c>
      <c r="B1175" s="36">
        <v>13950</v>
      </c>
      <c r="C1175" s="7">
        <v>13960</v>
      </c>
      <c r="D1175" s="7"/>
      <c r="E1175" s="7"/>
      <c r="F1175" s="7"/>
      <c r="G1175" s="34"/>
      <c r="H1175" s="35">
        <v>0</v>
      </c>
      <c r="I1175" s="38">
        <f t="shared" si="17"/>
        <v>13955</v>
      </c>
    </row>
    <row r="1176" spans="1:9" x14ac:dyDescent="0.2">
      <c r="A1176" s="33">
        <v>43500</v>
      </c>
      <c r="B1176" s="36">
        <v>13950</v>
      </c>
      <c r="C1176" s="7">
        <v>13960</v>
      </c>
      <c r="D1176" s="7">
        <v>13990</v>
      </c>
      <c r="E1176" s="7">
        <v>13935</v>
      </c>
      <c r="F1176" s="7">
        <v>13945</v>
      </c>
      <c r="G1176" s="34">
        <v>103</v>
      </c>
      <c r="H1176" s="35">
        <v>15</v>
      </c>
      <c r="I1176" s="38">
        <f t="shared" si="17"/>
        <v>13955</v>
      </c>
    </row>
    <row r="1177" spans="1:9" x14ac:dyDescent="0.2">
      <c r="A1177" s="33">
        <v>43497</v>
      </c>
      <c r="B1177" s="36">
        <v>13935</v>
      </c>
      <c r="C1177" s="7">
        <v>13945</v>
      </c>
      <c r="D1177" s="7">
        <v>13980</v>
      </c>
      <c r="E1177" s="7">
        <v>13935</v>
      </c>
      <c r="F1177" s="7">
        <v>13940</v>
      </c>
      <c r="G1177" s="34">
        <v>159</v>
      </c>
      <c r="H1177" s="35">
        <v>-35</v>
      </c>
      <c r="I1177" s="38">
        <f t="shared" si="17"/>
        <v>13940</v>
      </c>
    </row>
    <row r="1178" spans="1:9" x14ac:dyDescent="0.2">
      <c r="A1178" s="33">
        <v>43496</v>
      </c>
      <c r="B1178" s="36">
        <v>13970</v>
      </c>
      <c r="C1178" s="7">
        <v>13975</v>
      </c>
      <c r="D1178" s="7">
        <v>14130</v>
      </c>
      <c r="E1178" s="7">
        <v>13955</v>
      </c>
      <c r="F1178" s="7">
        <v>14130</v>
      </c>
      <c r="G1178" s="34">
        <v>152</v>
      </c>
      <c r="H1178" s="35">
        <v>-155</v>
      </c>
      <c r="I1178" s="38">
        <f t="shared" si="17"/>
        <v>13972.5</v>
      </c>
    </row>
    <row r="1179" spans="1:9" x14ac:dyDescent="0.2">
      <c r="A1179" s="33">
        <v>43495</v>
      </c>
      <c r="B1179" s="36">
        <v>14125</v>
      </c>
      <c r="C1179" s="7">
        <v>14135</v>
      </c>
      <c r="D1179" s="7">
        <v>14127</v>
      </c>
      <c r="E1179" s="7">
        <v>14080</v>
      </c>
      <c r="F1179" s="7">
        <v>14092</v>
      </c>
      <c r="G1179" s="34">
        <v>56</v>
      </c>
      <c r="H1179" s="35">
        <v>35</v>
      </c>
      <c r="I1179" s="38">
        <f t="shared" si="17"/>
        <v>14130</v>
      </c>
    </row>
    <row r="1180" spans="1:9" x14ac:dyDescent="0.2">
      <c r="A1180" s="33">
        <v>43494</v>
      </c>
      <c r="B1180" s="36">
        <v>14090</v>
      </c>
      <c r="C1180" s="7">
        <v>14100</v>
      </c>
      <c r="D1180" s="7">
        <v>14092</v>
      </c>
      <c r="E1180" s="7">
        <v>14065</v>
      </c>
      <c r="F1180" s="7">
        <v>14065</v>
      </c>
      <c r="G1180" s="34">
        <v>57</v>
      </c>
      <c r="H1180" s="35">
        <v>25</v>
      </c>
      <c r="I1180" s="38">
        <f t="shared" si="17"/>
        <v>14095</v>
      </c>
    </row>
    <row r="1181" spans="1:9" x14ac:dyDescent="0.2">
      <c r="A1181" s="33">
        <v>43493</v>
      </c>
      <c r="B1181" s="36">
        <v>14065</v>
      </c>
      <c r="C1181" s="7">
        <v>14075</v>
      </c>
      <c r="D1181" s="7">
        <v>14070</v>
      </c>
      <c r="E1181" s="7">
        <v>14020</v>
      </c>
      <c r="F1181" s="7">
        <v>14060</v>
      </c>
      <c r="G1181" s="34">
        <v>88</v>
      </c>
      <c r="H1181" s="35">
        <v>-15</v>
      </c>
      <c r="I1181" s="38">
        <f t="shared" si="17"/>
        <v>14070</v>
      </c>
    </row>
    <row r="1182" spans="1:9" x14ac:dyDescent="0.2">
      <c r="A1182" s="33">
        <v>43490</v>
      </c>
      <c r="B1182" s="36">
        <v>14080</v>
      </c>
      <c r="C1182" s="7">
        <v>14090</v>
      </c>
      <c r="D1182" s="7">
        <v>14165</v>
      </c>
      <c r="E1182" s="7">
        <v>14079</v>
      </c>
      <c r="F1182" s="7">
        <v>14150</v>
      </c>
      <c r="G1182" s="34">
        <v>151</v>
      </c>
      <c r="H1182" s="35">
        <v>-80</v>
      </c>
      <c r="I1182" s="38">
        <f t="shared" si="17"/>
        <v>14085</v>
      </c>
    </row>
    <row r="1183" spans="1:9" x14ac:dyDescent="0.2">
      <c r="A1183" s="33">
        <v>43489</v>
      </c>
      <c r="B1183" s="36">
        <v>14160</v>
      </c>
      <c r="C1183" s="7">
        <v>14170</v>
      </c>
      <c r="D1183" s="7">
        <v>14170</v>
      </c>
      <c r="E1183" s="7">
        <v>14115</v>
      </c>
      <c r="F1183" s="7">
        <v>14130</v>
      </c>
      <c r="G1183" s="34">
        <v>72</v>
      </c>
      <c r="H1183" s="35">
        <v>-15</v>
      </c>
      <c r="I1183" s="38">
        <f t="shared" si="17"/>
        <v>14165</v>
      </c>
    </row>
    <row r="1184" spans="1:9" x14ac:dyDescent="0.2">
      <c r="A1184" s="33">
        <v>43488</v>
      </c>
      <c r="B1184" s="36">
        <v>14175</v>
      </c>
      <c r="C1184" s="7">
        <v>14185</v>
      </c>
      <c r="D1184" s="7">
        <v>14195</v>
      </c>
      <c r="E1184" s="7">
        <v>14160</v>
      </c>
      <c r="F1184" s="7">
        <v>14190</v>
      </c>
      <c r="G1184" s="34">
        <v>135</v>
      </c>
      <c r="H1184" s="35">
        <v>-35</v>
      </c>
      <c r="I1184" s="38">
        <f t="shared" ref="I1184:I1247" si="18">+(B1184+C1184)*0.5</f>
        <v>14180</v>
      </c>
    </row>
    <row r="1185" spans="1:9" x14ac:dyDescent="0.2">
      <c r="A1185" s="33">
        <v>43487</v>
      </c>
      <c r="B1185" s="36">
        <v>14210</v>
      </c>
      <c r="C1185" s="7">
        <v>14220</v>
      </c>
      <c r="D1185" s="7">
        <v>14225</v>
      </c>
      <c r="E1185" s="7">
        <v>14180</v>
      </c>
      <c r="F1185" s="7">
        <v>14205</v>
      </c>
      <c r="G1185" s="34">
        <v>114</v>
      </c>
      <c r="H1185" s="35">
        <v>-10</v>
      </c>
      <c r="I1185" s="38">
        <f t="shared" si="18"/>
        <v>14215</v>
      </c>
    </row>
    <row r="1186" spans="1:9" x14ac:dyDescent="0.2">
      <c r="A1186" s="33">
        <v>43486</v>
      </c>
      <c r="B1186" s="36">
        <v>14220</v>
      </c>
      <c r="C1186" s="7">
        <v>14225</v>
      </c>
      <c r="D1186" s="7">
        <v>14230</v>
      </c>
      <c r="E1186" s="7">
        <v>14180</v>
      </c>
      <c r="F1186" s="7">
        <v>14180</v>
      </c>
      <c r="G1186" s="34">
        <v>89</v>
      </c>
      <c r="H1186" s="35">
        <v>50</v>
      </c>
      <c r="I1186" s="38">
        <f t="shared" si="18"/>
        <v>14222.5</v>
      </c>
    </row>
    <row r="1187" spans="1:9" x14ac:dyDescent="0.2">
      <c r="A1187" s="33">
        <v>43483</v>
      </c>
      <c r="B1187" s="36">
        <v>14170</v>
      </c>
      <c r="C1187" s="7">
        <v>14180</v>
      </c>
      <c r="D1187" s="7">
        <v>14195</v>
      </c>
      <c r="E1187" s="7">
        <v>14150</v>
      </c>
      <c r="F1187" s="7">
        <v>14180</v>
      </c>
      <c r="G1187" s="34">
        <v>138</v>
      </c>
      <c r="H1187" s="35">
        <v>-5</v>
      </c>
      <c r="I1187" s="38">
        <f t="shared" si="18"/>
        <v>14175</v>
      </c>
    </row>
    <row r="1188" spans="1:9" x14ac:dyDescent="0.2">
      <c r="A1188" s="33">
        <v>43482</v>
      </c>
      <c r="B1188" s="36">
        <v>14175</v>
      </c>
      <c r="C1188" s="7">
        <v>14185</v>
      </c>
      <c r="D1188" s="7">
        <v>14195</v>
      </c>
      <c r="E1188" s="7">
        <v>14115</v>
      </c>
      <c r="F1188" s="7">
        <v>14115</v>
      </c>
      <c r="G1188" s="34">
        <v>104</v>
      </c>
      <c r="H1188" s="35">
        <v>60</v>
      </c>
      <c r="I1188" s="38">
        <f t="shared" si="18"/>
        <v>14180</v>
      </c>
    </row>
    <row r="1189" spans="1:9" x14ac:dyDescent="0.2">
      <c r="A1189" s="33">
        <v>43481</v>
      </c>
      <c r="B1189" s="36">
        <v>14115</v>
      </c>
      <c r="C1189" s="7">
        <v>14130</v>
      </c>
      <c r="D1189" s="7">
        <v>14155</v>
      </c>
      <c r="E1189" s="7">
        <v>14100</v>
      </c>
      <c r="F1189" s="7">
        <v>14105</v>
      </c>
      <c r="G1189" s="34">
        <v>172</v>
      </c>
      <c r="H1189" s="35">
        <v>30</v>
      </c>
      <c r="I1189" s="38">
        <f t="shared" si="18"/>
        <v>14122.5</v>
      </c>
    </row>
    <row r="1190" spans="1:9" x14ac:dyDescent="0.2">
      <c r="A1190" s="33">
        <v>43480</v>
      </c>
      <c r="B1190" s="36">
        <v>14085</v>
      </c>
      <c r="C1190" s="7">
        <v>14100</v>
      </c>
      <c r="D1190" s="7">
        <v>14100</v>
      </c>
      <c r="E1190" s="7">
        <v>14055</v>
      </c>
      <c r="F1190" s="7">
        <v>14080</v>
      </c>
      <c r="G1190" s="34">
        <v>207</v>
      </c>
      <c r="H1190" s="35">
        <v>-35</v>
      </c>
      <c r="I1190" s="38">
        <f t="shared" si="18"/>
        <v>14092.5</v>
      </c>
    </row>
    <row r="1191" spans="1:9" x14ac:dyDescent="0.2">
      <c r="A1191" s="33">
        <v>43479</v>
      </c>
      <c r="B1191" s="36">
        <v>14120</v>
      </c>
      <c r="C1191" s="7">
        <v>14128</v>
      </c>
      <c r="D1191" s="7">
        <v>14140</v>
      </c>
      <c r="E1191" s="7">
        <v>14030</v>
      </c>
      <c r="F1191" s="7">
        <v>14030</v>
      </c>
      <c r="G1191" s="34">
        <v>161</v>
      </c>
      <c r="H1191" s="35">
        <v>80</v>
      </c>
      <c r="I1191" s="38">
        <f t="shared" si="18"/>
        <v>14124</v>
      </c>
    </row>
    <row r="1192" spans="1:9" x14ac:dyDescent="0.2">
      <c r="A1192" s="33">
        <v>43476</v>
      </c>
      <c r="B1192" s="36">
        <v>14040</v>
      </c>
      <c r="C1192" s="7">
        <v>14050</v>
      </c>
      <c r="D1192" s="7">
        <v>14090</v>
      </c>
      <c r="E1192" s="7">
        <v>14010</v>
      </c>
      <c r="F1192" s="7">
        <v>14060</v>
      </c>
      <c r="G1192" s="34">
        <v>234</v>
      </c>
      <c r="H1192" s="35">
        <v>-10</v>
      </c>
      <c r="I1192" s="38">
        <f t="shared" si="18"/>
        <v>14045</v>
      </c>
    </row>
    <row r="1193" spans="1:9" x14ac:dyDescent="0.2">
      <c r="A1193" s="33">
        <v>43475</v>
      </c>
      <c r="B1193" s="36">
        <v>14050</v>
      </c>
      <c r="C1193" s="7">
        <v>14060</v>
      </c>
      <c r="D1193" s="7">
        <v>14105</v>
      </c>
      <c r="E1193" s="7">
        <v>14000</v>
      </c>
      <c r="F1193" s="7">
        <v>14050</v>
      </c>
      <c r="G1193" s="34">
        <v>193</v>
      </c>
      <c r="H1193" s="35">
        <v>-70</v>
      </c>
      <c r="I1193" s="38">
        <f t="shared" si="18"/>
        <v>14055</v>
      </c>
    </row>
    <row r="1194" spans="1:9" x14ac:dyDescent="0.2">
      <c r="A1194" s="33">
        <v>43474</v>
      </c>
      <c r="B1194" s="36">
        <v>14120</v>
      </c>
      <c r="C1194" s="7">
        <v>14130</v>
      </c>
      <c r="D1194" s="7">
        <v>14175</v>
      </c>
      <c r="E1194" s="7">
        <v>14080</v>
      </c>
      <c r="F1194" s="7">
        <v>14100</v>
      </c>
      <c r="G1194" s="34">
        <v>240</v>
      </c>
      <c r="H1194" s="35">
        <v>-20</v>
      </c>
      <c r="I1194" s="38">
        <f t="shared" si="18"/>
        <v>14125</v>
      </c>
    </row>
    <row r="1195" spans="1:9" x14ac:dyDescent="0.2">
      <c r="A1195" s="33">
        <v>43473</v>
      </c>
      <c r="B1195" s="36">
        <v>14140</v>
      </c>
      <c r="C1195" s="7">
        <v>14150</v>
      </c>
      <c r="D1195" s="7">
        <v>14157</v>
      </c>
      <c r="E1195" s="7">
        <v>13990</v>
      </c>
      <c r="F1195" s="7">
        <v>14045</v>
      </c>
      <c r="G1195" s="34">
        <v>187</v>
      </c>
      <c r="H1195" s="35">
        <v>55</v>
      </c>
      <c r="I1195" s="38">
        <f t="shared" si="18"/>
        <v>14145</v>
      </c>
    </row>
    <row r="1196" spans="1:9" x14ac:dyDescent="0.2">
      <c r="A1196" s="33">
        <v>43472</v>
      </c>
      <c r="B1196" s="36">
        <v>14085</v>
      </c>
      <c r="C1196" s="7">
        <v>14095</v>
      </c>
      <c r="D1196" s="7">
        <v>14185</v>
      </c>
      <c r="E1196" s="7">
        <v>13990</v>
      </c>
      <c r="F1196" s="7">
        <v>14185</v>
      </c>
      <c r="G1196" s="34">
        <v>215</v>
      </c>
      <c r="H1196" s="35">
        <v>-180</v>
      </c>
      <c r="I1196" s="38">
        <f t="shared" si="18"/>
        <v>14090</v>
      </c>
    </row>
    <row r="1197" spans="1:9" x14ac:dyDescent="0.2">
      <c r="A1197" s="33">
        <v>43469</v>
      </c>
      <c r="B1197" s="36">
        <v>14265</v>
      </c>
      <c r="C1197" s="7">
        <v>14275</v>
      </c>
      <c r="D1197" s="7">
        <v>14375</v>
      </c>
      <c r="E1197" s="7">
        <v>14250</v>
      </c>
      <c r="F1197" s="7">
        <v>14375</v>
      </c>
      <c r="G1197" s="34">
        <v>123</v>
      </c>
      <c r="H1197" s="35">
        <v>-140</v>
      </c>
      <c r="I1197" s="38">
        <f t="shared" si="18"/>
        <v>14270</v>
      </c>
    </row>
    <row r="1198" spans="1:9" x14ac:dyDescent="0.2">
      <c r="A1198" s="33">
        <v>43468</v>
      </c>
      <c r="B1198" s="36">
        <v>14405</v>
      </c>
      <c r="C1198" s="7">
        <v>14415</v>
      </c>
      <c r="D1198" s="7">
        <v>14485</v>
      </c>
      <c r="E1198" s="7">
        <v>14405</v>
      </c>
      <c r="F1198" s="7">
        <v>14440</v>
      </c>
      <c r="G1198" s="34">
        <v>79</v>
      </c>
      <c r="H1198" s="35">
        <v>-40</v>
      </c>
      <c r="I1198" s="38">
        <f t="shared" si="18"/>
        <v>14410</v>
      </c>
    </row>
    <row r="1199" spans="1:9" x14ac:dyDescent="0.2">
      <c r="A1199" s="33">
        <v>43467</v>
      </c>
      <c r="B1199" s="36">
        <v>14445</v>
      </c>
      <c r="C1199" s="7">
        <v>14455</v>
      </c>
      <c r="D1199" s="7">
        <v>14480</v>
      </c>
      <c r="E1199" s="7">
        <v>14420</v>
      </c>
      <c r="F1199" s="7">
        <v>14420</v>
      </c>
      <c r="G1199" s="34">
        <v>90</v>
      </c>
      <c r="H1199" s="35">
        <v>70</v>
      </c>
      <c r="I1199" s="38">
        <f t="shared" si="18"/>
        <v>14450</v>
      </c>
    </row>
    <row r="1200" spans="1:9" x14ac:dyDescent="0.2">
      <c r="A1200" s="33">
        <v>43466</v>
      </c>
      <c r="B1200" s="36">
        <v>14375</v>
      </c>
      <c r="C1200" s="7">
        <v>14385</v>
      </c>
      <c r="D1200" s="7"/>
      <c r="E1200" s="7"/>
      <c r="F1200" s="7"/>
      <c r="G1200" s="34"/>
      <c r="H1200" s="35">
        <v>0</v>
      </c>
      <c r="I1200" s="38">
        <f t="shared" si="18"/>
        <v>14380</v>
      </c>
    </row>
    <row r="1201" spans="1:9" x14ac:dyDescent="0.2">
      <c r="A1201" s="33">
        <v>43465</v>
      </c>
      <c r="B1201" s="36">
        <v>14375</v>
      </c>
      <c r="C1201" s="7">
        <v>14385</v>
      </c>
      <c r="D1201" s="7">
        <v>14491</v>
      </c>
      <c r="E1201" s="7">
        <v>14375</v>
      </c>
      <c r="F1201" s="7">
        <v>14480</v>
      </c>
      <c r="G1201" s="34">
        <v>82</v>
      </c>
      <c r="H1201" s="35">
        <v>-180</v>
      </c>
      <c r="I1201" s="38">
        <f t="shared" si="18"/>
        <v>14380</v>
      </c>
    </row>
    <row r="1202" spans="1:9" x14ac:dyDescent="0.2">
      <c r="A1202" s="33">
        <v>43462</v>
      </c>
      <c r="B1202" s="36">
        <v>14555</v>
      </c>
      <c r="C1202" s="7">
        <v>14565</v>
      </c>
      <c r="D1202" s="7">
        <v>14570</v>
      </c>
      <c r="E1202" s="7">
        <v>14530</v>
      </c>
      <c r="F1202" s="7">
        <v>14555</v>
      </c>
      <c r="G1202" s="34">
        <v>97</v>
      </c>
      <c r="H1202" s="35">
        <v>0</v>
      </c>
      <c r="I1202" s="38">
        <f t="shared" si="18"/>
        <v>14560</v>
      </c>
    </row>
    <row r="1203" spans="1:9" x14ac:dyDescent="0.2">
      <c r="A1203" s="33">
        <v>43461</v>
      </c>
      <c r="B1203" s="36">
        <v>14555</v>
      </c>
      <c r="C1203" s="7">
        <v>14565</v>
      </c>
      <c r="D1203" s="7">
        <v>14590</v>
      </c>
      <c r="E1203" s="7">
        <v>14550</v>
      </c>
      <c r="F1203" s="7">
        <v>14550</v>
      </c>
      <c r="G1203" s="34">
        <v>89</v>
      </c>
      <c r="H1203" s="35">
        <v>-15</v>
      </c>
      <c r="I1203" s="38">
        <f t="shared" si="18"/>
        <v>14560</v>
      </c>
    </row>
    <row r="1204" spans="1:9" x14ac:dyDescent="0.2">
      <c r="A1204" s="33">
        <v>43460</v>
      </c>
      <c r="B1204" s="36">
        <v>14570</v>
      </c>
      <c r="C1204" s="7">
        <v>14580</v>
      </c>
      <c r="D1204" s="7">
        <v>14605</v>
      </c>
      <c r="E1204" s="7">
        <v>14560</v>
      </c>
      <c r="F1204" s="7">
        <v>14575</v>
      </c>
      <c r="G1204" s="34">
        <v>144</v>
      </c>
      <c r="H1204" s="35">
        <v>20</v>
      </c>
      <c r="I1204" s="38">
        <f t="shared" si="18"/>
        <v>14575</v>
      </c>
    </row>
    <row r="1205" spans="1:9" x14ac:dyDescent="0.2">
      <c r="A1205" s="33">
        <v>43459</v>
      </c>
      <c r="B1205" s="36">
        <v>14550</v>
      </c>
      <c r="C1205" s="7">
        <v>14560</v>
      </c>
      <c r="D1205" s="7"/>
      <c r="E1205" s="7"/>
      <c r="F1205" s="7"/>
      <c r="G1205" s="34"/>
      <c r="H1205" s="35">
        <v>0</v>
      </c>
      <c r="I1205" s="38">
        <f t="shared" si="18"/>
        <v>14555</v>
      </c>
    </row>
    <row r="1206" spans="1:9" x14ac:dyDescent="0.2">
      <c r="A1206" s="33">
        <v>43458</v>
      </c>
      <c r="B1206" s="36">
        <v>14550</v>
      </c>
      <c r="C1206" s="7">
        <v>14560</v>
      </c>
      <c r="D1206" s="7"/>
      <c r="E1206" s="7"/>
      <c r="F1206" s="7"/>
      <c r="G1206" s="34"/>
      <c r="H1206" s="35">
        <v>0</v>
      </c>
      <c r="I1206" s="38">
        <f t="shared" si="18"/>
        <v>14555</v>
      </c>
    </row>
    <row r="1207" spans="1:9" x14ac:dyDescent="0.2">
      <c r="A1207" s="33">
        <v>43455</v>
      </c>
      <c r="B1207" s="36">
        <v>14550</v>
      </c>
      <c r="C1207" s="7">
        <v>14560</v>
      </c>
      <c r="D1207" s="7">
        <v>14555</v>
      </c>
      <c r="E1207" s="7">
        <v>14449</v>
      </c>
      <c r="F1207" s="7">
        <v>14475</v>
      </c>
      <c r="G1207" s="34">
        <v>134</v>
      </c>
      <c r="H1207" s="35">
        <v>85</v>
      </c>
      <c r="I1207" s="38">
        <f t="shared" si="18"/>
        <v>14555</v>
      </c>
    </row>
    <row r="1208" spans="1:9" x14ac:dyDescent="0.2">
      <c r="A1208" s="33">
        <v>43454</v>
      </c>
      <c r="B1208" s="36">
        <v>14465</v>
      </c>
      <c r="C1208" s="7">
        <v>14475</v>
      </c>
      <c r="D1208" s="7">
        <v>14515</v>
      </c>
      <c r="E1208" s="7">
        <v>14450</v>
      </c>
      <c r="F1208" s="7">
        <v>14460</v>
      </c>
      <c r="G1208" s="34">
        <v>272</v>
      </c>
      <c r="H1208" s="35">
        <v>30</v>
      </c>
      <c r="I1208" s="38">
        <f t="shared" si="18"/>
        <v>14470</v>
      </c>
    </row>
    <row r="1209" spans="1:9" x14ac:dyDescent="0.2">
      <c r="A1209" s="33">
        <v>43453</v>
      </c>
      <c r="B1209" s="36">
        <v>14435</v>
      </c>
      <c r="C1209" s="7">
        <v>14450</v>
      </c>
      <c r="D1209" s="7">
        <v>14435</v>
      </c>
      <c r="E1209" s="7">
        <v>14330</v>
      </c>
      <c r="F1209" s="7">
        <v>14430</v>
      </c>
      <c r="G1209" s="34">
        <v>116</v>
      </c>
      <c r="H1209" s="35">
        <v>-60</v>
      </c>
      <c r="I1209" s="38">
        <f t="shared" si="18"/>
        <v>14442.5</v>
      </c>
    </row>
    <row r="1210" spans="1:9" x14ac:dyDescent="0.2">
      <c r="A1210" s="33">
        <v>43452</v>
      </c>
      <c r="B1210" s="36">
        <v>14495</v>
      </c>
      <c r="C1210" s="7">
        <v>14505</v>
      </c>
      <c r="D1210" s="7">
        <v>14555</v>
      </c>
      <c r="E1210" s="7">
        <v>14475</v>
      </c>
      <c r="F1210" s="7">
        <v>14550</v>
      </c>
      <c r="G1210" s="34">
        <v>154</v>
      </c>
      <c r="H1210" s="35">
        <v>-75</v>
      </c>
      <c r="I1210" s="38">
        <f t="shared" si="18"/>
        <v>14500</v>
      </c>
    </row>
    <row r="1211" spans="1:9" x14ac:dyDescent="0.2">
      <c r="A1211" s="33">
        <v>43451</v>
      </c>
      <c r="B1211" s="36">
        <v>14570</v>
      </c>
      <c r="C1211" s="7">
        <v>14580</v>
      </c>
      <c r="D1211" s="7">
        <v>14625</v>
      </c>
      <c r="E1211" s="7">
        <v>14569</v>
      </c>
      <c r="F1211" s="7">
        <v>14580</v>
      </c>
      <c r="G1211" s="34">
        <v>177</v>
      </c>
      <c r="H1211" s="35">
        <v>-10</v>
      </c>
      <c r="I1211" s="38">
        <f t="shared" si="18"/>
        <v>14575</v>
      </c>
    </row>
    <row r="1212" spans="1:9" x14ac:dyDescent="0.2">
      <c r="A1212" s="33">
        <v>43448</v>
      </c>
      <c r="B1212" s="36">
        <v>14580</v>
      </c>
      <c r="C1212" s="7">
        <v>14590</v>
      </c>
      <c r="D1212" s="7">
        <v>14580</v>
      </c>
      <c r="E1212" s="7">
        <v>14500</v>
      </c>
      <c r="F1212" s="7">
        <v>14500</v>
      </c>
      <c r="G1212" s="34">
        <v>142</v>
      </c>
      <c r="H1212" s="35">
        <v>90</v>
      </c>
      <c r="I1212" s="38">
        <f t="shared" si="18"/>
        <v>14585</v>
      </c>
    </row>
    <row r="1213" spans="1:9" x14ac:dyDescent="0.2">
      <c r="A1213" s="33">
        <v>43447</v>
      </c>
      <c r="B1213" s="36">
        <v>14490</v>
      </c>
      <c r="C1213" s="7">
        <v>14505</v>
      </c>
      <c r="D1213" s="7">
        <v>14550</v>
      </c>
      <c r="E1213" s="7">
        <v>14472</v>
      </c>
      <c r="F1213" s="7">
        <v>14520</v>
      </c>
      <c r="G1213" s="34">
        <v>145</v>
      </c>
      <c r="H1213" s="35">
        <v>-105</v>
      </c>
      <c r="I1213" s="38">
        <f t="shared" si="18"/>
        <v>14497.5</v>
      </c>
    </row>
    <row r="1214" spans="1:9" x14ac:dyDescent="0.2">
      <c r="A1214" s="33">
        <v>43446</v>
      </c>
      <c r="B1214" s="36">
        <v>14595</v>
      </c>
      <c r="C1214" s="7">
        <v>14600</v>
      </c>
      <c r="D1214" s="7">
        <v>14600</v>
      </c>
      <c r="E1214" s="7">
        <v>14550</v>
      </c>
      <c r="F1214" s="7">
        <v>14560</v>
      </c>
      <c r="G1214" s="34">
        <v>171</v>
      </c>
      <c r="H1214" s="35">
        <v>0</v>
      </c>
      <c r="I1214" s="38">
        <f t="shared" si="18"/>
        <v>14597.5</v>
      </c>
    </row>
    <row r="1215" spans="1:9" x14ac:dyDescent="0.2">
      <c r="A1215" s="33">
        <v>43445</v>
      </c>
      <c r="B1215" s="36">
        <v>14595</v>
      </c>
      <c r="C1215" s="7">
        <v>14605</v>
      </c>
      <c r="D1215" s="7">
        <v>14650</v>
      </c>
      <c r="E1215" s="7">
        <v>14580</v>
      </c>
      <c r="F1215" s="7">
        <v>14580</v>
      </c>
      <c r="G1215" s="34">
        <v>142</v>
      </c>
      <c r="H1215" s="35">
        <v>45</v>
      </c>
      <c r="I1215" s="38">
        <f t="shared" si="18"/>
        <v>14600</v>
      </c>
    </row>
    <row r="1216" spans="1:9" x14ac:dyDescent="0.2">
      <c r="A1216" s="33">
        <v>43444</v>
      </c>
      <c r="B1216" s="36">
        <v>14550</v>
      </c>
      <c r="C1216" s="7">
        <v>14560</v>
      </c>
      <c r="D1216" s="7">
        <v>14550</v>
      </c>
      <c r="E1216" s="7">
        <v>14470</v>
      </c>
      <c r="F1216" s="7">
        <v>14470</v>
      </c>
      <c r="G1216" s="34">
        <v>167</v>
      </c>
      <c r="H1216" s="35">
        <v>85</v>
      </c>
      <c r="I1216" s="38">
        <f t="shared" si="18"/>
        <v>14555</v>
      </c>
    </row>
    <row r="1217" spans="1:9" x14ac:dyDescent="0.2">
      <c r="A1217" s="33">
        <v>43441</v>
      </c>
      <c r="B1217" s="36">
        <v>14465</v>
      </c>
      <c r="C1217" s="7">
        <v>14475</v>
      </c>
      <c r="D1217" s="7">
        <v>14531</v>
      </c>
      <c r="E1217" s="7">
        <v>14450</v>
      </c>
      <c r="F1217" s="7">
        <v>14490</v>
      </c>
      <c r="G1217" s="34">
        <v>173</v>
      </c>
      <c r="H1217" s="35">
        <v>-50</v>
      </c>
      <c r="I1217" s="38">
        <f t="shared" si="18"/>
        <v>14470</v>
      </c>
    </row>
    <row r="1218" spans="1:9" x14ac:dyDescent="0.2">
      <c r="A1218" s="33">
        <v>43440</v>
      </c>
      <c r="B1218" s="36">
        <v>14515</v>
      </c>
      <c r="C1218" s="7">
        <v>14525</v>
      </c>
      <c r="D1218" s="7">
        <v>14565</v>
      </c>
      <c r="E1218" s="7">
        <v>14430</v>
      </c>
      <c r="F1218" s="7">
        <v>14430</v>
      </c>
      <c r="G1218" s="34">
        <v>172</v>
      </c>
      <c r="H1218" s="35">
        <v>125</v>
      </c>
      <c r="I1218" s="38">
        <f t="shared" si="18"/>
        <v>14520</v>
      </c>
    </row>
    <row r="1219" spans="1:9" x14ac:dyDescent="0.2">
      <c r="A1219" s="33">
        <v>43439</v>
      </c>
      <c r="B1219" s="36">
        <v>14390</v>
      </c>
      <c r="C1219" s="7">
        <v>14400</v>
      </c>
      <c r="D1219" s="7">
        <v>14425</v>
      </c>
      <c r="E1219" s="7">
        <v>14349</v>
      </c>
      <c r="F1219" s="7">
        <v>14350</v>
      </c>
      <c r="G1219" s="34">
        <v>106</v>
      </c>
      <c r="H1219" s="35">
        <v>105</v>
      </c>
      <c r="I1219" s="38">
        <f t="shared" si="18"/>
        <v>14395</v>
      </c>
    </row>
    <row r="1220" spans="1:9" x14ac:dyDescent="0.2">
      <c r="A1220" s="33">
        <v>43438</v>
      </c>
      <c r="B1220" s="36">
        <v>14285</v>
      </c>
      <c r="C1220" s="7">
        <v>14295</v>
      </c>
      <c r="D1220" s="7">
        <v>14320</v>
      </c>
      <c r="E1220" s="7">
        <v>14260</v>
      </c>
      <c r="F1220" s="7">
        <v>14300</v>
      </c>
      <c r="G1220" s="34">
        <v>176</v>
      </c>
      <c r="H1220" s="35">
        <v>50</v>
      </c>
      <c r="I1220" s="38">
        <f t="shared" si="18"/>
        <v>14290</v>
      </c>
    </row>
    <row r="1221" spans="1:9" x14ac:dyDescent="0.2">
      <c r="A1221" s="33">
        <v>43437</v>
      </c>
      <c r="B1221" s="36">
        <v>14235</v>
      </c>
      <c r="C1221" s="7">
        <v>14245</v>
      </c>
      <c r="D1221" s="7">
        <v>14265</v>
      </c>
      <c r="E1221" s="7">
        <v>14205</v>
      </c>
      <c r="F1221" s="7">
        <v>14250</v>
      </c>
      <c r="G1221" s="34">
        <v>162</v>
      </c>
      <c r="H1221" s="35">
        <v>-65</v>
      </c>
      <c r="I1221" s="38">
        <f t="shared" si="18"/>
        <v>14240</v>
      </c>
    </row>
    <row r="1222" spans="1:9" x14ac:dyDescent="0.2">
      <c r="A1222" s="33">
        <v>43434</v>
      </c>
      <c r="B1222" s="36">
        <v>14300</v>
      </c>
      <c r="C1222" s="7">
        <v>14305</v>
      </c>
      <c r="D1222" s="7">
        <v>14350</v>
      </c>
      <c r="E1222" s="7">
        <v>14250</v>
      </c>
      <c r="F1222" s="7">
        <v>14300</v>
      </c>
      <c r="G1222" s="34">
        <v>209</v>
      </c>
      <c r="H1222" s="35">
        <v>-80</v>
      </c>
      <c r="I1222" s="38">
        <f t="shared" si="18"/>
        <v>14302.5</v>
      </c>
    </row>
    <row r="1223" spans="1:9" x14ac:dyDescent="0.2">
      <c r="A1223" s="33">
        <v>43433</v>
      </c>
      <c r="B1223" s="36">
        <v>14380</v>
      </c>
      <c r="C1223" s="7">
        <v>14385</v>
      </c>
      <c r="D1223" s="7">
        <v>14460</v>
      </c>
      <c r="E1223" s="7">
        <v>14330</v>
      </c>
      <c r="F1223" s="7">
        <v>14460</v>
      </c>
      <c r="G1223" s="34">
        <v>192</v>
      </c>
      <c r="H1223" s="35">
        <v>-145</v>
      </c>
      <c r="I1223" s="38">
        <f t="shared" si="18"/>
        <v>14382.5</v>
      </c>
    </row>
    <row r="1224" spans="1:9" x14ac:dyDescent="0.2">
      <c r="A1224" s="33">
        <v>43432</v>
      </c>
      <c r="B1224" s="36">
        <v>14525</v>
      </c>
      <c r="C1224" s="7">
        <v>14530</v>
      </c>
      <c r="D1224" s="7">
        <v>14540</v>
      </c>
      <c r="E1224" s="7">
        <v>14507</v>
      </c>
      <c r="F1224" s="7">
        <v>14511</v>
      </c>
      <c r="G1224" s="34">
        <v>281</v>
      </c>
      <c r="H1224" s="35">
        <v>15</v>
      </c>
      <c r="I1224" s="38">
        <f t="shared" si="18"/>
        <v>14527.5</v>
      </c>
    </row>
    <row r="1225" spans="1:9" x14ac:dyDescent="0.2">
      <c r="A1225" s="33">
        <v>43431</v>
      </c>
      <c r="B1225" s="36">
        <v>14510</v>
      </c>
      <c r="C1225" s="7">
        <v>14517</v>
      </c>
      <c r="D1225" s="7">
        <v>14515</v>
      </c>
      <c r="E1225" s="7">
        <v>14475</v>
      </c>
      <c r="F1225" s="7">
        <v>14485</v>
      </c>
      <c r="G1225" s="34">
        <v>179</v>
      </c>
      <c r="H1225" s="35">
        <v>40</v>
      </c>
      <c r="I1225" s="38">
        <f t="shared" si="18"/>
        <v>14513.5</v>
      </c>
    </row>
    <row r="1226" spans="1:9" x14ac:dyDescent="0.2">
      <c r="A1226" s="33">
        <v>43430</v>
      </c>
      <c r="B1226" s="36">
        <v>14470</v>
      </c>
      <c r="C1226" s="7">
        <v>14480</v>
      </c>
      <c r="D1226" s="7">
        <v>14560</v>
      </c>
      <c r="E1226" s="7">
        <v>14450</v>
      </c>
      <c r="F1226" s="7">
        <v>14535</v>
      </c>
      <c r="G1226" s="34">
        <v>167</v>
      </c>
      <c r="H1226" s="35">
        <v>-65</v>
      </c>
      <c r="I1226" s="38">
        <f t="shared" si="18"/>
        <v>14475</v>
      </c>
    </row>
    <row r="1227" spans="1:9" x14ac:dyDescent="0.2">
      <c r="A1227" s="33">
        <v>43427</v>
      </c>
      <c r="B1227" s="36">
        <v>14535</v>
      </c>
      <c r="C1227" s="7">
        <v>14545</v>
      </c>
      <c r="D1227" s="7">
        <v>14557</v>
      </c>
      <c r="E1227" s="7">
        <v>14500</v>
      </c>
      <c r="F1227" s="7">
        <v>14550</v>
      </c>
      <c r="G1227" s="34">
        <v>115</v>
      </c>
      <c r="H1227" s="35">
        <v>-40</v>
      </c>
      <c r="I1227" s="38">
        <f t="shared" si="18"/>
        <v>14540</v>
      </c>
    </row>
    <row r="1228" spans="1:9" x14ac:dyDescent="0.2">
      <c r="A1228" s="33">
        <v>43426</v>
      </c>
      <c r="B1228" s="36">
        <v>14575</v>
      </c>
      <c r="C1228" s="7">
        <v>14580</v>
      </c>
      <c r="D1228" s="7">
        <v>14605</v>
      </c>
      <c r="E1228" s="7">
        <v>14565</v>
      </c>
      <c r="F1228" s="7">
        <v>14595</v>
      </c>
      <c r="G1228" s="34">
        <v>163</v>
      </c>
      <c r="H1228" s="35">
        <v>-25</v>
      </c>
      <c r="I1228" s="38">
        <f t="shared" si="18"/>
        <v>14577.5</v>
      </c>
    </row>
    <row r="1229" spans="1:9" x14ac:dyDescent="0.2">
      <c r="A1229" s="33">
        <v>43425</v>
      </c>
      <c r="B1229" s="36">
        <v>14600</v>
      </c>
      <c r="C1229" s="7">
        <v>14610</v>
      </c>
      <c r="D1229" s="7">
        <v>14640</v>
      </c>
      <c r="E1229" s="7">
        <v>14560</v>
      </c>
      <c r="F1229" s="7">
        <v>14610</v>
      </c>
      <c r="G1229" s="34">
        <v>145</v>
      </c>
      <c r="H1229" s="35">
        <v>15</v>
      </c>
      <c r="I1229" s="38">
        <f t="shared" si="18"/>
        <v>14605</v>
      </c>
    </row>
    <row r="1230" spans="1:9" x14ac:dyDescent="0.2">
      <c r="A1230" s="33">
        <v>43424</v>
      </c>
      <c r="B1230" s="36">
        <v>14585</v>
      </c>
      <c r="C1230" s="7">
        <v>14595</v>
      </c>
      <c r="D1230" s="7"/>
      <c r="E1230" s="7"/>
      <c r="F1230" s="7"/>
      <c r="G1230" s="34"/>
      <c r="H1230" s="35">
        <v>0</v>
      </c>
      <c r="I1230" s="38">
        <f t="shared" si="18"/>
        <v>14590</v>
      </c>
    </row>
    <row r="1231" spans="1:9" x14ac:dyDescent="0.2">
      <c r="A1231" s="33">
        <v>43423</v>
      </c>
      <c r="B1231" s="36">
        <v>14585</v>
      </c>
      <c r="C1231" s="7">
        <v>14595</v>
      </c>
      <c r="D1231" s="7">
        <v>14620</v>
      </c>
      <c r="E1231" s="7">
        <v>14515</v>
      </c>
      <c r="F1231" s="7">
        <v>14515</v>
      </c>
      <c r="G1231" s="34">
        <v>137</v>
      </c>
      <c r="H1231" s="35">
        <v>-23</v>
      </c>
      <c r="I1231" s="38">
        <f t="shared" si="18"/>
        <v>14590</v>
      </c>
    </row>
    <row r="1232" spans="1:9" x14ac:dyDescent="0.2">
      <c r="A1232" s="33">
        <v>43420</v>
      </c>
      <c r="B1232" s="36">
        <v>14608</v>
      </c>
      <c r="C1232" s="7">
        <v>14615</v>
      </c>
      <c r="D1232" s="7">
        <v>14610</v>
      </c>
      <c r="E1232" s="7">
        <v>14530</v>
      </c>
      <c r="F1232" s="7">
        <v>14600</v>
      </c>
      <c r="G1232" s="34">
        <v>194</v>
      </c>
      <c r="H1232" s="35">
        <v>-67</v>
      </c>
      <c r="I1232" s="38">
        <f t="shared" si="18"/>
        <v>14611.5</v>
      </c>
    </row>
    <row r="1233" spans="1:9" x14ac:dyDescent="0.2">
      <c r="A1233" s="33">
        <v>43419</v>
      </c>
      <c r="B1233" s="36">
        <v>14675</v>
      </c>
      <c r="C1233" s="7">
        <v>14680</v>
      </c>
      <c r="D1233" s="7">
        <v>14775</v>
      </c>
      <c r="E1233" s="7">
        <v>14630</v>
      </c>
      <c r="F1233" s="7">
        <v>14740</v>
      </c>
      <c r="G1233" s="34">
        <v>235</v>
      </c>
      <c r="H1233" s="35">
        <v>-110</v>
      </c>
      <c r="I1233" s="38">
        <f t="shared" si="18"/>
        <v>14677.5</v>
      </c>
    </row>
    <row r="1234" spans="1:9" x14ac:dyDescent="0.2">
      <c r="A1234" s="33">
        <v>43418</v>
      </c>
      <c r="B1234" s="36">
        <v>14785</v>
      </c>
      <c r="C1234" s="7">
        <v>14789</v>
      </c>
      <c r="D1234" s="7">
        <v>14800</v>
      </c>
      <c r="E1234" s="7">
        <v>14730</v>
      </c>
      <c r="F1234" s="7">
        <v>14800</v>
      </c>
      <c r="G1234" s="34">
        <v>172</v>
      </c>
      <c r="H1234" s="35">
        <v>-20</v>
      </c>
      <c r="I1234" s="38">
        <f t="shared" si="18"/>
        <v>14787</v>
      </c>
    </row>
    <row r="1235" spans="1:9" x14ac:dyDescent="0.2">
      <c r="A1235" s="33">
        <v>43417</v>
      </c>
      <c r="B1235" s="36">
        <v>14805</v>
      </c>
      <c r="C1235" s="7">
        <v>14815</v>
      </c>
      <c r="D1235" s="7">
        <v>14930</v>
      </c>
      <c r="E1235" s="7">
        <v>14750</v>
      </c>
      <c r="F1235" s="7">
        <v>14835</v>
      </c>
      <c r="G1235" s="34">
        <v>204</v>
      </c>
      <c r="H1235" s="35">
        <v>-5</v>
      </c>
      <c r="I1235" s="38">
        <f t="shared" si="18"/>
        <v>14810</v>
      </c>
    </row>
    <row r="1236" spans="1:9" x14ac:dyDescent="0.2">
      <c r="A1236" s="33">
        <v>43416</v>
      </c>
      <c r="B1236" s="36">
        <v>14810</v>
      </c>
      <c r="C1236" s="7">
        <v>14820</v>
      </c>
      <c r="D1236" s="7">
        <v>14830</v>
      </c>
      <c r="E1236" s="7">
        <v>14700</v>
      </c>
      <c r="F1236" s="7">
        <v>14700</v>
      </c>
      <c r="G1236" s="34">
        <v>109</v>
      </c>
      <c r="H1236" s="35">
        <v>130</v>
      </c>
      <c r="I1236" s="38">
        <f t="shared" si="18"/>
        <v>14815</v>
      </c>
    </row>
    <row r="1237" spans="1:9" x14ac:dyDescent="0.2">
      <c r="A1237" s="33">
        <v>43413</v>
      </c>
      <c r="B1237" s="36">
        <v>14680</v>
      </c>
      <c r="C1237" s="7">
        <v>14690</v>
      </c>
      <c r="D1237" s="7">
        <v>14690</v>
      </c>
      <c r="E1237" s="7">
        <v>14600</v>
      </c>
      <c r="F1237" s="7">
        <v>14600</v>
      </c>
      <c r="G1237" s="34">
        <v>158</v>
      </c>
      <c r="H1237" s="35">
        <v>145</v>
      </c>
      <c r="I1237" s="38">
        <f t="shared" si="18"/>
        <v>14685</v>
      </c>
    </row>
    <row r="1238" spans="1:9" x14ac:dyDescent="0.2">
      <c r="A1238" s="33">
        <v>43412</v>
      </c>
      <c r="B1238" s="36">
        <v>14535</v>
      </c>
      <c r="C1238" s="7">
        <v>14545</v>
      </c>
      <c r="D1238" s="7">
        <v>14665</v>
      </c>
      <c r="E1238" s="7">
        <v>14450</v>
      </c>
      <c r="F1238" s="7">
        <v>14596</v>
      </c>
      <c r="G1238" s="34">
        <v>185</v>
      </c>
      <c r="H1238" s="35">
        <v>-40</v>
      </c>
      <c r="I1238" s="38">
        <f t="shared" si="18"/>
        <v>14540</v>
      </c>
    </row>
    <row r="1239" spans="1:9" x14ac:dyDescent="0.2">
      <c r="A1239" s="33">
        <v>43411</v>
      </c>
      <c r="B1239" s="36">
        <v>14575</v>
      </c>
      <c r="C1239" s="7">
        <v>14585</v>
      </c>
      <c r="D1239" s="7">
        <v>14800</v>
      </c>
      <c r="E1239" s="7">
        <v>14575</v>
      </c>
      <c r="F1239" s="7">
        <v>14770</v>
      </c>
      <c r="G1239" s="34">
        <v>192</v>
      </c>
      <c r="H1239" s="35">
        <v>-225</v>
      </c>
      <c r="I1239" s="38">
        <f t="shared" si="18"/>
        <v>14580</v>
      </c>
    </row>
    <row r="1240" spans="1:9" x14ac:dyDescent="0.2">
      <c r="A1240" s="33">
        <v>43410</v>
      </c>
      <c r="B1240" s="36">
        <v>14800</v>
      </c>
      <c r="C1240" s="7">
        <v>14805</v>
      </c>
      <c r="D1240" s="7">
        <v>14950</v>
      </c>
      <c r="E1240" s="7">
        <v>14780</v>
      </c>
      <c r="F1240" s="7">
        <v>14950</v>
      </c>
      <c r="G1240" s="34">
        <v>206</v>
      </c>
      <c r="H1240" s="35">
        <v>-175</v>
      </c>
      <c r="I1240" s="38">
        <f t="shared" si="18"/>
        <v>14802.5</v>
      </c>
    </row>
    <row r="1241" spans="1:9" x14ac:dyDescent="0.2">
      <c r="A1241" s="33">
        <v>43409</v>
      </c>
      <c r="B1241" s="36">
        <v>14975</v>
      </c>
      <c r="C1241" s="7">
        <v>14977</v>
      </c>
      <c r="D1241" s="7">
        <v>14987</v>
      </c>
      <c r="E1241" s="7">
        <v>14950</v>
      </c>
      <c r="F1241" s="7">
        <v>14950</v>
      </c>
      <c r="G1241" s="34">
        <v>153</v>
      </c>
      <c r="H1241" s="35">
        <v>25</v>
      </c>
      <c r="I1241" s="38">
        <f t="shared" si="18"/>
        <v>14976</v>
      </c>
    </row>
    <row r="1242" spans="1:9" x14ac:dyDescent="0.2">
      <c r="A1242" s="33">
        <v>43406</v>
      </c>
      <c r="B1242" s="36">
        <v>14950</v>
      </c>
      <c r="C1242" s="7">
        <v>14955</v>
      </c>
      <c r="D1242" s="7">
        <v>15095</v>
      </c>
      <c r="E1242" s="7">
        <v>14940</v>
      </c>
      <c r="F1242" s="7">
        <v>15085</v>
      </c>
      <c r="G1242" s="34">
        <v>207</v>
      </c>
      <c r="H1242" s="35">
        <v>-175</v>
      </c>
      <c r="I1242" s="38">
        <f t="shared" si="18"/>
        <v>14952.5</v>
      </c>
    </row>
    <row r="1243" spans="1:9" x14ac:dyDescent="0.2">
      <c r="A1243" s="33">
        <v>43405</v>
      </c>
      <c r="B1243" s="36">
        <v>15125</v>
      </c>
      <c r="C1243" s="7">
        <v>15130</v>
      </c>
      <c r="D1243" s="7">
        <v>15198</v>
      </c>
      <c r="E1243" s="7">
        <v>15114</v>
      </c>
      <c r="F1243" s="7">
        <v>15180</v>
      </c>
      <c r="G1243" s="34">
        <v>131</v>
      </c>
      <c r="H1243" s="35">
        <v>-75</v>
      </c>
      <c r="I1243" s="38">
        <f t="shared" si="18"/>
        <v>15127.5</v>
      </c>
    </row>
    <row r="1244" spans="1:9" x14ac:dyDescent="0.2">
      <c r="A1244" s="33">
        <v>43404</v>
      </c>
      <c r="B1244" s="36">
        <v>15200</v>
      </c>
      <c r="C1244" s="7">
        <v>15205</v>
      </c>
      <c r="D1244" s="7">
        <v>15231</v>
      </c>
      <c r="E1244" s="7">
        <v>15195</v>
      </c>
      <c r="F1244" s="7">
        <v>15215</v>
      </c>
      <c r="G1244" s="34">
        <v>114</v>
      </c>
      <c r="H1244" s="35">
        <v>-22</v>
      </c>
      <c r="I1244" s="38">
        <f t="shared" si="18"/>
        <v>15202.5</v>
      </c>
    </row>
    <row r="1245" spans="1:9" x14ac:dyDescent="0.2">
      <c r="A1245" s="33">
        <v>43403</v>
      </c>
      <c r="B1245" s="36">
        <v>15222</v>
      </c>
      <c r="C1245" s="7">
        <v>15224</v>
      </c>
      <c r="D1245" s="7">
        <v>15240</v>
      </c>
      <c r="E1245" s="7">
        <v>15215</v>
      </c>
      <c r="F1245" s="7">
        <v>15220</v>
      </c>
      <c r="G1245" s="34">
        <v>78</v>
      </c>
      <c r="H1245" s="35">
        <v>7</v>
      </c>
      <c r="I1245" s="38">
        <f t="shared" si="18"/>
        <v>15223</v>
      </c>
    </row>
    <row r="1246" spans="1:9" x14ac:dyDescent="0.2">
      <c r="A1246" s="33">
        <v>43402</v>
      </c>
      <c r="B1246" s="36">
        <v>15215</v>
      </c>
      <c r="C1246" s="7">
        <v>15225</v>
      </c>
      <c r="D1246" s="7">
        <v>15225</v>
      </c>
      <c r="E1246" s="7">
        <v>15200</v>
      </c>
      <c r="F1246" s="7">
        <v>15200</v>
      </c>
      <c r="G1246" s="34">
        <v>77</v>
      </c>
      <c r="H1246" s="35">
        <v>0</v>
      </c>
      <c r="I1246" s="38">
        <f t="shared" si="18"/>
        <v>15220</v>
      </c>
    </row>
    <row r="1247" spans="1:9" x14ac:dyDescent="0.2">
      <c r="A1247" s="33">
        <v>43399</v>
      </c>
      <c r="B1247" s="36">
        <v>15215</v>
      </c>
      <c r="C1247" s="7">
        <v>15218</v>
      </c>
      <c r="D1247" s="7">
        <v>15215</v>
      </c>
      <c r="E1247" s="7">
        <v>15184</v>
      </c>
      <c r="F1247" s="7">
        <v>15185</v>
      </c>
      <c r="G1247" s="34">
        <v>87</v>
      </c>
      <c r="H1247" s="35">
        <v>30</v>
      </c>
      <c r="I1247" s="38">
        <f t="shared" si="18"/>
        <v>15216.5</v>
      </c>
    </row>
    <row r="1248" spans="1:9" x14ac:dyDescent="0.2">
      <c r="A1248" s="33">
        <v>43398</v>
      </c>
      <c r="B1248" s="36">
        <v>15185</v>
      </c>
      <c r="C1248" s="7">
        <v>15190</v>
      </c>
      <c r="D1248" s="7">
        <v>15210</v>
      </c>
      <c r="E1248" s="7">
        <v>15180</v>
      </c>
      <c r="F1248" s="7">
        <v>15200</v>
      </c>
      <c r="G1248" s="34">
        <v>112</v>
      </c>
      <c r="H1248" s="35">
        <v>-10</v>
      </c>
      <c r="I1248" s="38">
        <f t="shared" ref="I1248:I1311" si="19">+(B1248+C1248)*0.5</f>
        <v>15187.5</v>
      </c>
    </row>
    <row r="1249" spans="1:9" x14ac:dyDescent="0.2">
      <c r="A1249" s="33">
        <v>43397</v>
      </c>
      <c r="B1249" s="36">
        <v>15195</v>
      </c>
      <c r="C1249" s="7">
        <v>15199</v>
      </c>
      <c r="D1249" s="7">
        <v>15197</v>
      </c>
      <c r="E1249" s="7">
        <v>15175</v>
      </c>
      <c r="F1249" s="7">
        <v>15180</v>
      </c>
      <c r="G1249" s="34">
        <v>103</v>
      </c>
      <c r="H1249" s="35">
        <v>10</v>
      </c>
      <c r="I1249" s="38">
        <f t="shared" si="19"/>
        <v>15197</v>
      </c>
    </row>
    <row r="1250" spans="1:9" x14ac:dyDescent="0.2">
      <c r="A1250" s="33">
        <v>43396</v>
      </c>
      <c r="B1250" s="36">
        <v>15185</v>
      </c>
      <c r="C1250" s="7">
        <v>15195</v>
      </c>
      <c r="D1250" s="7">
        <v>15212</v>
      </c>
      <c r="E1250" s="7">
        <v>15185</v>
      </c>
      <c r="F1250" s="7">
        <v>15185</v>
      </c>
      <c r="G1250" s="34">
        <v>109</v>
      </c>
      <c r="H1250" s="35">
        <v>5</v>
      </c>
      <c r="I1250" s="38">
        <f t="shared" si="19"/>
        <v>15190</v>
      </c>
    </row>
    <row r="1251" spans="1:9" x14ac:dyDescent="0.2">
      <c r="A1251" s="33">
        <v>43395</v>
      </c>
      <c r="B1251" s="36">
        <v>15180</v>
      </c>
      <c r="C1251" s="7">
        <v>15190</v>
      </c>
      <c r="D1251" s="7">
        <v>15195</v>
      </c>
      <c r="E1251" s="7">
        <v>15175</v>
      </c>
      <c r="F1251" s="7">
        <v>15180</v>
      </c>
      <c r="G1251" s="34">
        <v>93</v>
      </c>
      <c r="H1251" s="35">
        <v>-5</v>
      </c>
      <c r="I1251" s="38">
        <f t="shared" si="19"/>
        <v>15185</v>
      </c>
    </row>
    <row r="1252" spans="1:9" x14ac:dyDescent="0.2">
      <c r="A1252" s="33">
        <v>43392</v>
      </c>
      <c r="B1252" s="36">
        <v>15185</v>
      </c>
      <c r="C1252" s="7">
        <v>15190</v>
      </c>
      <c r="D1252" s="7">
        <v>15220</v>
      </c>
      <c r="E1252" s="7">
        <v>15175</v>
      </c>
      <c r="F1252" s="7">
        <v>15195</v>
      </c>
      <c r="G1252" s="34">
        <v>66</v>
      </c>
      <c r="H1252" s="35">
        <v>-7</v>
      </c>
      <c r="I1252" s="38">
        <f t="shared" si="19"/>
        <v>15187.5</v>
      </c>
    </row>
    <row r="1253" spans="1:9" x14ac:dyDescent="0.2">
      <c r="A1253" s="33">
        <v>43391</v>
      </c>
      <c r="B1253" s="36">
        <v>15192</v>
      </c>
      <c r="C1253" s="7">
        <v>15195</v>
      </c>
      <c r="D1253" s="7">
        <v>15195</v>
      </c>
      <c r="E1253" s="7">
        <v>15160</v>
      </c>
      <c r="F1253" s="7">
        <v>15160</v>
      </c>
      <c r="G1253" s="34">
        <v>55</v>
      </c>
      <c r="H1253" s="35">
        <v>42</v>
      </c>
      <c r="I1253" s="38">
        <f t="shared" si="19"/>
        <v>15193.5</v>
      </c>
    </row>
    <row r="1254" spans="1:9" x14ac:dyDescent="0.2">
      <c r="A1254" s="33">
        <v>43390</v>
      </c>
      <c r="B1254" s="36">
        <v>15150</v>
      </c>
      <c r="C1254" s="7">
        <v>15160</v>
      </c>
      <c r="D1254" s="7">
        <v>15190</v>
      </c>
      <c r="E1254" s="7">
        <v>15140</v>
      </c>
      <c r="F1254" s="7">
        <v>15150</v>
      </c>
      <c r="G1254" s="34">
        <v>113</v>
      </c>
      <c r="H1254" s="35">
        <v>-45</v>
      </c>
      <c r="I1254" s="38">
        <f t="shared" si="19"/>
        <v>15155</v>
      </c>
    </row>
    <row r="1255" spans="1:9" x14ac:dyDescent="0.2">
      <c r="A1255" s="33">
        <v>43389</v>
      </c>
      <c r="B1255" s="36">
        <v>15195</v>
      </c>
      <c r="C1255" s="7">
        <v>15205</v>
      </c>
      <c r="D1255" s="7">
        <v>15225</v>
      </c>
      <c r="E1255" s="7">
        <v>15170</v>
      </c>
      <c r="F1255" s="7">
        <v>15180</v>
      </c>
      <c r="G1255" s="34">
        <v>125</v>
      </c>
      <c r="H1255" s="35">
        <v>-5</v>
      </c>
      <c r="I1255" s="38">
        <f t="shared" si="19"/>
        <v>15200</v>
      </c>
    </row>
    <row r="1256" spans="1:9" x14ac:dyDescent="0.2">
      <c r="A1256" s="33">
        <v>43388</v>
      </c>
      <c r="B1256" s="36">
        <v>15200</v>
      </c>
      <c r="C1256" s="7">
        <v>15220</v>
      </c>
      <c r="D1256" s="7">
        <v>15250</v>
      </c>
      <c r="E1256" s="7">
        <v>15180</v>
      </c>
      <c r="F1256" s="7">
        <v>15200</v>
      </c>
      <c r="G1256" s="34">
        <v>69</v>
      </c>
      <c r="H1256" s="35">
        <v>0</v>
      </c>
      <c r="I1256" s="38">
        <f t="shared" si="19"/>
        <v>15210</v>
      </c>
    </row>
    <row r="1257" spans="1:9" x14ac:dyDescent="0.2">
      <c r="A1257" s="33">
        <v>43385</v>
      </c>
      <c r="B1257" s="36">
        <v>15200</v>
      </c>
      <c r="C1257" s="7">
        <v>15210</v>
      </c>
      <c r="D1257" s="7">
        <v>15200</v>
      </c>
      <c r="E1257" s="7">
        <v>15175</v>
      </c>
      <c r="F1257" s="7">
        <v>15200</v>
      </c>
      <c r="G1257" s="34">
        <v>99</v>
      </c>
      <c r="H1257" s="35">
        <v>-30</v>
      </c>
      <c r="I1257" s="38">
        <f t="shared" si="19"/>
        <v>15205</v>
      </c>
    </row>
    <row r="1258" spans="1:9" x14ac:dyDescent="0.2">
      <c r="A1258" s="33">
        <v>43384</v>
      </c>
      <c r="B1258" s="36">
        <v>15230</v>
      </c>
      <c r="C1258" s="7">
        <v>15240</v>
      </c>
      <c r="D1258" s="7">
        <v>15265</v>
      </c>
      <c r="E1258" s="7">
        <v>15210</v>
      </c>
      <c r="F1258" s="7">
        <v>15210</v>
      </c>
      <c r="G1258" s="34">
        <v>98</v>
      </c>
      <c r="H1258" s="35">
        <v>32</v>
      </c>
      <c r="I1258" s="38">
        <f t="shared" si="19"/>
        <v>15235</v>
      </c>
    </row>
    <row r="1259" spans="1:9" x14ac:dyDescent="0.2">
      <c r="A1259" s="33">
        <v>43383</v>
      </c>
      <c r="B1259" s="36">
        <v>15198</v>
      </c>
      <c r="C1259" s="7">
        <v>15208</v>
      </c>
      <c r="D1259" s="7">
        <v>15225</v>
      </c>
      <c r="E1259" s="7">
        <v>15175</v>
      </c>
      <c r="F1259" s="7">
        <v>15180</v>
      </c>
      <c r="G1259" s="34">
        <v>135</v>
      </c>
      <c r="H1259" s="35">
        <v>-27</v>
      </c>
      <c r="I1259" s="38">
        <f t="shared" si="19"/>
        <v>15203</v>
      </c>
    </row>
    <row r="1260" spans="1:9" x14ac:dyDescent="0.2">
      <c r="A1260" s="33">
        <v>43382</v>
      </c>
      <c r="B1260" s="36">
        <v>15225</v>
      </c>
      <c r="C1260" s="7">
        <v>15235</v>
      </c>
      <c r="D1260" s="7">
        <v>15253</v>
      </c>
      <c r="E1260" s="7">
        <v>15205</v>
      </c>
      <c r="F1260" s="7">
        <v>15205</v>
      </c>
      <c r="G1260" s="34">
        <v>97</v>
      </c>
      <c r="H1260" s="35">
        <v>10</v>
      </c>
      <c r="I1260" s="38">
        <f t="shared" si="19"/>
        <v>15230</v>
      </c>
    </row>
    <row r="1261" spans="1:9" x14ac:dyDescent="0.2">
      <c r="A1261" s="33">
        <v>43381</v>
      </c>
      <c r="B1261" s="36">
        <v>15215</v>
      </c>
      <c r="C1261" s="7">
        <v>15220</v>
      </c>
      <c r="D1261" s="7">
        <v>15258</v>
      </c>
      <c r="E1261" s="7">
        <v>15184</v>
      </c>
      <c r="F1261" s="7">
        <v>15184</v>
      </c>
      <c r="G1261" s="34">
        <v>105</v>
      </c>
      <c r="H1261" s="35">
        <v>40</v>
      </c>
      <c r="I1261" s="38">
        <f t="shared" si="19"/>
        <v>15217.5</v>
      </c>
    </row>
    <row r="1262" spans="1:9" x14ac:dyDescent="0.2">
      <c r="A1262" s="33">
        <v>43378</v>
      </c>
      <c r="B1262" s="36">
        <v>15175</v>
      </c>
      <c r="C1262" s="7">
        <v>15185</v>
      </c>
      <c r="D1262" s="7">
        <v>15188</v>
      </c>
      <c r="E1262" s="7">
        <v>15155</v>
      </c>
      <c r="F1262" s="7">
        <v>15178</v>
      </c>
      <c r="G1262" s="34">
        <v>133</v>
      </c>
      <c r="H1262" s="35">
        <v>10</v>
      </c>
      <c r="I1262" s="38">
        <f t="shared" si="19"/>
        <v>15180</v>
      </c>
    </row>
    <row r="1263" spans="1:9" x14ac:dyDescent="0.2">
      <c r="A1263" s="33">
        <v>43377</v>
      </c>
      <c r="B1263" s="36">
        <v>15165</v>
      </c>
      <c r="C1263" s="7">
        <v>15175</v>
      </c>
      <c r="D1263" s="7">
        <v>15190</v>
      </c>
      <c r="E1263" s="7">
        <v>15095</v>
      </c>
      <c r="F1263" s="7">
        <v>15095</v>
      </c>
      <c r="G1263" s="34">
        <v>87</v>
      </c>
      <c r="H1263" s="35">
        <v>95</v>
      </c>
      <c r="I1263" s="38">
        <f t="shared" si="19"/>
        <v>15170</v>
      </c>
    </row>
    <row r="1264" spans="1:9" x14ac:dyDescent="0.2">
      <c r="A1264" s="33">
        <v>43376</v>
      </c>
      <c r="B1264" s="36">
        <v>15070</v>
      </c>
      <c r="C1264" s="7">
        <v>15080</v>
      </c>
      <c r="D1264" s="7">
        <v>15090</v>
      </c>
      <c r="E1264" s="7">
        <v>15045</v>
      </c>
      <c r="F1264" s="7">
        <v>15045</v>
      </c>
      <c r="G1264" s="34">
        <v>82</v>
      </c>
      <c r="H1264" s="35">
        <v>30</v>
      </c>
      <c r="I1264" s="38">
        <f t="shared" si="19"/>
        <v>15075</v>
      </c>
    </row>
    <row r="1265" spans="1:9" x14ac:dyDescent="0.2">
      <c r="A1265" s="33">
        <v>43375</v>
      </c>
      <c r="B1265" s="36">
        <v>15040</v>
      </c>
      <c r="C1265" s="7">
        <v>15050</v>
      </c>
      <c r="D1265" s="7">
        <v>15048</v>
      </c>
      <c r="E1265" s="7">
        <v>14910</v>
      </c>
      <c r="F1265" s="7">
        <v>14910</v>
      </c>
      <c r="G1265" s="34">
        <v>100</v>
      </c>
      <c r="H1265" s="35">
        <v>135</v>
      </c>
      <c r="I1265" s="38">
        <f t="shared" si="19"/>
        <v>15045</v>
      </c>
    </row>
    <row r="1266" spans="1:9" x14ac:dyDescent="0.2">
      <c r="A1266" s="33">
        <v>43374</v>
      </c>
      <c r="B1266" s="36">
        <v>14905</v>
      </c>
      <c r="C1266" s="7">
        <v>14915</v>
      </c>
      <c r="D1266" s="7">
        <v>14910</v>
      </c>
      <c r="E1266" s="7">
        <v>14880</v>
      </c>
      <c r="F1266" s="7">
        <v>14880</v>
      </c>
      <c r="G1266" s="34">
        <v>82</v>
      </c>
      <c r="H1266" s="35">
        <v>5</v>
      </c>
      <c r="I1266" s="38">
        <f t="shared" si="19"/>
        <v>14910</v>
      </c>
    </row>
    <row r="1267" spans="1:9" x14ac:dyDescent="0.2">
      <c r="A1267" s="33">
        <v>43371</v>
      </c>
      <c r="B1267" s="36">
        <v>14900</v>
      </c>
      <c r="C1267" s="7">
        <v>14903</v>
      </c>
      <c r="D1267" s="7">
        <v>14935</v>
      </c>
      <c r="E1267" s="7">
        <v>14885</v>
      </c>
      <c r="F1267" s="7">
        <v>14930</v>
      </c>
      <c r="G1267" s="34">
        <v>152</v>
      </c>
      <c r="H1267" s="35">
        <v>-12</v>
      </c>
      <c r="I1267" s="38">
        <f t="shared" si="19"/>
        <v>14901.5</v>
      </c>
    </row>
    <row r="1268" spans="1:9" x14ac:dyDescent="0.2">
      <c r="A1268" s="33">
        <v>43370</v>
      </c>
      <c r="B1268" s="36">
        <v>14912</v>
      </c>
      <c r="C1268" s="7">
        <v>14922</v>
      </c>
      <c r="D1268" s="7">
        <v>14925</v>
      </c>
      <c r="E1268" s="7">
        <v>14880</v>
      </c>
      <c r="F1268" s="7">
        <v>14910</v>
      </c>
      <c r="G1268" s="34">
        <v>156</v>
      </c>
      <c r="H1268" s="35">
        <v>12</v>
      </c>
      <c r="I1268" s="38">
        <f t="shared" si="19"/>
        <v>14917</v>
      </c>
    </row>
    <row r="1269" spans="1:9" x14ac:dyDescent="0.2">
      <c r="A1269" s="33">
        <v>43369</v>
      </c>
      <c r="B1269" s="36">
        <v>14900</v>
      </c>
      <c r="C1269" s="7">
        <v>14910</v>
      </c>
      <c r="D1269" s="7">
        <v>14940</v>
      </c>
      <c r="E1269" s="7">
        <v>14900</v>
      </c>
      <c r="F1269" s="7">
        <v>14925</v>
      </c>
      <c r="G1269" s="34">
        <v>125</v>
      </c>
      <c r="H1269" s="35">
        <v>-15</v>
      </c>
      <c r="I1269" s="38">
        <f t="shared" si="19"/>
        <v>14905</v>
      </c>
    </row>
    <row r="1270" spans="1:9" x14ac:dyDescent="0.2">
      <c r="A1270" s="33">
        <v>43368</v>
      </c>
      <c r="B1270" s="36">
        <v>14915</v>
      </c>
      <c r="C1270" s="7">
        <v>14925</v>
      </c>
      <c r="D1270" s="7">
        <v>14915</v>
      </c>
      <c r="E1270" s="7">
        <v>14865</v>
      </c>
      <c r="F1270" s="7">
        <v>14865</v>
      </c>
      <c r="G1270" s="34">
        <v>117</v>
      </c>
      <c r="H1270" s="35">
        <v>55</v>
      </c>
      <c r="I1270" s="38">
        <f t="shared" si="19"/>
        <v>14920</v>
      </c>
    </row>
    <row r="1271" spans="1:9" x14ac:dyDescent="0.2">
      <c r="A1271" s="33">
        <v>43367</v>
      </c>
      <c r="B1271" s="36">
        <v>14860</v>
      </c>
      <c r="C1271" s="7">
        <v>14875</v>
      </c>
      <c r="D1271" s="7">
        <v>14878</v>
      </c>
      <c r="E1271" s="7">
        <v>14825</v>
      </c>
      <c r="F1271" s="7">
        <v>14825</v>
      </c>
      <c r="G1271" s="34">
        <v>88</v>
      </c>
      <c r="H1271" s="35">
        <v>44</v>
      </c>
      <c r="I1271" s="38">
        <f t="shared" si="19"/>
        <v>14867.5</v>
      </c>
    </row>
    <row r="1272" spans="1:9" x14ac:dyDescent="0.2">
      <c r="A1272" s="33">
        <v>43364</v>
      </c>
      <c r="B1272" s="36">
        <v>14816</v>
      </c>
      <c r="C1272" s="7">
        <v>14822</v>
      </c>
      <c r="D1272" s="7">
        <v>14835</v>
      </c>
      <c r="E1272" s="7">
        <v>14790</v>
      </c>
      <c r="F1272" s="7">
        <v>14810</v>
      </c>
      <c r="G1272" s="34">
        <v>211</v>
      </c>
      <c r="H1272" s="35">
        <v>-24</v>
      </c>
      <c r="I1272" s="38">
        <f t="shared" si="19"/>
        <v>14819</v>
      </c>
    </row>
    <row r="1273" spans="1:9" x14ac:dyDescent="0.2">
      <c r="A1273" s="33">
        <v>43363</v>
      </c>
      <c r="B1273" s="36">
        <v>14840</v>
      </c>
      <c r="C1273" s="7">
        <v>14850</v>
      </c>
      <c r="D1273" s="7">
        <v>14851</v>
      </c>
      <c r="E1273" s="7">
        <v>14810</v>
      </c>
      <c r="F1273" s="7">
        <v>14820</v>
      </c>
      <c r="G1273" s="34">
        <v>91</v>
      </c>
      <c r="H1273" s="35">
        <v>-30</v>
      </c>
      <c r="I1273" s="38">
        <f t="shared" si="19"/>
        <v>14845</v>
      </c>
    </row>
    <row r="1274" spans="1:9" x14ac:dyDescent="0.2">
      <c r="A1274" s="33">
        <v>43362</v>
      </c>
      <c r="B1274" s="36">
        <v>14870</v>
      </c>
      <c r="C1274" s="7">
        <v>14880</v>
      </c>
      <c r="D1274" s="7">
        <v>14905</v>
      </c>
      <c r="E1274" s="7">
        <v>14850</v>
      </c>
      <c r="F1274" s="7">
        <v>14850</v>
      </c>
      <c r="G1274" s="34">
        <v>79</v>
      </c>
      <c r="H1274" s="35">
        <v>20</v>
      </c>
      <c r="I1274" s="38">
        <f t="shared" si="19"/>
        <v>14875</v>
      </c>
    </row>
    <row r="1275" spans="1:9" x14ac:dyDescent="0.2">
      <c r="A1275" s="33">
        <v>43361</v>
      </c>
      <c r="B1275" s="36">
        <v>14850</v>
      </c>
      <c r="C1275" s="7">
        <v>14860</v>
      </c>
      <c r="D1275" s="7">
        <v>14930</v>
      </c>
      <c r="E1275" s="7">
        <v>14850</v>
      </c>
      <c r="F1275" s="7">
        <v>14885</v>
      </c>
      <c r="G1275" s="34">
        <v>73</v>
      </c>
      <c r="H1275" s="35">
        <v>-20</v>
      </c>
      <c r="I1275" s="38">
        <f t="shared" si="19"/>
        <v>14855</v>
      </c>
    </row>
    <row r="1276" spans="1:9" x14ac:dyDescent="0.2">
      <c r="A1276" s="33">
        <v>43360</v>
      </c>
      <c r="B1276" s="36">
        <v>14870</v>
      </c>
      <c r="C1276" s="7">
        <v>14885</v>
      </c>
      <c r="D1276" s="7">
        <v>14910</v>
      </c>
      <c r="E1276" s="7">
        <v>14830</v>
      </c>
      <c r="F1276" s="7">
        <v>14830</v>
      </c>
      <c r="G1276" s="34">
        <v>50</v>
      </c>
      <c r="H1276" s="35">
        <v>70</v>
      </c>
      <c r="I1276" s="38">
        <f t="shared" si="19"/>
        <v>14877.5</v>
      </c>
    </row>
    <row r="1277" spans="1:9" x14ac:dyDescent="0.2">
      <c r="A1277" s="33">
        <v>43357</v>
      </c>
      <c r="B1277" s="36">
        <v>14800</v>
      </c>
      <c r="C1277" s="7">
        <v>14810</v>
      </c>
      <c r="D1277" s="7">
        <v>14840</v>
      </c>
      <c r="E1277" s="7">
        <v>14770</v>
      </c>
      <c r="F1277" s="7">
        <v>14780</v>
      </c>
      <c r="G1277" s="34">
        <v>165</v>
      </c>
      <c r="H1277" s="35">
        <v>-35</v>
      </c>
      <c r="I1277" s="38">
        <f t="shared" si="19"/>
        <v>14805</v>
      </c>
    </row>
    <row r="1278" spans="1:9" x14ac:dyDescent="0.2">
      <c r="A1278" s="33">
        <v>43356</v>
      </c>
      <c r="B1278" s="36">
        <v>14835</v>
      </c>
      <c r="C1278" s="7">
        <v>14845</v>
      </c>
      <c r="D1278" s="7">
        <v>14842</v>
      </c>
      <c r="E1278" s="7">
        <v>14770</v>
      </c>
      <c r="F1278" s="7">
        <v>14800</v>
      </c>
      <c r="G1278" s="34">
        <v>39</v>
      </c>
      <c r="H1278" s="35">
        <v>15</v>
      </c>
      <c r="I1278" s="38">
        <f t="shared" si="19"/>
        <v>14840</v>
      </c>
    </row>
    <row r="1279" spans="1:9" x14ac:dyDescent="0.2">
      <c r="A1279" s="33">
        <v>43355</v>
      </c>
      <c r="B1279" s="36">
        <v>14820</v>
      </c>
      <c r="C1279" s="7">
        <v>14830</v>
      </c>
      <c r="D1279" s="7">
        <v>14885</v>
      </c>
      <c r="E1279" s="7">
        <v>14820</v>
      </c>
      <c r="F1279" s="7">
        <v>14820</v>
      </c>
      <c r="G1279" s="34">
        <v>102</v>
      </c>
      <c r="H1279" s="35">
        <v>-32</v>
      </c>
      <c r="I1279" s="38">
        <f t="shared" si="19"/>
        <v>14825</v>
      </c>
    </row>
    <row r="1280" spans="1:9" x14ac:dyDescent="0.2">
      <c r="A1280" s="33">
        <v>43354</v>
      </c>
      <c r="B1280" s="36">
        <v>14852</v>
      </c>
      <c r="C1280" s="7">
        <v>14862</v>
      </c>
      <c r="D1280" s="7"/>
      <c r="E1280" s="7"/>
      <c r="F1280" s="7"/>
      <c r="G1280" s="34"/>
      <c r="H1280" s="35">
        <v>0</v>
      </c>
      <c r="I1280" s="38">
        <f t="shared" si="19"/>
        <v>14857</v>
      </c>
    </row>
    <row r="1281" spans="1:9" x14ac:dyDescent="0.2">
      <c r="A1281" s="33">
        <v>43353</v>
      </c>
      <c r="B1281" s="36">
        <v>14852</v>
      </c>
      <c r="C1281" s="7">
        <v>14862</v>
      </c>
      <c r="D1281" s="7">
        <v>14875</v>
      </c>
      <c r="E1281" s="7">
        <v>14815</v>
      </c>
      <c r="F1281" s="7">
        <v>14820</v>
      </c>
      <c r="G1281" s="34">
        <v>61</v>
      </c>
      <c r="H1281" s="35">
        <v>37</v>
      </c>
      <c r="I1281" s="38">
        <f t="shared" si="19"/>
        <v>14857</v>
      </c>
    </row>
    <row r="1282" spans="1:9" x14ac:dyDescent="0.2">
      <c r="A1282" s="33">
        <v>43350</v>
      </c>
      <c r="B1282" s="36">
        <v>14815</v>
      </c>
      <c r="C1282" s="7">
        <v>14825</v>
      </c>
      <c r="D1282" s="7">
        <v>14899</v>
      </c>
      <c r="E1282" s="7">
        <v>14815</v>
      </c>
      <c r="F1282" s="7">
        <v>14865</v>
      </c>
      <c r="G1282" s="34">
        <v>142</v>
      </c>
      <c r="H1282" s="35">
        <v>-70</v>
      </c>
      <c r="I1282" s="38">
        <f t="shared" si="19"/>
        <v>14820</v>
      </c>
    </row>
    <row r="1283" spans="1:9" x14ac:dyDescent="0.2">
      <c r="A1283" s="33">
        <v>43349</v>
      </c>
      <c r="B1283" s="36">
        <v>14885</v>
      </c>
      <c r="C1283" s="7">
        <v>14895</v>
      </c>
      <c r="D1283" s="7">
        <v>14905</v>
      </c>
      <c r="E1283" s="7">
        <v>14849</v>
      </c>
      <c r="F1283" s="7">
        <v>14900</v>
      </c>
      <c r="G1283" s="34">
        <v>46</v>
      </c>
      <c r="H1283" s="35">
        <v>-45</v>
      </c>
      <c r="I1283" s="38">
        <f t="shared" si="19"/>
        <v>14890</v>
      </c>
    </row>
    <row r="1284" spans="1:9" x14ac:dyDescent="0.2">
      <c r="A1284" s="33">
        <v>43348</v>
      </c>
      <c r="B1284" s="36">
        <v>14930</v>
      </c>
      <c r="C1284" s="7">
        <v>14940</v>
      </c>
      <c r="D1284" s="7">
        <v>14940</v>
      </c>
      <c r="E1284" s="7">
        <v>14924</v>
      </c>
      <c r="F1284" s="7">
        <v>14925</v>
      </c>
      <c r="G1284" s="34">
        <v>21</v>
      </c>
      <c r="H1284" s="35">
        <v>0</v>
      </c>
      <c r="I1284" s="38">
        <f t="shared" si="19"/>
        <v>14935</v>
      </c>
    </row>
    <row r="1285" spans="1:9" x14ac:dyDescent="0.2">
      <c r="A1285" s="33">
        <v>43347</v>
      </c>
      <c r="B1285" s="36">
        <v>14930</v>
      </c>
      <c r="C1285" s="7">
        <v>14940</v>
      </c>
      <c r="D1285" s="7">
        <v>14940</v>
      </c>
      <c r="E1285" s="7">
        <v>14815</v>
      </c>
      <c r="F1285" s="7">
        <v>14815</v>
      </c>
      <c r="G1285" s="34">
        <v>33</v>
      </c>
      <c r="H1285" s="35">
        <v>120</v>
      </c>
      <c r="I1285" s="38">
        <f t="shared" si="19"/>
        <v>14935</v>
      </c>
    </row>
    <row r="1286" spans="1:9" x14ac:dyDescent="0.2">
      <c r="A1286" s="33">
        <v>43346</v>
      </c>
      <c r="B1286" s="36">
        <v>14810</v>
      </c>
      <c r="C1286" s="7">
        <v>14820</v>
      </c>
      <c r="D1286" s="7">
        <v>14825</v>
      </c>
      <c r="E1286" s="7">
        <v>14735</v>
      </c>
      <c r="F1286" s="7">
        <v>14735</v>
      </c>
      <c r="G1286" s="34">
        <v>33</v>
      </c>
      <c r="H1286" s="35">
        <v>85</v>
      </c>
      <c r="I1286" s="38">
        <f t="shared" si="19"/>
        <v>14815</v>
      </c>
    </row>
    <row r="1287" spans="1:9" x14ac:dyDescent="0.2">
      <c r="A1287" s="33">
        <v>43343</v>
      </c>
      <c r="B1287" s="36">
        <v>14725</v>
      </c>
      <c r="C1287" s="7">
        <v>14735</v>
      </c>
      <c r="D1287" s="7">
        <v>14730</v>
      </c>
      <c r="E1287" s="7">
        <v>14710</v>
      </c>
      <c r="F1287" s="7">
        <v>14710</v>
      </c>
      <c r="G1287" s="34">
        <v>8</v>
      </c>
      <c r="H1287" s="35">
        <v>40</v>
      </c>
      <c r="I1287" s="38">
        <f t="shared" si="19"/>
        <v>14730</v>
      </c>
    </row>
    <row r="1288" spans="1:9" x14ac:dyDescent="0.2">
      <c r="A1288" s="33">
        <v>43342</v>
      </c>
      <c r="B1288" s="36">
        <v>14685</v>
      </c>
      <c r="C1288" s="7">
        <v>14695</v>
      </c>
      <c r="D1288" s="7">
        <v>14685</v>
      </c>
      <c r="E1288" s="7">
        <v>14645</v>
      </c>
      <c r="F1288" s="7">
        <v>14650</v>
      </c>
      <c r="G1288" s="34">
        <v>25</v>
      </c>
      <c r="H1288" s="35">
        <v>35</v>
      </c>
      <c r="I1288" s="38">
        <f t="shared" si="19"/>
        <v>14690</v>
      </c>
    </row>
    <row r="1289" spans="1:9" x14ac:dyDescent="0.2">
      <c r="A1289" s="33">
        <v>43341</v>
      </c>
      <c r="B1289" s="36">
        <v>14650</v>
      </c>
      <c r="C1289" s="7">
        <v>14660</v>
      </c>
      <c r="D1289" s="7">
        <v>14653</v>
      </c>
      <c r="E1289" s="7">
        <v>14620</v>
      </c>
      <c r="F1289" s="7">
        <v>14620</v>
      </c>
      <c r="G1289" s="34">
        <v>46</v>
      </c>
      <c r="H1289" s="35">
        <v>33</v>
      </c>
      <c r="I1289" s="38">
        <f t="shared" si="19"/>
        <v>14655</v>
      </c>
    </row>
    <row r="1290" spans="1:9" x14ac:dyDescent="0.2">
      <c r="A1290" s="33">
        <v>43340</v>
      </c>
      <c r="B1290" s="36">
        <v>14617</v>
      </c>
      <c r="C1290" s="7">
        <v>14627</v>
      </c>
      <c r="D1290" s="7">
        <v>14625</v>
      </c>
      <c r="E1290" s="7">
        <v>14580</v>
      </c>
      <c r="F1290" s="7">
        <v>14580</v>
      </c>
      <c r="G1290" s="34">
        <v>63</v>
      </c>
      <c r="H1290" s="35">
        <v>2</v>
      </c>
      <c r="I1290" s="38">
        <f t="shared" si="19"/>
        <v>14622</v>
      </c>
    </row>
    <row r="1291" spans="1:9" x14ac:dyDescent="0.2">
      <c r="A1291" s="33">
        <v>43339</v>
      </c>
      <c r="B1291" s="36">
        <v>14615</v>
      </c>
      <c r="C1291" s="7">
        <v>14625</v>
      </c>
      <c r="D1291" s="7">
        <v>14625</v>
      </c>
      <c r="E1291" s="7">
        <v>14580</v>
      </c>
      <c r="F1291" s="7">
        <v>14600</v>
      </c>
      <c r="G1291" s="34">
        <v>74</v>
      </c>
      <c r="H1291" s="35">
        <v>-22</v>
      </c>
      <c r="I1291" s="38">
        <f t="shared" si="19"/>
        <v>14620</v>
      </c>
    </row>
    <row r="1292" spans="1:9" x14ac:dyDescent="0.2">
      <c r="A1292" s="33">
        <v>43336</v>
      </c>
      <c r="B1292" s="36">
        <v>14637</v>
      </c>
      <c r="C1292" s="7">
        <v>14647</v>
      </c>
      <c r="D1292" s="7">
        <v>14660</v>
      </c>
      <c r="E1292" s="7">
        <v>14635</v>
      </c>
      <c r="F1292" s="7">
        <v>14645</v>
      </c>
      <c r="G1292" s="34">
        <v>107</v>
      </c>
      <c r="H1292" s="35">
        <v>12</v>
      </c>
      <c r="I1292" s="38">
        <f t="shared" si="19"/>
        <v>14642</v>
      </c>
    </row>
    <row r="1293" spans="1:9" x14ac:dyDescent="0.2">
      <c r="A1293" s="33">
        <v>43335</v>
      </c>
      <c r="B1293" s="36">
        <v>14625</v>
      </c>
      <c r="C1293" s="7">
        <v>14635</v>
      </c>
      <c r="D1293" s="7">
        <v>14637</v>
      </c>
      <c r="E1293" s="7">
        <v>14595</v>
      </c>
      <c r="F1293" s="7">
        <v>14595</v>
      </c>
      <c r="G1293" s="34">
        <v>27</v>
      </c>
      <c r="H1293" s="35">
        <v>50</v>
      </c>
      <c r="I1293" s="38">
        <f t="shared" si="19"/>
        <v>14630</v>
      </c>
    </row>
    <row r="1294" spans="1:9" x14ac:dyDescent="0.2">
      <c r="A1294" s="33">
        <v>43334</v>
      </c>
      <c r="B1294" s="36">
        <v>14575</v>
      </c>
      <c r="C1294" s="7">
        <v>14585</v>
      </c>
      <c r="D1294" s="7"/>
      <c r="E1294" s="7"/>
      <c r="F1294" s="7"/>
      <c r="G1294" s="34"/>
      <c r="H1294" s="35">
        <v>0</v>
      </c>
      <c r="I1294" s="38">
        <f t="shared" si="19"/>
        <v>14580</v>
      </c>
    </row>
    <row r="1295" spans="1:9" x14ac:dyDescent="0.2">
      <c r="A1295" s="33">
        <v>43333</v>
      </c>
      <c r="B1295" s="36">
        <v>14575</v>
      </c>
      <c r="C1295" s="7">
        <v>14585</v>
      </c>
      <c r="D1295" s="7">
        <v>14585</v>
      </c>
      <c r="E1295" s="7">
        <v>14545</v>
      </c>
      <c r="F1295" s="7">
        <v>14545</v>
      </c>
      <c r="G1295" s="34">
        <v>55</v>
      </c>
      <c r="H1295" s="35">
        <v>-10</v>
      </c>
      <c r="I1295" s="38">
        <f t="shared" si="19"/>
        <v>14580</v>
      </c>
    </row>
    <row r="1296" spans="1:9" x14ac:dyDescent="0.2">
      <c r="A1296" s="33">
        <v>43332</v>
      </c>
      <c r="B1296" s="36">
        <v>14585</v>
      </c>
      <c r="C1296" s="7">
        <v>14595</v>
      </c>
      <c r="D1296" s="7">
        <v>14590</v>
      </c>
      <c r="E1296" s="7">
        <v>14550</v>
      </c>
      <c r="F1296" s="7">
        <v>14555</v>
      </c>
      <c r="G1296" s="34">
        <v>39</v>
      </c>
      <c r="H1296" s="35">
        <v>-20</v>
      </c>
      <c r="I1296" s="38">
        <f t="shared" si="19"/>
        <v>14590</v>
      </c>
    </row>
    <row r="1297" spans="1:9" x14ac:dyDescent="0.2">
      <c r="A1297" s="33">
        <v>43329</v>
      </c>
      <c r="B1297" s="36">
        <v>14605</v>
      </c>
      <c r="C1297" s="7">
        <v>14615</v>
      </c>
      <c r="D1297" s="7"/>
      <c r="E1297" s="7"/>
      <c r="F1297" s="7"/>
      <c r="G1297" s="34"/>
      <c r="H1297" s="35">
        <v>0</v>
      </c>
      <c r="I1297" s="38">
        <f t="shared" si="19"/>
        <v>14610</v>
      </c>
    </row>
    <row r="1298" spans="1:9" x14ac:dyDescent="0.2">
      <c r="A1298" s="33">
        <v>43328</v>
      </c>
      <c r="B1298" s="36">
        <v>14605</v>
      </c>
      <c r="C1298" s="7">
        <v>14615</v>
      </c>
      <c r="D1298" s="7">
        <v>14630</v>
      </c>
      <c r="E1298" s="7">
        <v>14575</v>
      </c>
      <c r="F1298" s="7">
        <v>14630</v>
      </c>
      <c r="G1298" s="34">
        <v>30</v>
      </c>
      <c r="H1298" s="35">
        <v>10</v>
      </c>
      <c r="I1298" s="38">
        <f t="shared" si="19"/>
        <v>14610</v>
      </c>
    </row>
    <row r="1299" spans="1:9" x14ac:dyDescent="0.2">
      <c r="A1299" s="33">
        <v>43327</v>
      </c>
      <c r="B1299" s="36">
        <v>14595</v>
      </c>
      <c r="C1299" s="7">
        <v>14605</v>
      </c>
      <c r="D1299" s="7">
        <v>14646</v>
      </c>
      <c r="E1299" s="7">
        <v>14565</v>
      </c>
      <c r="F1299" s="7">
        <v>14595</v>
      </c>
      <c r="G1299" s="34">
        <v>72</v>
      </c>
      <c r="H1299" s="35">
        <v>20</v>
      </c>
      <c r="I1299" s="38">
        <f t="shared" si="19"/>
        <v>14600</v>
      </c>
    </row>
    <row r="1300" spans="1:9" x14ac:dyDescent="0.2">
      <c r="A1300" s="33">
        <v>43326</v>
      </c>
      <c r="B1300" s="36">
        <v>14575</v>
      </c>
      <c r="C1300" s="7">
        <v>14585</v>
      </c>
      <c r="D1300" s="7">
        <v>14630</v>
      </c>
      <c r="E1300" s="7">
        <v>14570</v>
      </c>
      <c r="F1300" s="7">
        <v>14597</v>
      </c>
      <c r="G1300" s="34">
        <v>94</v>
      </c>
      <c r="H1300" s="35">
        <v>-15</v>
      </c>
      <c r="I1300" s="38">
        <f t="shared" si="19"/>
        <v>14580</v>
      </c>
    </row>
    <row r="1301" spans="1:9" x14ac:dyDescent="0.2">
      <c r="A1301" s="33">
        <v>43325</v>
      </c>
      <c r="B1301" s="36">
        <v>14590</v>
      </c>
      <c r="C1301" s="7">
        <v>14600</v>
      </c>
      <c r="D1301" s="7">
        <v>14625</v>
      </c>
      <c r="E1301" s="7">
        <v>14490</v>
      </c>
      <c r="F1301" s="7">
        <v>14490</v>
      </c>
      <c r="G1301" s="34">
        <v>96</v>
      </c>
      <c r="H1301" s="35">
        <v>120</v>
      </c>
      <c r="I1301" s="38">
        <f t="shared" si="19"/>
        <v>14595</v>
      </c>
    </row>
    <row r="1302" spans="1:9" x14ac:dyDescent="0.2">
      <c r="A1302" s="33">
        <v>43322</v>
      </c>
      <c r="B1302" s="36">
        <v>14470</v>
      </c>
      <c r="C1302" s="7">
        <v>14480</v>
      </c>
      <c r="D1302" s="7">
        <v>14477</v>
      </c>
      <c r="E1302" s="7">
        <v>14420</v>
      </c>
      <c r="F1302" s="7">
        <v>14420</v>
      </c>
      <c r="G1302" s="34">
        <v>29</v>
      </c>
      <c r="H1302" s="35">
        <v>65</v>
      </c>
      <c r="I1302" s="38">
        <f t="shared" si="19"/>
        <v>14475</v>
      </c>
    </row>
    <row r="1303" spans="1:9" x14ac:dyDescent="0.2">
      <c r="A1303" s="33">
        <v>43321</v>
      </c>
      <c r="B1303" s="36">
        <v>14405</v>
      </c>
      <c r="C1303" s="7">
        <v>14415</v>
      </c>
      <c r="D1303" s="7">
        <v>14435</v>
      </c>
      <c r="E1303" s="7">
        <v>14390</v>
      </c>
      <c r="F1303" s="7">
        <v>14425</v>
      </c>
      <c r="G1303" s="34">
        <v>97</v>
      </c>
      <c r="H1303" s="35">
        <v>-25</v>
      </c>
      <c r="I1303" s="38">
        <f t="shared" si="19"/>
        <v>14410</v>
      </c>
    </row>
    <row r="1304" spans="1:9" x14ac:dyDescent="0.2">
      <c r="A1304" s="33">
        <v>43320</v>
      </c>
      <c r="B1304" s="36">
        <v>14430</v>
      </c>
      <c r="C1304" s="7">
        <v>14440</v>
      </c>
      <c r="D1304" s="7">
        <v>14445</v>
      </c>
      <c r="E1304" s="7">
        <v>14425</v>
      </c>
      <c r="F1304" s="7">
        <v>14433</v>
      </c>
      <c r="G1304" s="34">
        <v>80</v>
      </c>
      <c r="H1304" s="35">
        <v>-5</v>
      </c>
      <c r="I1304" s="38">
        <f t="shared" si="19"/>
        <v>14435</v>
      </c>
    </row>
    <row r="1305" spans="1:9" x14ac:dyDescent="0.2">
      <c r="A1305" s="33">
        <v>43319</v>
      </c>
      <c r="B1305" s="36">
        <v>14435</v>
      </c>
      <c r="C1305" s="7">
        <v>14445</v>
      </c>
      <c r="D1305" s="7">
        <v>14488</v>
      </c>
      <c r="E1305" s="7">
        <v>14429</v>
      </c>
      <c r="F1305" s="7">
        <v>14481</v>
      </c>
      <c r="G1305" s="34">
        <v>165</v>
      </c>
      <c r="H1305" s="35">
        <v>-30</v>
      </c>
      <c r="I1305" s="38">
        <f t="shared" si="19"/>
        <v>14440</v>
      </c>
    </row>
    <row r="1306" spans="1:9" x14ac:dyDescent="0.2">
      <c r="A1306" s="33">
        <v>43318</v>
      </c>
      <c r="B1306" s="36">
        <v>14465</v>
      </c>
      <c r="C1306" s="7">
        <v>14475</v>
      </c>
      <c r="D1306" s="7">
        <v>14490</v>
      </c>
      <c r="E1306" s="7">
        <v>14460</v>
      </c>
      <c r="F1306" s="7">
        <v>14490</v>
      </c>
      <c r="G1306" s="34">
        <v>72</v>
      </c>
      <c r="H1306" s="35">
        <v>-25</v>
      </c>
      <c r="I1306" s="38">
        <f t="shared" si="19"/>
        <v>14470</v>
      </c>
    </row>
    <row r="1307" spans="1:9" x14ac:dyDescent="0.2">
      <c r="A1307" s="33">
        <v>43315</v>
      </c>
      <c r="B1307" s="36">
        <v>14490</v>
      </c>
      <c r="C1307" s="7">
        <v>14495</v>
      </c>
      <c r="D1307" s="7">
        <v>14515</v>
      </c>
      <c r="E1307" s="7">
        <v>14485</v>
      </c>
      <c r="F1307" s="7">
        <v>14485</v>
      </c>
      <c r="G1307" s="34">
        <v>75</v>
      </c>
      <c r="H1307" s="35">
        <v>20</v>
      </c>
      <c r="I1307" s="38">
        <f t="shared" si="19"/>
        <v>14492.5</v>
      </c>
    </row>
    <row r="1308" spans="1:9" x14ac:dyDescent="0.2">
      <c r="A1308" s="33">
        <v>43314</v>
      </c>
      <c r="B1308" s="36">
        <v>14470</v>
      </c>
      <c r="C1308" s="7">
        <v>14480</v>
      </c>
      <c r="D1308" s="7">
        <v>14475</v>
      </c>
      <c r="E1308" s="7">
        <v>14435</v>
      </c>
      <c r="F1308" s="7">
        <v>14435</v>
      </c>
      <c r="G1308" s="34">
        <v>60</v>
      </c>
      <c r="H1308" s="35">
        <v>35</v>
      </c>
      <c r="I1308" s="38">
        <f t="shared" si="19"/>
        <v>14475</v>
      </c>
    </row>
    <row r="1309" spans="1:9" x14ac:dyDescent="0.2">
      <c r="A1309" s="33">
        <v>43313</v>
      </c>
      <c r="B1309" s="36">
        <v>14435</v>
      </c>
      <c r="C1309" s="7">
        <v>14445</v>
      </c>
      <c r="D1309" s="7">
        <v>14450</v>
      </c>
      <c r="E1309" s="7">
        <v>14425</v>
      </c>
      <c r="F1309" s="7">
        <v>14425</v>
      </c>
      <c r="G1309" s="34">
        <v>97</v>
      </c>
      <c r="H1309" s="35">
        <v>20</v>
      </c>
      <c r="I1309" s="38">
        <f t="shared" si="19"/>
        <v>14440</v>
      </c>
    </row>
    <row r="1310" spans="1:9" x14ac:dyDescent="0.2">
      <c r="A1310" s="33">
        <v>43312</v>
      </c>
      <c r="B1310" s="36">
        <v>14415</v>
      </c>
      <c r="C1310" s="7">
        <v>14425</v>
      </c>
      <c r="D1310" s="7">
        <v>14422</v>
      </c>
      <c r="E1310" s="7">
        <v>14397</v>
      </c>
      <c r="F1310" s="7">
        <v>14400</v>
      </c>
      <c r="G1310" s="34">
        <v>121</v>
      </c>
      <c r="H1310" s="35">
        <v>10</v>
      </c>
      <c r="I1310" s="38">
        <f t="shared" si="19"/>
        <v>14420</v>
      </c>
    </row>
    <row r="1311" spans="1:9" x14ac:dyDescent="0.2">
      <c r="A1311" s="33">
        <v>43311</v>
      </c>
      <c r="B1311" s="36">
        <v>14405</v>
      </c>
      <c r="C1311" s="7">
        <v>14415</v>
      </c>
      <c r="D1311" s="7">
        <v>14415</v>
      </c>
      <c r="E1311" s="7">
        <v>14380</v>
      </c>
      <c r="F1311" s="7">
        <v>14380</v>
      </c>
      <c r="G1311" s="34">
        <v>65</v>
      </c>
      <c r="H1311" s="35">
        <v>-10</v>
      </c>
      <c r="I1311" s="38">
        <f t="shared" si="19"/>
        <v>14410</v>
      </c>
    </row>
    <row r="1312" spans="1:9" x14ac:dyDescent="0.2">
      <c r="A1312" s="33">
        <v>43308</v>
      </c>
      <c r="B1312" s="36">
        <v>14415</v>
      </c>
      <c r="C1312" s="7">
        <v>14420</v>
      </c>
      <c r="D1312" s="7">
        <v>14490</v>
      </c>
      <c r="E1312" s="7">
        <v>14370</v>
      </c>
      <c r="F1312" s="7">
        <v>14455</v>
      </c>
      <c r="G1312" s="34">
        <v>126</v>
      </c>
      <c r="H1312" s="35">
        <v>-40</v>
      </c>
      <c r="I1312" s="38">
        <f t="shared" ref="I1312:I1375" si="20">+(B1312+C1312)*0.5</f>
        <v>14417.5</v>
      </c>
    </row>
    <row r="1313" spans="1:9" x14ac:dyDescent="0.2">
      <c r="A1313" s="33">
        <v>43307</v>
      </c>
      <c r="B1313" s="36">
        <v>14455</v>
      </c>
      <c r="C1313" s="7">
        <v>14465</v>
      </c>
      <c r="D1313" s="7">
        <v>14470</v>
      </c>
      <c r="E1313" s="7">
        <v>14410</v>
      </c>
      <c r="F1313" s="7">
        <v>14420</v>
      </c>
      <c r="G1313" s="34">
        <v>82</v>
      </c>
      <c r="H1313" s="35">
        <v>0</v>
      </c>
      <c r="I1313" s="38">
        <f t="shared" si="20"/>
        <v>14460</v>
      </c>
    </row>
    <row r="1314" spans="1:9" x14ac:dyDescent="0.2">
      <c r="A1314" s="33">
        <v>43306</v>
      </c>
      <c r="B1314" s="36">
        <v>14455</v>
      </c>
      <c r="C1314" s="7">
        <v>14465</v>
      </c>
      <c r="D1314" s="7">
        <v>14525</v>
      </c>
      <c r="E1314" s="7">
        <v>14455</v>
      </c>
      <c r="F1314" s="7">
        <v>14495</v>
      </c>
      <c r="G1314" s="34">
        <v>109</v>
      </c>
      <c r="H1314" s="35">
        <v>-70</v>
      </c>
      <c r="I1314" s="38">
        <f t="shared" si="20"/>
        <v>14460</v>
      </c>
    </row>
    <row r="1315" spans="1:9" x14ac:dyDescent="0.2">
      <c r="A1315" s="33">
        <v>43305</v>
      </c>
      <c r="B1315" s="36">
        <v>14525</v>
      </c>
      <c r="C1315" s="7">
        <v>14535</v>
      </c>
      <c r="D1315" s="7">
        <v>14560</v>
      </c>
      <c r="E1315" s="7">
        <v>14505</v>
      </c>
      <c r="F1315" s="7">
        <v>14505</v>
      </c>
      <c r="G1315" s="34">
        <v>89</v>
      </c>
      <c r="H1315" s="35">
        <v>40</v>
      </c>
      <c r="I1315" s="38">
        <f t="shared" si="20"/>
        <v>14530</v>
      </c>
    </row>
    <row r="1316" spans="1:9" x14ac:dyDescent="0.2">
      <c r="A1316" s="33">
        <v>43304</v>
      </c>
      <c r="B1316" s="36">
        <v>14485</v>
      </c>
      <c r="C1316" s="7">
        <v>14495</v>
      </c>
      <c r="D1316" s="7">
        <v>14493</v>
      </c>
      <c r="E1316" s="7">
        <v>14420</v>
      </c>
      <c r="F1316" s="7">
        <v>14425</v>
      </c>
      <c r="G1316" s="34">
        <v>63</v>
      </c>
      <c r="H1316" s="35">
        <v>10</v>
      </c>
      <c r="I1316" s="38">
        <f t="shared" si="20"/>
        <v>14490</v>
      </c>
    </row>
    <row r="1317" spans="1:9" x14ac:dyDescent="0.2">
      <c r="A1317" s="33">
        <v>43301</v>
      </c>
      <c r="B1317" s="36">
        <v>14475</v>
      </c>
      <c r="C1317" s="7">
        <v>14485</v>
      </c>
      <c r="D1317" s="7">
        <v>14540</v>
      </c>
      <c r="E1317" s="7">
        <v>14470</v>
      </c>
      <c r="F1317" s="7">
        <v>14480</v>
      </c>
      <c r="G1317" s="34">
        <v>81</v>
      </c>
      <c r="H1317" s="35">
        <v>5</v>
      </c>
      <c r="I1317" s="38">
        <f t="shared" si="20"/>
        <v>14480</v>
      </c>
    </row>
    <row r="1318" spans="1:9" x14ac:dyDescent="0.2">
      <c r="A1318" s="33">
        <v>43300</v>
      </c>
      <c r="B1318" s="36">
        <v>14470</v>
      </c>
      <c r="C1318" s="7">
        <v>14480</v>
      </c>
      <c r="D1318" s="7">
        <v>14475</v>
      </c>
      <c r="E1318" s="7">
        <v>14400</v>
      </c>
      <c r="F1318" s="7">
        <v>14400</v>
      </c>
      <c r="G1318" s="34">
        <v>49</v>
      </c>
      <c r="H1318" s="35">
        <v>70</v>
      </c>
      <c r="I1318" s="38">
        <f t="shared" si="20"/>
        <v>14475</v>
      </c>
    </row>
    <row r="1319" spans="1:9" x14ac:dyDescent="0.2">
      <c r="A1319" s="33">
        <v>43299</v>
      </c>
      <c r="B1319" s="36">
        <v>14400</v>
      </c>
      <c r="C1319" s="7">
        <v>14410</v>
      </c>
      <c r="D1319" s="7">
        <v>14417</v>
      </c>
      <c r="E1319" s="7">
        <v>14385</v>
      </c>
      <c r="F1319" s="7">
        <v>14385</v>
      </c>
      <c r="G1319" s="34">
        <v>43</v>
      </c>
      <c r="H1319" s="35">
        <v>35</v>
      </c>
      <c r="I1319" s="38">
        <f t="shared" si="20"/>
        <v>14405</v>
      </c>
    </row>
    <row r="1320" spans="1:9" x14ac:dyDescent="0.2">
      <c r="A1320" s="33">
        <v>43298</v>
      </c>
      <c r="B1320" s="36">
        <v>14365</v>
      </c>
      <c r="C1320" s="7">
        <v>14375</v>
      </c>
      <c r="D1320" s="7">
        <v>14395</v>
      </c>
      <c r="E1320" s="7">
        <v>14357</v>
      </c>
      <c r="F1320" s="7">
        <v>14380</v>
      </c>
      <c r="G1320" s="34">
        <v>47</v>
      </c>
      <c r="H1320" s="35">
        <v>-5</v>
      </c>
      <c r="I1320" s="38">
        <f t="shared" si="20"/>
        <v>14370</v>
      </c>
    </row>
    <row r="1321" spans="1:9" x14ac:dyDescent="0.2">
      <c r="A1321" s="33">
        <v>43297</v>
      </c>
      <c r="B1321" s="36">
        <v>14370</v>
      </c>
      <c r="C1321" s="7">
        <v>14380</v>
      </c>
      <c r="D1321" s="7">
        <v>14415</v>
      </c>
      <c r="E1321" s="7">
        <v>14370</v>
      </c>
      <c r="F1321" s="7">
        <v>14385</v>
      </c>
      <c r="G1321" s="34">
        <v>61</v>
      </c>
      <c r="H1321" s="35">
        <v>-5</v>
      </c>
      <c r="I1321" s="38">
        <f t="shared" si="20"/>
        <v>14375</v>
      </c>
    </row>
    <row r="1322" spans="1:9" x14ac:dyDescent="0.2">
      <c r="A1322" s="33">
        <v>43294</v>
      </c>
      <c r="B1322" s="36">
        <v>14375</v>
      </c>
      <c r="C1322" s="7">
        <v>14385</v>
      </c>
      <c r="D1322" s="7">
        <v>14381</v>
      </c>
      <c r="E1322" s="7">
        <v>14335</v>
      </c>
      <c r="F1322" s="7">
        <v>14335</v>
      </c>
      <c r="G1322" s="34">
        <v>73</v>
      </c>
      <c r="H1322" s="35">
        <v>0</v>
      </c>
      <c r="I1322" s="38">
        <f t="shared" si="20"/>
        <v>14380</v>
      </c>
    </row>
    <row r="1323" spans="1:9" x14ac:dyDescent="0.2">
      <c r="A1323" s="33">
        <v>43293</v>
      </c>
      <c r="B1323" s="36">
        <v>14375</v>
      </c>
      <c r="C1323" s="7">
        <v>14385</v>
      </c>
      <c r="D1323" s="7">
        <v>14440</v>
      </c>
      <c r="E1323" s="7">
        <v>14375</v>
      </c>
      <c r="F1323" s="7">
        <v>14400</v>
      </c>
      <c r="G1323" s="34">
        <v>60</v>
      </c>
      <c r="H1323" s="35">
        <v>-5</v>
      </c>
      <c r="I1323" s="38">
        <f t="shared" si="20"/>
        <v>14380</v>
      </c>
    </row>
    <row r="1324" spans="1:9" x14ac:dyDescent="0.2">
      <c r="A1324" s="33">
        <v>43292</v>
      </c>
      <c r="B1324" s="36">
        <v>14380</v>
      </c>
      <c r="C1324" s="7">
        <v>14390</v>
      </c>
      <c r="D1324" s="7">
        <v>14390</v>
      </c>
      <c r="E1324" s="7">
        <v>14370</v>
      </c>
      <c r="F1324" s="7">
        <v>14370</v>
      </c>
      <c r="G1324" s="34">
        <v>18</v>
      </c>
      <c r="H1324" s="35">
        <v>25</v>
      </c>
      <c r="I1324" s="38">
        <f t="shared" si="20"/>
        <v>14385</v>
      </c>
    </row>
    <row r="1325" spans="1:9" x14ac:dyDescent="0.2">
      <c r="A1325" s="33">
        <v>43291</v>
      </c>
      <c r="B1325" s="36">
        <v>14355</v>
      </c>
      <c r="C1325" s="7">
        <v>14365</v>
      </c>
      <c r="D1325" s="7">
        <v>14370</v>
      </c>
      <c r="E1325" s="7">
        <v>14300</v>
      </c>
      <c r="F1325" s="7">
        <v>14300</v>
      </c>
      <c r="G1325" s="34">
        <v>64</v>
      </c>
      <c r="H1325" s="35">
        <v>35</v>
      </c>
      <c r="I1325" s="38">
        <f t="shared" si="20"/>
        <v>14360</v>
      </c>
    </row>
    <row r="1326" spans="1:9" x14ac:dyDescent="0.2">
      <c r="A1326" s="33">
        <v>43290</v>
      </c>
      <c r="B1326" s="36">
        <v>14320</v>
      </c>
      <c r="C1326" s="7">
        <v>14330</v>
      </c>
      <c r="D1326" s="7">
        <v>14340</v>
      </c>
      <c r="E1326" s="7">
        <v>14315</v>
      </c>
      <c r="F1326" s="7">
        <v>14325</v>
      </c>
      <c r="G1326" s="34">
        <v>85</v>
      </c>
      <c r="H1326" s="35">
        <v>-45</v>
      </c>
      <c r="I1326" s="38">
        <f t="shared" si="20"/>
        <v>14325</v>
      </c>
    </row>
    <row r="1327" spans="1:9" x14ac:dyDescent="0.2">
      <c r="A1327" s="33">
        <v>43287</v>
      </c>
      <c r="B1327" s="36">
        <v>14365</v>
      </c>
      <c r="C1327" s="7">
        <v>14375</v>
      </c>
      <c r="D1327" s="7">
        <v>14417</v>
      </c>
      <c r="E1327" s="7">
        <v>14353</v>
      </c>
      <c r="F1327" s="7">
        <v>14370</v>
      </c>
      <c r="G1327" s="34">
        <v>78</v>
      </c>
      <c r="H1327" s="35">
        <v>-15</v>
      </c>
      <c r="I1327" s="38">
        <f t="shared" si="20"/>
        <v>14370</v>
      </c>
    </row>
    <row r="1328" spans="1:9" x14ac:dyDescent="0.2">
      <c r="A1328" s="33">
        <v>43286</v>
      </c>
      <c r="B1328" s="36">
        <v>14380</v>
      </c>
      <c r="C1328" s="7">
        <v>14390</v>
      </c>
      <c r="D1328" s="7">
        <v>14420</v>
      </c>
      <c r="E1328" s="7">
        <v>14360</v>
      </c>
      <c r="F1328" s="7">
        <v>14360</v>
      </c>
      <c r="G1328" s="34">
        <v>46</v>
      </c>
      <c r="H1328" s="35">
        <v>33</v>
      </c>
      <c r="I1328" s="38">
        <f t="shared" si="20"/>
        <v>14385</v>
      </c>
    </row>
    <row r="1329" spans="1:9" x14ac:dyDescent="0.2">
      <c r="A1329" s="33">
        <v>43285</v>
      </c>
      <c r="B1329" s="36">
        <v>14347</v>
      </c>
      <c r="C1329" s="7">
        <v>14357</v>
      </c>
      <c r="D1329" s="7">
        <v>14365</v>
      </c>
      <c r="E1329" s="7">
        <v>14305</v>
      </c>
      <c r="F1329" s="7">
        <v>14325</v>
      </c>
      <c r="G1329" s="34">
        <v>82</v>
      </c>
      <c r="H1329" s="35">
        <v>-28</v>
      </c>
      <c r="I1329" s="38">
        <f t="shared" si="20"/>
        <v>14352</v>
      </c>
    </row>
    <row r="1330" spans="1:9" x14ac:dyDescent="0.2">
      <c r="A1330" s="33">
        <v>43284</v>
      </c>
      <c r="B1330" s="36">
        <v>14375</v>
      </c>
      <c r="C1330" s="7">
        <v>14385</v>
      </c>
      <c r="D1330" s="7">
        <v>14455</v>
      </c>
      <c r="E1330" s="7">
        <v>14365</v>
      </c>
      <c r="F1330" s="7">
        <v>14365</v>
      </c>
      <c r="G1330" s="34">
        <v>55</v>
      </c>
      <c r="H1330" s="35">
        <v>0</v>
      </c>
      <c r="I1330" s="38">
        <f t="shared" si="20"/>
        <v>14380</v>
      </c>
    </row>
    <row r="1331" spans="1:9" x14ac:dyDescent="0.2">
      <c r="A1331" s="33">
        <v>43283</v>
      </c>
      <c r="B1331" s="36">
        <v>14375</v>
      </c>
      <c r="C1331" s="7">
        <v>14385</v>
      </c>
      <c r="D1331" s="7">
        <v>14405</v>
      </c>
      <c r="E1331" s="7">
        <v>14250</v>
      </c>
      <c r="F1331" s="7">
        <v>14250</v>
      </c>
      <c r="G1331" s="34">
        <v>52</v>
      </c>
      <c r="H1331" s="35">
        <v>50</v>
      </c>
      <c r="I1331" s="38">
        <f t="shared" si="20"/>
        <v>14380</v>
      </c>
    </row>
    <row r="1332" spans="1:9" x14ac:dyDescent="0.2">
      <c r="A1332" s="33">
        <v>43280</v>
      </c>
      <c r="B1332" s="36">
        <v>14325</v>
      </c>
      <c r="C1332" s="7">
        <v>14335</v>
      </c>
      <c r="D1332" s="7">
        <v>14410</v>
      </c>
      <c r="E1332" s="7">
        <v>14300</v>
      </c>
      <c r="F1332" s="7">
        <v>14360</v>
      </c>
      <c r="G1332" s="34">
        <v>119</v>
      </c>
      <c r="H1332" s="35">
        <v>-60</v>
      </c>
      <c r="I1332" s="38">
        <f t="shared" si="20"/>
        <v>14330</v>
      </c>
    </row>
    <row r="1333" spans="1:9" x14ac:dyDescent="0.2">
      <c r="A1333" s="33">
        <v>43279</v>
      </c>
      <c r="B1333" s="36">
        <v>14385</v>
      </c>
      <c r="C1333" s="7">
        <v>14395</v>
      </c>
      <c r="D1333" s="7">
        <v>14395</v>
      </c>
      <c r="E1333" s="7">
        <v>14190</v>
      </c>
      <c r="F1333" s="7">
        <v>14215</v>
      </c>
      <c r="G1333" s="34">
        <v>67</v>
      </c>
      <c r="H1333" s="35">
        <v>212</v>
      </c>
      <c r="I1333" s="38">
        <f t="shared" si="20"/>
        <v>14390</v>
      </c>
    </row>
    <row r="1334" spans="1:9" x14ac:dyDescent="0.2">
      <c r="A1334" s="33">
        <v>43278</v>
      </c>
      <c r="B1334" s="36">
        <v>14173</v>
      </c>
      <c r="C1334" s="7">
        <v>14183</v>
      </c>
      <c r="D1334" s="7"/>
      <c r="E1334" s="7"/>
      <c r="F1334" s="7"/>
      <c r="G1334" s="34"/>
      <c r="H1334" s="35">
        <v>0</v>
      </c>
      <c r="I1334" s="38">
        <f t="shared" si="20"/>
        <v>14178</v>
      </c>
    </row>
    <row r="1335" spans="1:9" x14ac:dyDescent="0.2">
      <c r="A1335" s="33">
        <v>43277</v>
      </c>
      <c r="B1335" s="36">
        <v>14173</v>
      </c>
      <c r="C1335" s="7">
        <v>14183</v>
      </c>
      <c r="D1335" s="7">
        <v>14180</v>
      </c>
      <c r="E1335" s="7">
        <v>14125</v>
      </c>
      <c r="F1335" s="7">
        <v>14125</v>
      </c>
      <c r="G1335" s="34">
        <v>38</v>
      </c>
      <c r="H1335" s="35">
        <v>23</v>
      </c>
      <c r="I1335" s="38">
        <f t="shared" si="20"/>
        <v>14178</v>
      </c>
    </row>
    <row r="1336" spans="1:9" x14ac:dyDescent="0.2">
      <c r="A1336" s="33">
        <v>43276</v>
      </c>
      <c r="B1336" s="36">
        <v>14150</v>
      </c>
      <c r="C1336" s="7">
        <v>14160</v>
      </c>
      <c r="D1336" s="7">
        <v>14160</v>
      </c>
      <c r="E1336" s="7">
        <v>14098</v>
      </c>
      <c r="F1336" s="7">
        <v>14098</v>
      </c>
      <c r="G1336" s="34">
        <v>47</v>
      </c>
      <c r="H1336" s="35">
        <v>75</v>
      </c>
      <c r="I1336" s="38">
        <f t="shared" si="20"/>
        <v>14155</v>
      </c>
    </row>
    <row r="1337" spans="1:9" x14ac:dyDescent="0.2">
      <c r="A1337" s="33">
        <v>43273</v>
      </c>
      <c r="B1337" s="36">
        <v>14075</v>
      </c>
      <c r="C1337" s="7">
        <v>14085</v>
      </c>
      <c r="D1337" s="7">
        <v>14105</v>
      </c>
      <c r="E1337" s="7">
        <v>14053</v>
      </c>
      <c r="F1337" s="7">
        <v>14090</v>
      </c>
      <c r="G1337" s="34">
        <v>57</v>
      </c>
      <c r="H1337" s="35">
        <v>-23</v>
      </c>
      <c r="I1337" s="38">
        <f t="shared" si="20"/>
        <v>14080</v>
      </c>
    </row>
    <row r="1338" spans="1:9" x14ac:dyDescent="0.2">
      <c r="A1338" s="33">
        <v>43272</v>
      </c>
      <c r="B1338" s="36">
        <v>14098</v>
      </c>
      <c r="C1338" s="7">
        <v>14108</v>
      </c>
      <c r="D1338" s="7">
        <v>14106</v>
      </c>
      <c r="E1338" s="7">
        <v>13970</v>
      </c>
      <c r="F1338" s="7">
        <v>13970</v>
      </c>
      <c r="G1338" s="34">
        <v>37</v>
      </c>
      <c r="H1338" s="35">
        <v>173</v>
      </c>
      <c r="I1338" s="38">
        <f t="shared" si="20"/>
        <v>14103</v>
      </c>
    </row>
    <row r="1339" spans="1:9" x14ac:dyDescent="0.2">
      <c r="A1339" s="33">
        <v>43271</v>
      </c>
      <c r="B1339" s="36">
        <v>13925</v>
      </c>
      <c r="C1339" s="7">
        <v>13935</v>
      </c>
      <c r="D1339" s="7"/>
      <c r="E1339" s="7"/>
      <c r="F1339" s="7"/>
      <c r="G1339" s="34"/>
      <c r="H1339" s="35">
        <v>0</v>
      </c>
      <c r="I1339" s="38">
        <f t="shared" si="20"/>
        <v>13930</v>
      </c>
    </row>
    <row r="1340" spans="1:9" x14ac:dyDescent="0.2">
      <c r="A1340" s="33">
        <v>43270</v>
      </c>
      <c r="B1340" s="36">
        <v>13925</v>
      </c>
      <c r="C1340" s="7">
        <v>13935</v>
      </c>
      <c r="D1340" s="7"/>
      <c r="E1340" s="7"/>
      <c r="F1340" s="7"/>
      <c r="G1340" s="34"/>
      <c r="H1340" s="35">
        <v>0</v>
      </c>
      <c r="I1340" s="38">
        <f t="shared" si="20"/>
        <v>13930</v>
      </c>
    </row>
    <row r="1341" spans="1:9" x14ac:dyDescent="0.2">
      <c r="A1341" s="33">
        <v>43269</v>
      </c>
      <c r="B1341" s="36">
        <v>13925</v>
      </c>
      <c r="C1341" s="7">
        <v>13935</v>
      </c>
      <c r="D1341" s="7"/>
      <c r="E1341" s="7"/>
      <c r="F1341" s="7"/>
      <c r="G1341" s="34"/>
      <c r="H1341" s="35">
        <v>0</v>
      </c>
      <c r="I1341" s="38">
        <f t="shared" si="20"/>
        <v>13930</v>
      </c>
    </row>
    <row r="1342" spans="1:9" x14ac:dyDescent="0.2">
      <c r="A1342" s="33">
        <v>43266</v>
      </c>
      <c r="B1342" s="36">
        <v>13925</v>
      </c>
      <c r="C1342" s="7">
        <v>13935</v>
      </c>
      <c r="D1342" s="7"/>
      <c r="E1342" s="7"/>
      <c r="F1342" s="7"/>
      <c r="G1342" s="34"/>
      <c r="H1342" s="35">
        <v>0</v>
      </c>
      <c r="I1342" s="38">
        <f t="shared" si="20"/>
        <v>13930</v>
      </c>
    </row>
    <row r="1343" spans="1:9" x14ac:dyDescent="0.2">
      <c r="A1343" s="33">
        <v>43265</v>
      </c>
      <c r="B1343" s="36">
        <v>13925</v>
      </c>
      <c r="C1343" s="7">
        <v>13935</v>
      </c>
      <c r="D1343" s="7"/>
      <c r="E1343" s="7"/>
      <c r="F1343" s="7"/>
      <c r="G1343" s="34"/>
      <c r="H1343" s="35">
        <v>0</v>
      </c>
      <c r="I1343" s="38">
        <f t="shared" si="20"/>
        <v>13930</v>
      </c>
    </row>
    <row r="1344" spans="1:9" x14ac:dyDescent="0.2">
      <c r="A1344" s="33">
        <v>43264</v>
      </c>
      <c r="B1344" s="36">
        <v>13925</v>
      </c>
      <c r="C1344" s="7">
        <v>13935</v>
      </c>
      <c r="D1344" s="7"/>
      <c r="E1344" s="7"/>
      <c r="F1344" s="7"/>
      <c r="G1344" s="34"/>
      <c r="H1344" s="35">
        <v>0</v>
      </c>
      <c r="I1344" s="38">
        <f t="shared" si="20"/>
        <v>13930</v>
      </c>
    </row>
    <row r="1345" spans="1:9" x14ac:dyDescent="0.2">
      <c r="A1345" s="33">
        <v>43263</v>
      </c>
      <c r="B1345" s="36">
        <v>13925</v>
      </c>
      <c r="C1345" s="7">
        <v>13935</v>
      </c>
      <c r="D1345" s="7"/>
      <c r="E1345" s="7"/>
      <c r="F1345" s="7"/>
      <c r="G1345" s="34"/>
      <c r="H1345" s="35">
        <v>0</v>
      </c>
      <c r="I1345" s="38">
        <f t="shared" si="20"/>
        <v>13930</v>
      </c>
    </row>
    <row r="1346" spans="1:9" x14ac:dyDescent="0.2">
      <c r="A1346" s="33">
        <v>43262</v>
      </c>
      <c r="B1346" s="36">
        <v>13925</v>
      </c>
      <c r="C1346" s="7">
        <v>13935</v>
      </c>
      <c r="D1346" s="7"/>
      <c r="E1346" s="7"/>
      <c r="F1346" s="7"/>
      <c r="G1346" s="34"/>
      <c r="H1346" s="35">
        <v>0</v>
      </c>
      <c r="I1346" s="38">
        <f t="shared" si="20"/>
        <v>13930</v>
      </c>
    </row>
    <row r="1347" spans="1:9" x14ac:dyDescent="0.2">
      <c r="A1347" s="33">
        <v>43259</v>
      </c>
      <c r="B1347" s="36">
        <v>13925</v>
      </c>
      <c r="C1347" s="7">
        <v>13935</v>
      </c>
      <c r="D1347" s="7">
        <v>13942</v>
      </c>
      <c r="E1347" s="7">
        <v>13890</v>
      </c>
      <c r="F1347" s="7">
        <v>13901</v>
      </c>
      <c r="G1347" s="34">
        <v>50</v>
      </c>
      <c r="H1347" s="35">
        <v>60</v>
      </c>
      <c r="I1347" s="38">
        <f t="shared" si="20"/>
        <v>13930</v>
      </c>
    </row>
    <row r="1348" spans="1:9" x14ac:dyDescent="0.2">
      <c r="A1348" s="33">
        <v>43258</v>
      </c>
      <c r="B1348" s="36">
        <v>13865</v>
      </c>
      <c r="C1348" s="7">
        <v>13875</v>
      </c>
      <c r="D1348" s="7">
        <v>13882</v>
      </c>
      <c r="E1348" s="7">
        <v>13845</v>
      </c>
      <c r="F1348" s="7">
        <v>13855</v>
      </c>
      <c r="G1348" s="34">
        <v>126</v>
      </c>
      <c r="H1348" s="35">
        <v>15</v>
      </c>
      <c r="I1348" s="38">
        <f t="shared" si="20"/>
        <v>13870</v>
      </c>
    </row>
    <row r="1349" spans="1:9" x14ac:dyDescent="0.2">
      <c r="A1349" s="33">
        <v>43257</v>
      </c>
      <c r="B1349" s="36">
        <v>13850</v>
      </c>
      <c r="C1349" s="7">
        <v>13855</v>
      </c>
      <c r="D1349" s="7">
        <v>13883</v>
      </c>
      <c r="E1349" s="7">
        <v>13830</v>
      </c>
      <c r="F1349" s="7">
        <v>13880</v>
      </c>
      <c r="G1349" s="34">
        <v>122</v>
      </c>
      <c r="H1349" s="35">
        <v>-24</v>
      </c>
      <c r="I1349" s="38">
        <f t="shared" si="20"/>
        <v>13852.5</v>
      </c>
    </row>
    <row r="1350" spans="1:9" x14ac:dyDescent="0.2">
      <c r="A1350" s="33">
        <v>43256</v>
      </c>
      <c r="B1350" s="36">
        <v>13874</v>
      </c>
      <c r="C1350" s="7">
        <v>13884</v>
      </c>
      <c r="D1350" s="7">
        <v>13895</v>
      </c>
      <c r="E1350" s="7">
        <v>13860</v>
      </c>
      <c r="F1350" s="7">
        <v>13860</v>
      </c>
      <c r="G1350" s="34">
        <v>127</v>
      </c>
      <c r="H1350" s="35">
        <v>7</v>
      </c>
      <c r="I1350" s="38">
        <f t="shared" si="20"/>
        <v>13879</v>
      </c>
    </row>
    <row r="1351" spans="1:9" x14ac:dyDescent="0.2">
      <c r="A1351" s="33">
        <v>43255</v>
      </c>
      <c r="B1351" s="36">
        <v>13867</v>
      </c>
      <c r="C1351" s="7">
        <v>13877</v>
      </c>
      <c r="D1351" s="7">
        <v>13896</v>
      </c>
      <c r="E1351" s="7">
        <v>13845</v>
      </c>
      <c r="F1351" s="7">
        <v>13850</v>
      </c>
      <c r="G1351" s="34">
        <v>121</v>
      </c>
      <c r="H1351" s="35">
        <v>-23</v>
      </c>
      <c r="I1351" s="38">
        <f t="shared" si="20"/>
        <v>13872</v>
      </c>
    </row>
    <row r="1352" spans="1:9" x14ac:dyDescent="0.2">
      <c r="A1352" s="33">
        <v>43252</v>
      </c>
      <c r="B1352" s="36">
        <v>13890</v>
      </c>
      <c r="C1352" s="7">
        <v>13900</v>
      </c>
      <c r="D1352" s="7"/>
      <c r="E1352" s="7"/>
      <c r="F1352" s="7"/>
      <c r="G1352" s="34"/>
      <c r="H1352" s="35">
        <v>0</v>
      </c>
      <c r="I1352" s="38">
        <f t="shared" si="20"/>
        <v>13895</v>
      </c>
    </row>
    <row r="1353" spans="1:9" x14ac:dyDescent="0.2">
      <c r="A1353" s="33">
        <v>43251</v>
      </c>
      <c r="B1353" s="36">
        <v>13890</v>
      </c>
      <c r="C1353" s="7">
        <v>13900</v>
      </c>
      <c r="D1353" s="7">
        <v>13956</v>
      </c>
      <c r="E1353" s="7">
        <v>13870</v>
      </c>
      <c r="F1353" s="7">
        <v>13940</v>
      </c>
      <c r="G1353" s="34">
        <v>143</v>
      </c>
      <c r="H1353" s="35">
        <v>-95</v>
      </c>
      <c r="I1353" s="38">
        <f t="shared" si="20"/>
        <v>13895</v>
      </c>
    </row>
    <row r="1354" spans="1:9" x14ac:dyDescent="0.2">
      <c r="A1354" s="33">
        <v>43250</v>
      </c>
      <c r="B1354" s="36">
        <v>13985</v>
      </c>
      <c r="C1354" s="7">
        <v>13995</v>
      </c>
      <c r="D1354" s="7">
        <v>14040</v>
      </c>
      <c r="E1354" s="7">
        <v>13965</v>
      </c>
      <c r="F1354" s="7">
        <v>14020</v>
      </c>
      <c r="G1354" s="34">
        <v>135</v>
      </c>
      <c r="H1354" s="35">
        <v>0</v>
      </c>
      <c r="I1354" s="38">
        <f t="shared" si="20"/>
        <v>13990</v>
      </c>
    </row>
    <row r="1355" spans="1:9" x14ac:dyDescent="0.2">
      <c r="A1355" s="33">
        <v>43249</v>
      </c>
      <c r="B1355" s="36">
        <v>13985</v>
      </c>
      <c r="C1355" s="7">
        <v>13995</v>
      </c>
      <c r="D1355" s="7"/>
      <c r="E1355" s="7"/>
      <c r="F1355" s="7"/>
      <c r="G1355" s="34"/>
      <c r="H1355" s="35">
        <v>0</v>
      </c>
      <c r="I1355" s="38">
        <f t="shared" si="20"/>
        <v>13990</v>
      </c>
    </row>
    <row r="1356" spans="1:9" x14ac:dyDescent="0.2">
      <c r="A1356" s="33">
        <v>43248</v>
      </c>
      <c r="B1356" s="36">
        <v>13985</v>
      </c>
      <c r="C1356" s="7">
        <v>13995</v>
      </c>
      <c r="D1356" s="7">
        <v>14080</v>
      </c>
      <c r="E1356" s="7">
        <v>13970</v>
      </c>
      <c r="F1356" s="7">
        <v>14080</v>
      </c>
      <c r="G1356" s="34">
        <v>180</v>
      </c>
      <c r="H1356" s="35">
        <v>-130</v>
      </c>
      <c r="I1356" s="38">
        <f t="shared" si="20"/>
        <v>13990</v>
      </c>
    </row>
    <row r="1357" spans="1:9" x14ac:dyDescent="0.2">
      <c r="A1357" s="33">
        <v>43245</v>
      </c>
      <c r="B1357" s="36">
        <v>14115</v>
      </c>
      <c r="C1357" s="7">
        <v>14125</v>
      </c>
      <c r="D1357" s="7">
        <v>14170</v>
      </c>
      <c r="E1357" s="7">
        <v>14115</v>
      </c>
      <c r="F1357" s="7">
        <v>14140</v>
      </c>
      <c r="G1357" s="34">
        <v>82</v>
      </c>
      <c r="H1357" s="35">
        <v>-15</v>
      </c>
      <c r="I1357" s="38">
        <f t="shared" si="20"/>
        <v>14120</v>
      </c>
    </row>
    <row r="1358" spans="1:9" x14ac:dyDescent="0.2">
      <c r="A1358" s="33">
        <v>43244</v>
      </c>
      <c r="B1358" s="36">
        <v>14130</v>
      </c>
      <c r="C1358" s="7">
        <v>14140</v>
      </c>
      <c r="D1358" s="7">
        <v>14210</v>
      </c>
      <c r="E1358" s="7">
        <v>14125</v>
      </c>
      <c r="F1358" s="7">
        <v>14175</v>
      </c>
      <c r="G1358" s="34">
        <v>142</v>
      </c>
      <c r="H1358" s="35">
        <v>-72</v>
      </c>
      <c r="I1358" s="38">
        <f t="shared" si="20"/>
        <v>14135</v>
      </c>
    </row>
    <row r="1359" spans="1:9" x14ac:dyDescent="0.2">
      <c r="A1359" s="33">
        <v>43243</v>
      </c>
      <c r="B1359" s="36">
        <v>14202</v>
      </c>
      <c r="C1359" s="7">
        <v>14212</v>
      </c>
      <c r="D1359" s="7">
        <v>14210</v>
      </c>
      <c r="E1359" s="7">
        <v>14150</v>
      </c>
      <c r="F1359" s="7">
        <v>14150</v>
      </c>
      <c r="G1359" s="34">
        <v>67</v>
      </c>
      <c r="H1359" s="35">
        <v>69</v>
      </c>
      <c r="I1359" s="38">
        <f t="shared" si="20"/>
        <v>14207</v>
      </c>
    </row>
    <row r="1360" spans="1:9" x14ac:dyDescent="0.2">
      <c r="A1360" s="33">
        <v>43242</v>
      </c>
      <c r="B1360" s="36">
        <v>14133</v>
      </c>
      <c r="C1360" s="7">
        <v>14143</v>
      </c>
      <c r="D1360" s="7">
        <v>14187</v>
      </c>
      <c r="E1360" s="7">
        <v>14120</v>
      </c>
      <c r="F1360" s="7">
        <v>14150</v>
      </c>
      <c r="G1360" s="34">
        <v>102</v>
      </c>
      <c r="H1360" s="35">
        <v>-47</v>
      </c>
      <c r="I1360" s="38">
        <f t="shared" si="20"/>
        <v>14138</v>
      </c>
    </row>
    <row r="1361" spans="1:9" x14ac:dyDescent="0.2">
      <c r="A1361" s="33">
        <v>43241</v>
      </c>
      <c r="B1361" s="36">
        <v>14180</v>
      </c>
      <c r="C1361" s="7">
        <v>14190</v>
      </c>
      <c r="D1361" s="7">
        <v>14200</v>
      </c>
      <c r="E1361" s="7">
        <v>14150</v>
      </c>
      <c r="F1361" s="7">
        <v>14150</v>
      </c>
      <c r="G1361" s="34">
        <v>37</v>
      </c>
      <c r="H1361" s="35">
        <v>30</v>
      </c>
      <c r="I1361" s="38">
        <f t="shared" si="20"/>
        <v>14185</v>
      </c>
    </row>
    <row r="1362" spans="1:9" x14ac:dyDescent="0.2">
      <c r="A1362" s="33">
        <v>43238</v>
      </c>
      <c r="B1362" s="36">
        <v>14150</v>
      </c>
      <c r="C1362" s="7">
        <v>14155</v>
      </c>
      <c r="D1362" s="7">
        <v>14155</v>
      </c>
      <c r="E1362" s="7">
        <v>14040</v>
      </c>
      <c r="F1362" s="7">
        <v>14040</v>
      </c>
      <c r="G1362" s="34">
        <v>77</v>
      </c>
      <c r="H1362" s="35">
        <v>103</v>
      </c>
      <c r="I1362" s="38">
        <f t="shared" si="20"/>
        <v>14152.5</v>
      </c>
    </row>
    <row r="1363" spans="1:9" x14ac:dyDescent="0.2">
      <c r="A1363" s="33">
        <v>43237</v>
      </c>
      <c r="B1363" s="36">
        <v>14047</v>
      </c>
      <c r="C1363" s="7">
        <v>14057</v>
      </c>
      <c r="D1363" s="7">
        <v>14077</v>
      </c>
      <c r="E1363" s="7">
        <v>14040</v>
      </c>
      <c r="F1363" s="7">
        <v>14060</v>
      </c>
      <c r="G1363" s="34">
        <v>88</v>
      </c>
      <c r="H1363" s="35">
        <v>-41</v>
      </c>
      <c r="I1363" s="38">
        <f t="shared" si="20"/>
        <v>14052</v>
      </c>
    </row>
    <row r="1364" spans="1:9" x14ac:dyDescent="0.2">
      <c r="A1364" s="33">
        <v>43236</v>
      </c>
      <c r="B1364" s="36">
        <v>14088</v>
      </c>
      <c r="C1364" s="7">
        <v>14098</v>
      </c>
      <c r="D1364" s="7">
        <v>14110</v>
      </c>
      <c r="E1364" s="7">
        <v>14065</v>
      </c>
      <c r="F1364" s="7">
        <v>14065</v>
      </c>
      <c r="G1364" s="34">
        <v>59</v>
      </c>
      <c r="H1364" s="35">
        <v>56</v>
      </c>
      <c r="I1364" s="38">
        <f t="shared" si="20"/>
        <v>14093</v>
      </c>
    </row>
    <row r="1365" spans="1:9" x14ac:dyDescent="0.2">
      <c r="A1365" s="33">
        <v>43235</v>
      </c>
      <c r="B1365" s="36">
        <v>14032</v>
      </c>
      <c r="C1365" s="7">
        <v>14042</v>
      </c>
      <c r="D1365" s="7">
        <v>14035</v>
      </c>
      <c r="E1365" s="7">
        <v>13979</v>
      </c>
      <c r="F1365" s="7">
        <v>13979</v>
      </c>
      <c r="G1365" s="34">
        <v>73</v>
      </c>
      <c r="H1365" s="35">
        <v>67</v>
      </c>
      <c r="I1365" s="38">
        <f t="shared" si="20"/>
        <v>14037</v>
      </c>
    </row>
    <row r="1366" spans="1:9" x14ac:dyDescent="0.2">
      <c r="A1366" s="33">
        <v>43234</v>
      </c>
      <c r="B1366" s="36">
        <v>13965</v>
      </c>
      <c r="C1366" s="7">
        <v>13975</v>
      </c>
      <c r="D1366" s="7">
        <v>13985</v>
      </c>
      <c r="E1366" s="7">
        <v>13940</v>
      </c>
      <c r="F1366" s="7">
        <v>13950</v>
      </c>
      <c r="G1366" s="34">
        <v>93</v>
      </c>
      <c r="H1366" s="35">
        <v>20</v>
      </c>
      <c r="I1366" s="38">
        <f t="shared" si="20"/>
        <v>13970</v>
      </c>
    </row>
    <row r="1367" spans="1:9" x14ac:dyDescent="0.2">
      <c r="A1367" s="33">
        <v>43231</v>
      </c>
      <c r="B1367" s="36">
        <v>13945</v>
      </c>
      <c r="C1367" s="7">
        <v>13955</v>
      </c>
      <c r="D1367" s="7">
        <v>14070</v>
      </c>
      <c r="E1367" s="7">
        <v>13945</v>
      </c>
      <c r="F1367" s="7">
        <v>14070</v>
      </c>
      <c r="G1367" s="34">
        <v>138</v>
      </c>
      <c r="H1367" s="35">
        <v>-130</v>
      </c>
      <c r="I1367" s="38">
        <f t="shared" si="20"/>
        <v>13950</v>
      </c>
    </row>
    <row r="1368" spans="1:9" x14ac:dyDescent="0.2">
      <c r="A1368" s="33">
        <v>43230</v>
      </c>
      <c r="B1368" s="36">
        <v>14075</v>
      </c>
      <c r="C1368" s="7">
        <v>14085</v>
      </c>
      <c r="D1368" s="7"/>
      <c r="E1368" s="7"/>
      <c r="F1368" s="7"/>
      <c r="G1368" s="34"/>
      <c r="H1368" s="35">
        <v>0</v>
      </c>
      <c r="I1368" s="38">
        <f t="shared" si="20"/>
        <v>14080</v>
      </c>
    </row>
    <row r="1369" spans="1:9" x14ac:dyDescent="0.2">
      <c r="A1369" s="33">
        <v>43229</v>
      </c>
      <c r="B1369" s="36">
        <v>14075</v>
      </c>
      <c r="C1369" s="7">
        <v>14085</v>
      </c>
      <c r="D1369" s="7">
        <v>14085</v>
      </c>
      <c r="E1369" s="7">
        <v>14055</v>
      </c>
      <c r="F1369" s="7">
        <v>14055</v>
      </c>
      <c r="G1369" s="34">
        <v>72</v>
      </c>
      <c r="H1369" s="35">
        <v>30</v>
      </c>
      <c r="I1369" s="38">
        <f t="shared" si="20"/>
        <v>14080</v>
      </c>
    </row>
    <row r="1370" spans="1:9" x14ac:dyDescent="0.2">
      <c r="A1370" s="33">
        <v>43228</v>
      </c>
      <c r="B1370" s="36">
        <v>14045</v>
      </c>
      <c r="C1370" s="7">
        <v>14055</v>
      </c>
      <c r="D1370" s="7">
        <v>14050</v>
      </c>
      <c r="E1370" s="7">
        <v>13995</v>
      </c>
      <c r="F1370" s="7">
        <v>13995</v>
      </c>
      <c r="G1370" s="34">
        <v>44</v>
      </c>
      <c r="H1370" s="35">
        <v>50</v>
      </c>
      <c r="I1370" s="38">
        <f t="shared" si="20"/>
        <v>14050</v>
      </c>
    </row>
    <row r="1371" spans="1:9" x14ac:dyDescent="0.2">
      <c r="A1371" s="33">
        <v>43227</v>
      </c>
      <c r="B1371" s="36">
        <v>13995</v>
      </c>
      <c r="C1371" s="7">
        <v>14005</v>
      </c>
      <c r="D1371" s="7">
        <v>14000</v>
      </c>
      <c r="E1371" s="7">
        <v>13935</v>
      </c>
      <c r="F1371" s="7">
        <v>13935</v>
      </c>
      <c r="G1371" s="34">
        <v>46</v>
      </c>
      <c r="H1371" s="35">
        <v>60</v>
      </c>
      <c r="I1371" s="38">
        <f t="shared" si="20"/>
        <v>14000</v>
      </c>
    </row>
    <row r="1372" spans="1:9" x14ac:dyDescent="0.2">
      <c r="A1372" s="33">
        <v>43224</v>
      </c>
      <c r="B1372" s="36">
        <v>13935</v>
      </c>
      <c r="C1372" s="7">
        <v>13945</v>
      </c>
      <c r="D1372" s="7">
        <v>13947</v>
      </c>
      <c r="E1372" s="7">
        <v>13925</v>
      </c>
      <c r="F1372" s="7">
        <v>13925</v>
      </c>
      <c r="G1372" s="34">
        <v>204</v>
      </c>
      <c r="H1372" s="35">
        <v>0</v>
      </c>
      <c r="I1372" s="38">
        <f t="shared" si="20"/>
        <v>13940</v>
      </c>
    </row>
    <row r="1373" spans="1:9" x14ac:dyDescent="0.2">
      <c r="A1373" s="33">
        <v>43223</v>
      </c>
      <c r="B1373" s="36">
        <v>13935</v>
      </c>
      <c r="C1373" s="7">
        <v>13940</v>
      </c>
      <c r="D1373" s="7">
        <v>13973</v>
      </c>
      <c r="E1373" s="7">
        <v>13934</v>
      </c>
      <c r="F1373" s="7">
        <v>13950</v>
      </c>
      <c r="G1373" s="34">
        <v>407</v>
      </c>
      <c r="H1373" s="35">
        <v>-5</v>
      </c>
      <c r="I1373" s="38">
        <f t="shared" si="20"/>
        <v>13937.5</v>
      </c>
    </row>
    <row r="1374" spans="1:9" x14ac:dyDescent="0.2">
      <c r="A1374" s="33">
        <v>43222</v>
      </c>
      <c r="B1374" s="36">
        <v>13940</v>
      </c>
      <c r="C1374" s="7">
        <v>13950</v>
      </c>
      <c r="D1374" s="7">
        <v>13960</v>
      </c>
      <c r="E1374" s="7">
        <v>13915</v>
      </c>
      <c r="F1374" s="7">
        <v>13915</v>
      </c>
      <c r="G1374" s="34">
        <v>159</v>
      </c>
      <c r="H1374" s="35">
        <v>30</v>
      </c>
      <c r="I1374" s="38">
        <f t="shared" si="20"/>
        <v>13945</v>
      </c>
    </row>
    <row r="1375" spans="1:9" x14ac:dyDescent="0.2">
      <c r="A1375" s="33">
        <v>43221</v>
      </c>
      <c r="B1375" s="36">
        <v>13910</v>
      </c>
      <c r="C1375" s="7">
        <v>13915</v>
      </c>
      <c r="D1375" s="7"/>
      <c r="E1375" s="7"/>
      <c r="F1375" s="7"/>
      <c r="G1375" s="34"/>
      <c r="H1375" s="35">
        <v>0</v>
      </c>
      <c r="I1375" s="38">
        <f t="shared" si="20"/>
        <v>13912.5</v>
      </c>
    </row>
    <row r="1376" spans="1:9" x14ac:dyDescent="0.2">
      <c r="A1376" s="33">
        <v>43220</v>
      </c>
      <c r="B1376" s="36">
        <v>13910</v>
      </c>
      <c r="C1376" s="7">
        <v>13915</v>
      </c>
      <c r="D1376" s="7">
        <v>13910</v>
      </c>
      <c r="E1376" s="7">
        <v>13860</v>
      </c>
      <c r="F1376" s="7">
        <v>13860</v>
      </c>
      <c r="G1376" s="34">
        <v>133</v>
      </c>
      <c r="H1376" s="35">
        <v>25</v>
      </c>
      <c r="I1376" s="38">
        <f t="shared" ref="I1376:I1439" si="21">+(B1376+C1376)*0.5</f>
        <v>13912.5</v>
      </c>
    </row>
    <row r="1377" spans="1:9" x14ac:dyDescent="0.2">
      <c r="A1377" s="33">
        <v>43217</v>
      </c>
      <c r="B1377" s="36">
        <v>13885</v>
      </c>
      <c r="C1377" s="7">
        <v>13895</v>
      </c>
      <c r="D1377" s="7">
        <v>13896</v>
      </c>
      <c r="E1377" s="7">
        <v>13869</v>
      </c>
      <c r="F1377" s="7">
        <v>13870</v>
      </c>
      <c r="G1377" s="34">
        <v>131</v>
      </c>
      <c r="H1377" s="35">
        <v>0</v>
      </c>
      <c r="I1377" s="38">
        <f t="shared" si="21"/>
        <v>13890</v>
      </c>
    </row>
    <row r="1378" spans="1:9" x14ac:dyDescent="0.2">
      <c r="A1378" s="33">
        <v>43216</v>
      </c>
      <c r="B1378" s="36">
        <v>13885</v>
      </c>
      <c r="C1378" s="7">
        <v>13890</v>
      </c>
      <c r="D1378" s="7">
        <v>13930</v>
      </c>
      <c r="E1378" s="7">
        <v>13879</v>
      </c>
      <c r="F1378" s="7">
        <v>13910</v>
      </c>
      <c r="G1378" s="34">
        <v>142</v>
      </c>
      <c r="H1378" s="35">
        <v>-33</v>
      </c>
      <c r="I1378" s="38">
        <f t="shared" si="21"/>
        <v>13887.5</v>
      </c>
    </row>
    <row r="1379" spans="1:9" x14ac:dyDescent="0.2">
      <c r="A1379" s="33">
        <v>43215</v>
      </c>
      <c r="B1379" s="36">
        <v>13918</v>
      </c>
      <c r="C1379" s="7">
        <v>13922</v>
      </c>
      <c r="D1379" s="7">
        <v>13923</v>
      </c>
      <c r="E1379" s="7">
        <v>13873</v>
      </c>
      <c r="F1379" s="7">
        <v>13875</v>
      </c>
      <c r="G1379" s="34">
        <v>167</v>
      </c>
      <c r="H1379" s="35">
        <v>33</v>
      </c>
      <c r="I1379" s="38">
        <f t="shared" si="21"/>
        <v>13920</v>
      </c>
    </row>
    <row r="1380" spans="1:9" x14ac:dyDescent="0.2">
      <c r="A1380" s="33">
        <v>43214</v>
      </c>
      <c r="B1380" s="36">
        <v>13885</v>
      </c>
      <c r="C1380" s="7">
        <v>13890</v>
      </c>
      <c r="D1380" s="7">
        <v>13899</v>
      </c>
      <c r="E1380" s="7">
        <v>13880</v>
      </c>
      <c r="F1380" s="7">
        <v>13895</v>
      </c>
      <c r="G1380" s="34">
        <v>127</v>
      </c>
      <c r="H1380" s="35">
        <v>-5</v>
      </c>
      <c r="I1380" s="38">
        <f t="shared" si="21"/>
        <v>13887.5</v>
      </c>
    </row>
    <row r="1381" spans="1:9" x14ac:dyDescent="0.2">
      <c r="A1381" s="33">
        <v>43213</v>
      </c>
      <c r="B1381" s="36">
        <v>13890</v>
      </c>
      <c r="C1381" s="7">
        <v>13900</v>
      </c>
      <c r="D1381" s="7">
        <v>13895</v>
      </c>
      <c r="E1381" s="7">
        <v>13889</v>
      </c>
      <c r="F1381" s="7">
        <v>13895</v>
      </c>
      <c r="G1381" s="34">
        <v>119</v>
      </c>
      <c r="H1381" s="35">
        <v>15</v>
      </c>
      <c r="I1381" s="38">
        <f t="shared" si="21"/>
        <v>13895</v>
      </c>
    </row>
    <row r="1382" spans="1:9" x14ac:dyDescent="0.2">
      <c r="A1382" s="33">
        <v>43210</v>
      </c>
      <c r="B1382" s="36">
        <v>13875</v>
      </c>
      <c r="C1382" s="7">
        <v>13880</v>
      </c>
      <c r="D1382" s="7">
        <v>13875</v>
      </c>
      <c r="E1382" s="7">
        <v>13785</v>
      </c>
      <c r="F1382" s="7">
        <v>13790</v>
      </c>
      <c r="G1382" s="34">
        <v>169</v>
      </c>
      <c r="H1382" s="35">
        <v>95</v>
      </c>
      <c r="I1382" s="38">
        <f t="shared" si="21"/>
        <v>13877.5</v>
      </c>
    </row>
    <row r="1383" spans="1:9" x14ac:dyDescent="0.2">
      <c r="A1383" s="33">
        <v>43209</v>
      </c>
      <c r="B1383" s="36">
        <v>13780</v>
      </c>
      <c r="C1383" s="7">
        <v>13782</v>
      </c>
      <c r="D1383" s="7">
        <v>13784</v>
      </c>
      <c r="E1383" s="7">
        <v>13768</v>
      </c>
      <c r="F1383" s="7">
        <v>13770</v>
      </c>
      <c r="G1383" s="34">
        <v>109</v>
      </c>
      <c r="H1383" s="35">
        <v>7</v>
      </c>
      <c r="I1383" s="38">
        <f t="shared" si="21"/>
        <v>13781</v>
      </c>
    </row>
    <row r="1384" spans="1:9" x14ac:dyDescent="0.2">
      <c r="A1384" s="33">
        <v>43208</v>
      </c>
      <c r="B1384" s="36">
        <v>13773</v>
      </c>
      <c r="C1384" s="7">
        <v>13776</v>
      </c>
      <c r="D1384" s="7">
        <v>13775</v>
      </c>
      <c r="E1384" s="7">
        <v>13765</v>
      </c>
      <c r="F1384" s="7">
        <v>13765</v>
      </c>
      <c r="G1384" s="34">
        <v>124</v>
      </c>
      <c r="H1384" s="35">
        <v>8</v>
      </c>
      <c r="I1384" s="38">
        <f t="shared" si="21"/>
        <v>13774.5</v>
      </c>
    </row>
    <row r="1385" spans="1:9" x14ac:dyDescent="0.2">
      <c r="A1385" s="33">
        <v>43207</v>
      </c>
      <c r="B1385" s="36">
        <v>13765</v>
      </c>
      <c r="C1385" s="7">
        <v>13767</v>
      </c>
      <c r="D1385" s="7">
        <v>13772</v>
      </c>
      <c r="E1385" s="7">
        <v>13750</v>
      </c>
      <c r="F1385" s="7">
        <v>13760</v>
      </c>
      <c r="G1385" s="34">
        <v>171</v>
      </c>
      <c r="H1385" s="35">
        <v>-7</v>
      </c>
      <c r="I1385" s="38">
        <f t="shared" si="21"/>
        <v>13766</v>
      </c>
    </row>
    <row r="1386" spans="1:9" x14ac:dyDescent="0.2">
      <c r="A1386" s="33">
        <v>43206</v>
      </c>
      <c r="B1386" s="36">
        <v>13772</v>
      </c>
      <c r="C1386" s="7">
        <v>13777</v>
      </c>
      <c r="D1386" s="7">
        <v>13777</v>
      </c>
      <c r="E1386" s="7">
        <v>13750</v>
      </c>
      <c r="F1386" s="7">
        <v>13750</v>
      </c>
      <c r="G1386" s="34">
        <v>214</v>
      </c>
      <c r="H1386" s="35">
        <v>22</v>
      </c>
      <c r="I1386" s="38">
        <f t="shared" si="21"/>
        <v>13774.5</v>
      </c>
    </row>
    <row r="1387" spans="1:9" x14ac:dyDescent="0.2">
      <c r="A1387" s="33">
        <v>43203</v>
      </c>
      <c r="B1387" s="36">
        <v>13750</v>
      </c>
      <c r="C1387" s="7">
        <v>13755</v>
      </c>
      <c r="D1387" s="7">
        <v>13758</v>
      </c>
      <c r="E1387" s="7">
        <v>13738</v>
      </c>
      <c r="F1387" s="7">
        <v>13740</v>
      </c>
      <c r="G1387" s="34">
        <v>120</v>
      </c>
      <c r="H1387" s="35">
        <v>-19</v>
      </c>
      <c r="I1387" s="38">
        <f t="shared" si="21"/>
        <v>13752.5</v>
      </c>
    </row>
    <row r="1388" spans="1:9" x14ac:dyDescent="0.2">
      <c r="A1388" s="33">
        <v>43202</v>
      </c>
      <c r="B1388" s="36">
        <v>13769</v>
      </c>
      <c r="C1388" s="7">
        <v>13770</v>
      </c>
      <c r="D1388" s="7">
        <v>13770</v>
      </c>
      <c r="E1388" s="7">
        <v>13750</v>
      </c>
      <c r="F1388" s="7">
        <v>13755</v>
      </c>
      <c r="G1388" s="34">
        <v>91</v>
      </c>
      <c r="H1388" s="35">
        <v>12</v>
      </c>
      <c r="I1388" s="38">
        <f t="shared" si="21"/>
        <v>13769.5</v>
      </c>
    </row>
    <row r="1389" spans="1:9" x14ac:dyDescent="0.2">
      <c r="A1389" s="33">
        <v>43201</v>
      </c>
      <c r="B1389" s="36">
        <v>13757</v>
      </c>
      <c r="C1389" s="7">
        <v>13760</v>
      </c>
      <c r="D1389" s="7">
        <v>13760</v>
      </c>
      <c r="E1389" s="7">
        <v>13740</v>
      </c>
      <c r="F1389" s="7">
        <v>13743</v>
      </c>
      <c r="G1389" s="34">
        <v>98</v>
      </c>
      <c r="H1389" s="35">
        <v>9</v>
      </c>
      <c r="I1389" s="38">
        <f t="shared" si="21"/>
        <v>13758.5</v>
      </c>
    </row>
    <row r="1390" spans="1:9" x14ac:dyDescent="0.2">
      <c r="A1390" s="33">
        <v>43200</v>
      </c>
      <c r="B1390" s="36">
        <v>13748</v>
      </c>
      <c r="C1390" s="7">
        <v>13750</v>
      </c>
      <c r="D1390" s="7">
        <v>13761</v>
      </c>
      <c r="E1390" s="7">
        <v>13735</v>
      </c>
      <c r="F1390" s="7">
        <v>13760</v>
      </c>
      <c r="G1390" s="34">
        <v>160</v>
      </c>
      <c r="H1390" s="35">
        <v>-12</v>
      </c>
      <c r="I1390" s="38">
        <f t="shared" si="21"/>
        <v>13749</v>
      </c>
    </row>
    <row r="1391" spans="1:9" x14ac:dyDescent="0.2">
      <c r="A1391" s="33">
        <v>43199</v>
      </c>
      <c r="B1391" s="36">
        <v>13760</v>
      </c>
      <c r="C1391" s="7">
        <v>13769</v>
      </c>
      <c r="D1391" s="7">
        <v>13771</v>
      </c>
      <c r="E1391" s="7">
        <v>13755</v>
      </c>
      <c r="F1391" s="7">
        <v>13760</v>
      </c>
      <c r="G1391" s="34">
        <v>97</v>
      </c>
      <c r="H1391" s="35">
        <v>-10</v>
      </c>
      <c r="I1391" s="38">
        <f t="shared" si="21"/>
        <v>13764.5</v>
      </c>
    </row>
    <row r="1392" spans="1:9" x14ac:dyDescent="0.2">
      <c r="A1392" s="33">
        <v>43196</v>
      </c>
      <c r="B1392" s="36">
        <v>13770</v>
      </c>
      <c r="C1392" s="7">
        <v>13777</v>
      </c>
      <c r="D1392" s="7">
        <v>13780</v>
      </c>
      <c r="E1392" s="7">
        <v>13770</v>
      </c>
      <c r="F1392" s="7">
        <v>13770</v>
      </c>
      <c r="G1392" s="34">
        <v>88</v>
      </c>
      <c r="H1392" s="35">
        <v>6</v>
      </c>
      <c r="I1392" s="38">
        <f t="shared" si="21"/>
        <v>13773.5</v>
      </c>
    </row>
    <row r="1393" spans="1:9" x14ac:dyDescent="0.2">
      <c r="A1393" s="33">
        <v>43195</v>
      </c>
      <c r="B1393" s="36">
        <v>13764</v>
      </c>
      <c r="C1393" s="7">
        <v>13769</v>
      </c>
      <c r="D1393" s="7">
        <v>13770</v>
      </c>
      <c r="E1393" s="7">
        <v>13760</v>
      </c>
      <c r="F1393" s="7">
        <v>13760</v>
      </c>
      <c r="G1393" s="34">
        <v>99</v>
      </c>
      <c r="H1393" s="35">
        <v>1</v>
      </c>
      <c r="I1393" s="38">
        <f t="shared" si="21"/>
        <v>13766.5</v>
      </c>
    </row>
    <row r="1394" spans="1:9" x14ac:dyDescent="0.2">
      <c r="A1394" s="33">
        <v>43194</v>
      </c>
      <c r="B1394" s="36">
        <v>13763</v>
      </c>
      <c r="C1394" s="7">
        <v>13770</v>
      </c>
      <c r="D1394" s="7">
        <v>13765</v>
      </c>
      <c r="E1394" s="7">
        <v>13750</v>
      </c>
      <c r="F1394" s="7">
        <v>13760</v>
      </c>
      <c r="G1394" s="34">
        <v>96</v>
      </c>
      <c r="H1394" s="35">
        <v>0</v>
      </c>
      <c r="I1394" s="38">
        <f t="shared" si="21"/>
        <v>13766.5</v>
      </c>
    </row>
    <row r="1395" spans="1:9" x14ac:dyDescent="0.2">
      <c r="A1395" s="33">
        <v>43193</v>
      </c>
      <c r="B1395" s="36">
        <v>13763</v>
      </c>
      <c r="C1395" s="7">
        <v>13766</v>
      </c>
      <c r="D1395" s="7">
        <v>13766</v>
      </c>
      <c r="E1395" s="7">
        <v>13750</v>
      </c>
      <c r="F1395" s="7">
        <v>13760</v>
      </c>
      <c r="G1395" s="34">
        <v>93</v>
      </c>
      <c r="H1395" s="35">
        <v>10</v>
      </c>
      <c r="I1395" s="38">
        <f t="shared" si="21"/>
        <v>13764.5</v>
      </c>
    </row>
    <row r="1396" spans="1:9" x14ac:dyDescent="0.2">
      <c r="A1396" s="33">
        <v>43192</v>
      </c>
      <c r="B1396" s="36">
        <v>13753</v>
      </c>
      <c r="C1396" s="7">
        <v>13755</v>
      </c>
      <c r="D1396" s="7">
        <v>13760</v>
      </c>
      <c r="E1396" s="7">
        <v>13740</v>
      </c>
      <c r="F1396" s="7">
        <v>13740</v>
      </c>
      <c r="G1396" s="34">
        <v>75</v>
      </c>
      <c r="H1396" s="35">
        <v>-7</v>
      </c>
      <c r="I1396" s="38">
        <f t="shared" si="21"/>
        <v>13754</v>
      </c>
    </row>
    <row r="1397" spans="1:9" x14ac:dyDescent="0.2">
      <c r="A1397" s="33">
        <v>43189</v>
      </c>
      <c r="B1397" s="36">
        <v>13760</v>
      </c>
      <c r="C1397" s="7">
        <v>13770</v>
      </c>
      <c r="D1397" s="7"/>
      <c r="E1397" s="7"/>
      <c r="F1397" s="7"/>
      <c r="G1397" s="34"/>
      <c r="H1397" s="35">
        <v>0</v>
      </c>
      <c r="I1397" s="38">
        <f t="shared" si="21"/>
        <v>13765</v>
      </c>
    </row>
    <row r="1398" spans="1:9" x14ac:dyDescent="0.2">
      <c r="A1398" s="33">
        <v>43188</v>
      </c>
      <c r="B1398" s="36">
        <v>13760</v>
      </c>
      <c r="C1398" s="7">
        <v>13770</v>
      </c>
      <c r="D1398" s="7">
        <v>13770</v>
      </c>
      <c r="E1398" s="7">
        <v>13744</v>
      </c>
      <c r="F1398" s="7">
        <v>13762</v>
      </c>
      <c r="G1398" s="34">
        <v>106</v>
      </c>
      <c r="H1398" s="35">
        <v>0</v>
      </c>
      <c r="I1398" s="38">
        <f t="shared" si="21"/>
        <v>13765</v>
      </c>
    </row>
    <row r="1399" spans="1:9" x14ac:dyDescent="0.2">
      <c r="A1399" s="33">
        <v>43187</v>
      </c>
      <c r="B1399" s="36">
        <v>13760</v>
      </c>
      <c r="C1399" s="7">
        <v>13766</v>
      </c>
      <c r="D1399" s="7">
        <v>13765</v>
      </c>
      <c r="E1399" s="7">
        <v>13730</v>
      </c>
      <c r="F1399" s="7">
        <v>13745</v>
      </c>
      <c r="G1399" s="34">
        <v>121</v>
      </c>
      <c r="H1399" s="35">
        <v>20</v>
      </c>
      <c r="I1399" s="38">
        <f t="shared" si="21"/>
        <v>13763</v>
      </c>
    </row>
    <row r="1400" spans="1:9" x14ac:dyDescent="0.2">
      <c r="A1400" s="33">
        <v>43186</v>
      </c>
      <c r="B1400" s="36">
        <v>13740</v>
      </c>
      <c r="C1400" s="7">
        <v>13744</v>
      </c>
      <c r="D1400" s="7">
        <v>13745</v>
      </c>
      <c r="E1400" s="7">
        <v>13695</v>
      </c>
      <c r="F1400" s="7">
        <v>13715</v>
      </c>
      <c r="G1400" s="34">
        <v>145</v>
      </c>
      <c r="H1400" s="35">
        <v>5</v>
      </c>
      <c r="I1400" s="38">
        <f t="shared" si="21"/>
        <v>13742</v>
      </c>
    </row>
    <row r="1401" spans="1:9" x14ac:dyDescent="0.2">
      <c r="A1401" s="33">
        <v>43185</v>
      </c>
      <c r="B1401" s="36">
        <v>13735</v>
      </c>
      <c r="C1401" s="7">
        <v>13745</v>
      </c>
      <c r="D1401" s="7">
        <v>13780</v>
      </c>
      <c r="E1401" s="7">
        <v>13735</v>
      </c>
      <c r="F1401" s="7">
        <v>13775</v>
      </c>
      <c r="G1401" s="34">
        <v>118</v>
      </c>
      <c r="H1401" s="35">
        <v>-45</v>
      </c>
      <c r="I1401" s="38">
        <f t="shared" si="21"/>
        <v>13740</v>
      </c>
    </row>
    <row r="1402" spans="1:9" x14ac:dyDescent="0.2">
      <c r="A1402" s="33">
        <v>43182</v>
      </c>
      <c r="B1402" s="36">
        <v>13780</v>
      </c>
      <c r="C1402" s="7">
        <v>13785</v>
      </c>
      <c r="D1402" s="7">
        <v>13794</v>
      </c>
      <c r="E1402" s="7">
        <v>13760</v>
      </c>
      <c r="F1402" s="7">
        <v>13760</v>
      </c>
      <c r="G1402" s="34">
        <v>136</v>
      </c>
      <c r="H1402" s="35">
        <v>30</v>
      </c>
      <c r="I1402" s="38">
        <f t="shared" si="21"/>
        <v>13782.5</v>
      </c>
    </row>
    <row r="1403" spans="1:9" x14ac:dyDescent="0.2">
      <c r="A1403" s="33">
        <v>43181</v>
      </c>
      <c r="B1403" s="36">
        <v>13750</v>
      </c>
      <c r="C1403" s="7">
        <v>13755</v>
      </c>
      <c r="D1403" s="7">
        <v>13751</v>
      </c>
      <c r="E1403" s="7">
        <v>13725</v>
      </c>
      <c r="F1403" s="7">
        <v>13725</v>
      </c>
      <c r="G1403" s="34">
        <v>123</v>
      </c>
      <c r="H1403" s="35">
        <v>-10</v>
      </c>
      <c r="I1403" s="38">
        <f t="shared" si="21"/>
        <v>13752.5</v>
      </c>
    </row>
    <row r="1404" spans="1:9" x14ac:dyDescent="0.2">
      <c r="A1404" s="33">
        <v>43180</v>
      </c>
      <c r="B1404" s="36">
        <v>13760</v>
      </c>
      <c r="C1404" s="7">
        <v>13765</v>
      </c>
      <c r="D1404" s="7">
        <v>13764</v>
      </c>
      <c r="E1404" s="7">
        <v>13750</v>
      </c>
      <c r="F1404" s="7">
        <v>13755</v>
      </c>
      <c r="G1404" s="34">
        <v>99</v>
      </c>
      <c r="H1404" s="35">
        <v>15</v>
      </c>
      <c r="I1404" s="38">
        <f t="shared" si="21"/>
        <v>13762.5</v>
      </c>
    </row>
    <row r="1405" spans="1:9" x14ac:dyDescent="0.2">
      <c r="A1405" s="33">
        <v>43179</v>
      </c>
      <c r="B1405" s="36">
        <v>13745</v>
      </c>
      <c r="C1405" s="7">
        <v>13755</v>
      </c>
      <c r="D1405" s="7">
        <v>13763</v>
      </c>
      <c r="E1405" s="7">
        <v>13745</v>
      </c>
      <c r="F1405" s="7">
        <v>13761</v>
      </c>
      <c r="G1405" s="34">
        <v>116</v>
      </c>
      <c r="H1405" s="35">
        <v>-19</v>
      </c>
      <c r="I1405" s="38">
        <f t="shared" si="21"/>
        <v>13750</v>
      </c>
    </row>
    <row r="1406" spans="1:9" x14ac:dyDescent="0.2">
      <c r="A1406" s="33">
        <v>43178</v>
      </c>
      <c r="B1406" s="36">
        <v>13764</v>
      </c>
      <c r="C1406" s="7">
        <v>13765</v>
      </c>
      <c r="D1406" s="7">
        <v>13765</v>
      </c>
      <c r="E1406" s="7">
        <v>13755</v>
      </c>
      <c r="F1406" s="7">
        <v>13765</v>
      </c>
      <c r="G1406" s="34">
        <v>101</v>
      </c>
      <c r="H1406" s="35">
        <v>19</v>
      </c>
      <c r="I1406" s="38">
        <f t="shared" si="21"/>
        <v>13764.5</v>
      </c>
    </row>
    <row r="1407" spans="1:9" x14ac:dyDescent="0.2">
      <c r="A1407" s="33">
        <v>43175</v>
      </c>
      <c r="B1407" s="36">
        <v>13745</v>
      </c>
      <c r="C1407" s="7">
        <v>13753</v>
      </c>
      <c r="D1407" s="7">
        <v>13766</v>
      </c>
      <c r="E1407" s="7">
        <v>13740</v>
      </c>
      <c r="F1407" s="7">
        <v>13760</v>
      </c>
      <c r="G1407" s="34">
        <v>140</v>
      </c>
      <c r="H1407" s="35">
        <v>0</v>
      </c>
      <c r="I1407" s="38">
        <f t="shared" si="21"/>
        <v>13749</v>
      </c>
    </row>
    <row r="1408" spans="1:9" x14ac:dyDescent="0.2">
      <c r="A1408" s="33">
        <v>43174</v>
      </c>
      <c r="B1408" s="36">
        <v>13745</v>
      </c>
      <c r="C1408" s="7">
        <v>13750</v>
      </c>
      <c r="D1408" s="7">
        <v>13750</v>
      </c>
      <c r="E1408" s="7">
        <v>13735</v>
      </c>
      <c r="F1408" s="7">
        <v>13735</v>
      </c>
      <c r="G1408" s="34">
        <v>189</v>
      </c>
      <c r="H1408" s="35">
        <v>10</v>
      </c>
      <c r="I1408" s="38">
        <f t="shared" si="21"/>
        <v>13747.5</v>
      </c>
    </row>
    <row r="1409" spans="1:9" x14ac:dyDescent="0.2">
      <c r="A1409" s="33">
        <v>43173</v>
      </c>
      <c r="B1409" s="36">
        <v>13735</v>
      </c>
      <c r="C1409" s="7">
        <v>13738</v>
      </c>
      <c r="D1409" s="7">
        <v>13741</v>
      </c>
      <c r="E1409" s="7">
        <v>13725</v>
      </c>
      <c r="F1409" s="7">
        <v>13740</v>
      </c>
      <c r="G1409" s="34">
        <v>148</v>
      </c>
      <c r="H1409" s="35">
        <v>-11</v>
      </c>
      <c r="I1409" s="38">
        <f t="shared" si="21"/>
        <v>13736.5</v>
      </c>
    </row>
    <row r="1410" spans="1:9" x14ac:dyDescent="0.2">
      <c r="A1410" s="33">
        <v>43172</v>
      </c>
      <c r="B1410" s="36">
        <v>13746</v>
      </c>
      <c r="C1410" s="7">
        <v>13755</v>
      </c>
      <c r="D1410" s="7">
        <v>13760</v>
      </c>
      <c r="E1410" s="7">
        <v>13745</v>
      </c>
      <c r="F1410" s="7">
        <v>13760</v>
      </c>
      <c r="G1410" s="34">
        <v>138</v>
      </c>
      <c r="H1410" s="35">
        <v>-19</v>
      </c>
      <c r="I1410" s="38">
        <f t="shared" si="21"/>
        <v>13750.5</v>
      </c>
    </row>
    <row r="1411" spans="1:9" x14ac:dyDescent="0.2">
      <c r="A1411" s="33">
        <v>43171</v>
      </c>
      <c r="B1411" s="36">
        <v>13765</v>
      </c>
      <c r="C1411" s="7">
        <v>13775</v>
      </c>
      <c r="D1411" s="7">
        <v>13775</v>
      </c>
      <c r="E1411" s="7">
        <v>13765</v>
      </c>
      <c r="F1411" s="7">
        <v>13765</v>
      </c>
      <c r="G1411" s="34">
        <v>78</v>
      </c>
      <c r="H1411" s="35">
        <v>-12</v>
      </c>
      <c r="I1411" s="38">
        <f t="shared" si="21"/>
        <v>13770</v>
      </c>
    </row>
    <row r="1412" spans="1:9" x14ac:dyDescent="0.2">
      <c r="A1412" s="33">
        <v>43168</v>
      </c>
      <c r="B1412" s="36">
        <v>13777</v>
      </c>
      <c r="C1412" s="7">
        <v>13785</v>
      </c>
      <c r="D1412" s="7">
        <v>13795</v>
      </c>
      <c r="E1412" s="7">
        <v>13770</v>
      </c>
      <c r="F1412" s="7">
        <v>13790</v>
      </c>
      <c r="G1412" s="34">
        <v>125</v>
      </c>
      <c r="H1412" s="35">
        <v>-3</v>
      </c>
      <c r="I1412" s="38">
        <f t="shared" si="21"/>
        <v>13781</v>
      </c>
    </row>
    <row r="1413" spans="1:9" x14ac:dyDescent="0.2">
      <c r="A1413" s="33">
        <v>43167</v>
      </c>
      <c r="B1413" s="36">
        <v>13780</v>
      </c>
      <c r="C1413" s="7">
        <v>13790</v>
      </c>
      <c r="D1413" s="7">
        <v>13780</v>
      </c>
      <c r="E1413" s="7">
        <v>13755</v>
      </c>
      <c r="F1413" s="7">
        <v>13755</v>
      </c>
      <c r="G1413" s="34">
        <v>142</v>
      </c>
      <c r="H1413" s="35">
        <v>18</v>
      </c>
      <c r="I1413" s="38">
        <f t="shared" si="21"/>
        <v>13785</v>
      </c>
    </row>
    <row r="1414" spans="1:9" x14ac:dyDescent="0.2">
      <c r="A1414" s="33">
        <v>43166</v>
      </c>
      <c r="B1414" s="36">
        <v>13762</v>
      </c>
      <c r="C1414" s="7">
        <v>13770</v>
      </c>
      <c r="D1414" s="7">
        <v>13772</v>
      </c>
      <c r="E1414" s="7">
        <v>13750</v>
      </c>
      <c r="F1414" s="7">
        <v>13750</v>
      </c>
      <c r="G1414" s="34">
        <v>83</v>
      </c>
      <c r="H1414" s="35">
        <v>-8</v>
      </c>
      <c r="I1414" s="38">
        <f t="shared" si="21"/>
        <v>13766</v>
      </c>
    </row>
    <row r="1415" spans="1:9" x14ac:dyDescent="0.2">
      <c r="A1415" s="33">
        <v>43165</v>
      </c>
      <c r="B1415" s="36">
        <v>13770</v>
      </c>
      <c r="C1415" s="7">
        <v>13780</v>
      </c>
      <c r="D1415" s="7">
        <v>13780</v>
      </c>
      <c r="E1415" s="7">
        <v>13740</v>
      </c>
      <c r="F1415" s="7">
        <v>13745</v>
      </c>
      <c r="G1415" s="34">
        <v>109</v>
      </c>
      <c r="H1415" s="35">
        <v>10</v>
      </c>
      <c r="I1415" s="38">
        <f t="shared" si="21"/>
        <v>13775</v>
      </c>
    </row>
    <row r="1416" spans="1:9" x14ac:dyDescent="0.2">
      <c r="A1416" s="33">
        <v>43164</v>
      </c>
      <c r="B1416" s="36">
        <v>13760</v>
      </c>
      <c r="C1416" s="7">
        <v>13765</v>
      </c>
      <c r="D1416" s="7">
        <v>13773</v>
      </c>
      <c r="E1416" s="7">
        <v>13735</v>
      </c>
      <c r="F1416" s="7">
        <v>13735</v>
      </c>
      <c r="G1416" s="34">
        <v>105</v>
      </c>
      <c r="H1416" s="35">
        <v>5</v>
      </c>
      <c r="I1416" s="38">
        <f t="shared" si="21"/>
        <v>13762.5</v>
      </c>
    </row>
    <row r="1417" spans="1:9" x14ac:dyDescent="0.2">
      <c r="A1417" s="33">
        <v>43161</v>
      </c>
      <c r="B1417" s="36">
        <v>13755</v>
      </c>
      <c r="C1417" s="7">
        <v>13760</v>
      </c>
      <c r="D1417" s="7">
        <v>13760</v>
      </c>
      <c r="E1417" s="7">
        <v>13720</v>
      </c>
      <c r="F1417" s="7">
        <v>13720</v>
      </c>
      <c r="G1417" s="34">
        <v>133</v>
      </c>
      <c r="H1417" s="35">
        <v>10</v>
      </c>
      <c r="I1417" s="38">
        <f t="shared" si="21"/>
        <v>13757.5</v>
      </c>
    </row>
    <row r="1418" spans="1:9" x14ac:dyDescent="0.2">
      <c r="A1418" s="33">
        <v>43160</v>
      </c>
      <c r="B1418" s="36">
        <v>13745</v>
      </c>
      <c r="C1418" s="7">
        <v>13750</v>
      </c>
      <c r="D1418" s="7">
        <v>13800</v>
      </c>
      <c r="E1418" s="7">
        <v>13740</v>
      </c>
      <c r="F1418" s="7">
        <v>13780</v>
      </c>
      <c r="G1418" s="34">
        <v>140</v>
      </c>
      <c r="H1418" s="35">
        <v>5</v>
      </c>
      <c r="I1418" s="38">
        <f t="shared" si="21"/>
        <v>13747.5</v>
      </c>
    </row>
    <row r="1419" spans="1:9" x14ac:dyDescent="0.2">
      <c r="A1419" s="33">
        <v>43159</v>
      </c>
      <c r="B1419" s="36">
        <v>13740</v>
      </c>
      <c r="C1419" s="7">
        <v>13750</v>
      </c>
      <c r="D1419" s="7">
        <v>13750</v>
      </c>
      <c r="E1419" s="7">
        <v>13700</v>
      </c>
      <c r="F1419" s="7">
        <v>13700</v>
      </c>
      <c r="G1419" s="34">
        <v>162</v>
      </c>
      <c r="H1419" s="35">
        <v>70</v>
      </c>
      <c r="I1419" s="38">
        <f t="shared" si="21"/>
        <v>13745</v>
      </c>
    </row>
    <row r="1420" spans="1:9" x14ac:dyDescent="0.2">
      <c r="A1420" s="33">
        <v>43158</v>
      </c>
      <c r="B1420" s="36">
        <v>13670</v>
      </c>
      <c r="C1420" s="7">
        <v>13680</v>
      </c>
      <c r="D1420" s="7">
        <v>13680</v>
      </c>
      <c r="E1420" s="7">
        <v>13645</v>
      </c>
      <c r="F1420" s="7">
        <v>13647</v>
      </c>
      <c r="G1420" s="34">
        <v>184</v>
      </c>
      <c r="H1420" s="35">
        <v>15</v>
      </c>
      <c r="I1420" s="38">
        <f t="shared" si="21"/>
        <v>13675</v>
      </c>
    </row>
    <row r="1421" spans="1:9" x14ac:dyDescent="0.2">
      <c r="A1421" s="33">
        <v>43157</v>
      </c>
      <c r="B1421" s="36">
        <v>13655</v>
      </c>
      <c r="C1421" s="7">
        <v>13665</v>
      </c>
      <c r="D1421" s="7">
        <v>13660</v>
      </c>
      <c r="E1421" s="7">
        <v>13640</v>
      </c>
      <c r="F1421" s="7">
        <v>13655</v>
      </c>
      <c r="G1421" s="34">
        <v>113</v>
      </c>
      <c r="H1421" s="35">
        <v>-10</v>
      </c>
      <c r="I1421" s="38">
        <f t="shared" si="21"/>
        <v>13660</v>
      </c>
    </row>
    <row r="1422" spans="1:9" x14ac:dyDescent="0.2">
      <c r="A1422" s="33">
        <v>43154</v>
      </c>
      <c r="B1422" s="36">
        <v>13665</v>
      </c>
      <c r="C1422" s="7">
        <v>13670</v>
      </c>
      <c r="D1422" s="7">
        <v>13682</v>
      </c>
      <c r="E1422" s="7">
        <v>13660</v>
      </c>
      <c r="F1422" s="7">
        <v>13665</v>
      </c>
      <c r="G1422" s="34">
        <v>133</v>
      </c>
      <c r="H1422" s="35">
        <v>-15</v>
      </c>
      <c r="I1422" s="38">
        <f t="shared" si="21"/>
        <v>13667.5</v>
      </c>
    </row>
    <row r="1423" spans="1:9" x14ac:dyDescent="0.2">
      <c r="A1423" s="33">
        <v>43153</v>
      </c>
      <c r="B1423" s="36">
        <v>13680</v>
      </c>
      <c r="C1423" s="7">
        <v>13685</v>
      </c>
      <c r="D1423" s="7">
        <v>13688</v>
      </c>
      <c r="E1423" s="7">
        <v>13650</v>
      </c>
      <c r="F1423" s="7">
        <v>13650</v>
      </c>
      <c r="G1423" s="34">
        <v>142</v>
      </c>
      <c r="H1423" s="35">
        <v>62</v>
      </c>
      <c r="I1423" s="38">
        <f t="shared" si="21"/>
        <v>13682.5</v>
      </c>
    </row>
    <row r="1424" spans="1:9" x14ac:dyDescent="0.2">
      <c r="A1424" s="33">
        <v>43152</v>
      </c>
      <c r="B1424" s="36">
        <v>13618</v>
      </c>
      <c r="C1424" s="7">
        <v>13619</v>
      </c>
      <c r="D1424" s="7">
        <v>13618</v>
      </c>
      <c r="E1424" s="7">
        <v>13570</v>
      </c>
      <c r="F1424" s="7">
        <v>13575</v>
      </c>
      <c r="G1424" s="34">
        <v>190</v>
      </c>
      <c r="H1424" s="35">
        <v>8</v>
      </c>
      <c r="I1424" s="38">
        <f t="shared" si="21"/>
        <v>13618.5</v>
      </c>
    </row>
    <row r="1425" spans="1:9" x14ac:dyDescent="0.2">
      <c r="A1425" s="33">
        <v>43151</v>
      </c>
      <c r="B1425" s="36">
        <v>13610</v>
      </c>
      <c r="C1425" s="7">
        <v>13615</v>
      </c>
      <c r="D1425" s="7">
        <v>13613</v>
      </c>
      <c r="E1425" s="7">
        <v>13560</v>
      </c>
      <c r="F1425" s="7">
        <v>13560</v>
      </c>
      <c r="G1425" s="34">
        <v>162</v>
      </c>
      <c r="H1425" s="35">
        <v>52</v>
      </c>
      <c r="I1425" s="38">
        <f t="shared" si="21"/>
        <v>13612.5</v>
      </c>
    </row>
    <row r="1426" spans="1:9" x14ac:dyDescent="0.2">
      <c r="A1426" s="33">
        <v>43150</v>
      </c>
      <c r="B1426" s="36">
        <v>13558</v>
      </c>
      <c r="C1426" s="7">
        <v>13563</v>
      </c>
      <c r="D1426" s="7">
        <v>13560</v>
      </c>
      <c r="E1426" s="7">
        <v>13530</v>
      </c>
      <c r="F1426" s="7">
        <v>13550</v>
      </c>
      <c r="G1426" s="34">
        <v>104</v>
      </c>
      <c r="H1426" s="35">
        <v>1</v>
      </c>
      <c r="I1426" s="38">
        <f t="shared" si="21"/>
        <v>13560.5</v>
      </c>
    </row>
    <row r="1427" spans="1:9" x14ac:dyDescent="0.2">
      <c r="A1427" s="33">
        <v>43147</v>
      </c>
      <c r="B1427" s="36">
        <v>13557</v>
      </c>
      <c r="C1427" s="7">
        <v>13560</v>
      </c>
      <c r="D1427" s="7"/>
      <c r="E1427" s="7"/>
      <c r="F1427" s="7"/>
      <c r="G1427" s="34"/>
      <c r="H1427" s="35">
        <v>0</v>
      </c>
      <c r="I1427" s="38">
        <f t="shared" si="21"/>
        <v>13558.5</v>
      </c>
    </row>
    <row r="1428" spans="1:9" x14ac:dyDescent="0.2">
      <c r="A1428" s="33">
        <v>43146</v>
      </c>
      <c r="B1428" s="36">
        <v>13557</v>
      </c>
      <c r="C1428" s="7">
        <v>13560</v>
      </c>
      <c r="D1428" s="7">
        <v>13590</v>
      </c>
      <c r="E1428" s="7">
        <v>13540</v>
      </c>
      <c r="F1428" s="7">
        <v>13590</v>
      </c>
      <c r="G1428" s="34">
        <v>72</v>
      </c>
      <c r="H1428" s="35">
        <v>-69</v>
      </c>
      <c r="I1428" s="38">
        <f t="shared" si="21"/>
        <v>13558.5</v>
      </c>
    </row>
    <row r="1429" spans="1:9" x14ac:dyDescent="0.2">
      <c r="A1429" s="33">
        <v>43145</v>
      </c>
      <c r="B1429" s="36">
        <v>13626</v>
      </c>
      <c r="C1429" s="7">
        <v>13631</v>
      </c>
      <c r="D1429" s="7">
        <v>13660</v>
      </c>
      <c r="E1429" s="7">
        <v>13610</v>
      </c>
      <c r="F1429" s="7">
        <v>13645</v>
      </c>
      <c r="G1429" s="34">
        <v>105</v>
      </c>
      <c r="H1429" s="35">
        <v>-29</v>
      </c>
      <c r="I1429" s="38">
        <f t="shared" si="21"/>
        <v>13628.5</v>
      </c>
    </row>
    <row r="1430" spans="1:9" x14ac:dyDescent="0.2">
      <c r="A1430" s="33">
        <v>43144</v>
      </c>
      <c r="B1430" s="36">
        <v>13655</v>
      </c>
      <c r="C1430" s="7">
        <v>13660</v>
      </c>
      <c r="D1430" s="7">
        <v>13655</v>
      </c>
      <c r="E1430" s="7">
        <v>13630</v>
      </c>
      <c r="F1430" s="7">
        <v>13630</v>
      </c>
      <c r="G1430" s="34">
        <v>138</v>
      </c>
      <c r="H1430" s="35">
        <v>0</v>
      </c>
      <c r="I1430" s="38">
        <f t="shared" si="21"/>
        <v>13657.5</v>
      </c>
    </row>
    <row r="1431" spans="1:9" x14ac:dyDescent="0.2">
      <c r="A1431" s="33">
        <v>43143</v>
      </c>
      <c r="B1431" s="36">
        <v>13655</v>
      </c>
      <c r="C1431" s="7">
        <v>13660</v>
      </c>
      <c r="D1431" s="7">
        <v>13655</v>
      </c>
      <c r="E1431" s="7">
        <v>13595</v>
      </c>
      <c r="F1431" s="7">
        <v>13605</v>
      </c>
      <c r="G1431" s="34">
        <v>99</v>
      </c>
      <c r="H1431" s="35">
        <v>30</v>
      </c>
      <c r="I1431" s="38">
        <f t="shared" si="21"/>
        <v>13657.5</v>
      </c>
    </row>
    <row r="1432" spans="1:9" x14ac:dyDescent="0.2">
      <c r="A1432" s="33">
        <v>43140</v>
      </c>
      <c r="B1432" s="36">
        <v>13625</v>
      </c>
      <c r="C1432" s="7">
        <v>13630</v>
      </c>
      <c r="D1432" s="7">
        <v>13648</v>
      </c>
      <c r="E1432" s="7">
        <v>13615</v>
      </c>
      <c r="F1432" s="7">
        <v>13640</v>
      </c>
      <c r="G1432" s="34">
        <v>121</v>
      </c>
      <c r="H1432" s="35">
        <v>25</v>
      </c>
      <c r="I1432" s="38">
        <f t="shared" si="21"/>
        <v>13627.5</v>
      </c>
    </row>
    <row r="1433" spans="1:9" x14ac:dyDescent="0.2">
      <c r="A1433" s="33">
        <v>43139</v>
      </c>
      <c r="B1433" s="36">
        <v>13600</v>
      </c>
      <c r="C1433" s="7">
        <v>13610</v>
      </c>
      <c r="D1433" s="7">
        <v>13622</v>
      </c>
      <c r="E1433" s="7">
        <v>13590</v>
      </c>
      <c r="F1433" s="7">
        <v>13600</v>
      </c>
      <c r="G1433" s="34">
        <v>144</v>
      </c>
      <c r="H1433" s="35">
        <v>48</v>
      </c>
      <c r="I1433" s="38">
        <f t="shared" si="21"/>
        <v>13605</v>
      </c>
    </row>
    <row r="1434" spans="1:9" x14ac:dyDescent="0.2">
      <c r="A1434" s="33">
        <v>43138</v>
      </c>
      <c r="B1434" s="36">
        <v>13552</v>
      </c>
      <c r="C1434" s="7">
        <v>13554</v>
      </c>
      <c r="D1434" s="7">
        <v>13560</v>
      </c>
      <c r="E1434" s="7">
        <v>13522</v>
      </c>
      <c r="F1434" s="7">
        <v>13525</v>
      </c>
      <c r="G1434" s="34">
        <v>141</v>
      </c>
      <c r="H1434" s="35">
        <v>2</v>
      </c>
      <c r="I1434" s="38">
        <f t="shared" si="21"/>
        <v>13553</v>
      </c>
    </row>
    <row r="1435" spans="1:9" x14ac:dyDescent="0.2">
      <c r="A1435" s="33">
        <v>43137</v>
      </c>
      <c r="B1435" s="36">
        <v>13550</v>
      </c>
      <c r="C1435" s="7">
        <v>13555</v>
      </c>
      <c r="D1435" s="7">
        <v>13605</v>
      </c>
      <c r="E1435" s="7">
        <v>13550</v>
      </c>
      <c r="F1435" s="7">
        <v>13565</v>
      </c>
      <c r="G1435" s="34">
        <v>126</v>
      </c>
      <c r="H1435" s="35">
        <v>30</v>
      </c>
      <c r="I1435" s="38">
        <f t="shared" si="21"/>
        <v>13552.5</v>
      </c>
    </row>
    <row r="1436" spans="1:9" x14ac:dyDescent="0.2">
      <c r="A1436" s="33">
        <v>43136</v>
      </c>
      <c r="B1436" s="36">
        <v>13520</v>
      </c>
      <c r="C1436" s="7">
        <v>13530</v>
      </c>
      <c r="D1436" s="7">
        <v>13525</v>
      </c>
      <c r="E1436" s="7">
        <v>13490</v>
      </c>
      <c r="F1436" s="7">
        <v>13490</v>
      </c>
      <c r="G1436" s="34">
        <v>100</v>
      </c>
      <c r="H1436" s="35">
        <v>72</v>
      </c>
      <c r="I1436" s="38">
        <f t="shared" si="21"/>
        <v>13525</v>
      </c>
    </row>
    <row r="1437" spans="1:9" x14ac:dyDescent="0.2">
      <c r="A1437" s="33">
        <v>43133</v>
      </c>
      <c r="B1437" s="36">
        <v>13448</v>
      </c>
      <c r="C1437" s="7">
        <v>13455</v>
      </c>
      <c r="D1437" s="7">
        <v>13450</v>
      </c>
      <c r="E1437" s="7">
        <v>13410</v>
      </c>
      <c r="F1437" s="7">
        <v>13410</v>
      </c>
      <c r="G1437" s="34">
        <v>163</v>
      </c>
      <c r="H1437" s="35">
        <v>23</v>
      </c>
      <c r="I1437" s="38">
        <f t="shared" si="21"/>
        <v>13451.5</v>
      </c>
    </row>
    <row r="1438" spans="1:9" x14ac:dyDescent="0.2">
      <c r="A1438" s="33">
        <v>43132</v>
      </c>
      <c r="B1438" s="36">
        <v>13425</v>
      </c>
      <c r="C1438" s="7">
        <v>13429</v>
      </c>
      <c r="D1438" s="7">
        <v>13430</v>
      </c>
      <c r="E1438" s="7">
        <v>13385</v>
      </c>
      <c r="F1438" s="7">
        <v>13385</v>
      </c>
      <c r="G1438" s="34">
        <v>142</v>
      </c>
      <c r="H1438" s="35">
        <v>38</v>
      </c>
      <c r="I1438" s="38">
        <f t="shared" si="21"/>
        <v>13427</v>
      </c>
    </row>
    <row r="1439" spans="1:9" x14ac:dyDescent="0.2">
      <c r="A1439" s="33">
        <v>43131</v>
      </c>
      <c r="B1439" s="36">
        <v>13387</v>
      </c>
      <c r="C1439" s="7">
        <v>13390</v>
      </c>
      <c r="D1439" s="7">
        <v>13425</v>
      </c>
      <c r="E1439" s="7">
        <v>13375</v>
      </c>
      <c r="F1439" s="7">
        <v>13420</v>
      </c>
      <c r="G1439" s="34">
        <v>133</v>
      </c>
      <c r="H1439" s="35">
        <v>-43</v>
      </c>
      <c r="I1439" s="38">
        <f t="shared" si="21"/>
        <v>13388.5</v>
      </c>
    </row>
    <row r="1440" spans="1:9" x14ac:dyDescent="0.2">
      <c r="A1440" s="33">
        <v>43130</v>
      </c>
      <c r="B1440" s="36">
        <v>13430</v>
      </c>
      <c r="C1440" s="7">
        <v>13435</v>
      </c>
      <c r="D1440" s="7">
        <v>13440</v>
      </c>
      <c r="E1440" s="7">
        <v>13380</v>
      </c>
      <c r="F1440" s="7">
        <v>13380</v>
      </c>
      <c r="G1440" s="34">
        <v>169</v>
      </c>
      <c r="H1440" s="35">
        <v>68</v>
      </c>
      <c r="I1440" s="38">
        <f t="shared" ref="I1440:I1503" si="22">+(B1440+C1440)*0.5</f>
        <v>13432.5</v>
      </c>
    </row>
    <row r="1441" spans="1:9" x14ac:dyDescent="0.2">
      <c r="A1441" s="33">
        <v>43129</v>
      </c>
      <c r="B1441" s="36">
        <v>13362</v>
      </c>
      <c r="C1441" s="7">
        <v>13365</v>
      </c>
      <c r="D1441" s="7">
        <v>13362</v>
      </c>
      <c r="E1441" s="7">
        <v>13310</v>
      </c>
      <c r="F1441" s="7">
        <v>13310</v>
      </c>
      <c r="G1441" s="34">
        <v>122</v>
      </c>
      <c r="H1441" s="35">
        <v>56</v>
      </c>
      <c r="I1441" s="38">
        <f t="shared" si="22"/>
        <v>13363.5</v>
      </c>
    </row>
    <row r="1442" spans="1:9" x14ac:dyDescent="0.2">
      <c r="A1442" s="33">
        <v>43126</v>
      </c>
      <c r="B1442" s="36">
        <v>13306</v>
      </c>
      <c r="C1442" s="7">
        <v>13308</v>
      </c>
      <c r="D1442" s="7">
        <v>13310</v>
      </c>
      <c r="E1442" s="7">
        <v>13295</v>
      </c>
      <c r="F1442" s="7">
        <v>13295</v>
      </c>
      <c r="G1442" s="34">
        <v>99</v>
      </c>
      <c r="H1442" s="35">
        <v>19</v>
      </c>
      <c r="I1442" s="38">
        <f t="shared" si="22"/>
        <v>13307</v>
      </c>
    </row>
    <row r="1443" spans="1:9" x14ac:dyDescent="0.2">
      <c r="A1443" s="33">
        <v>43125</v>
      </c>
      <c r="B1443" s="36">
        <v>13287</v>
      </c>
      <c r="C1443" s="7">
        <v>13290</v>
      </c>
      <c r="D1443" s="7">
        <v>13295</v>
      </c>
      <c r="E1443" s="7">
        <v>13265</v>
      </c>
      <c r="F1443" s="7">
        <v>13290</v>
      </c>
      <c r="G1443" s="34">
        <v>170</v>
      </c>
      <c r="H1443" s="35">
        <v>-24</v>
      </c>
      <c r="I1443" s="38">
        <f t="shared" si="22"/>
        <v>13288.5</v>
      </c>
    </row>
    <row r="1444" spans="1:9" x14ac:dyDescent="0.2">
      <c r="A1444" s="33">
        <v>43124</v>
      </c>
      <c r="B1444" s="36">
        <v>13311</v>
      </c>
      <c r="C1444" s="7">
        <v>13316</v>
      </c>
      <c r="D1444" s="7">
        <v>13328</v>
      </c>
      <c r="E1444" s="7">
        <v>13307</v>
      </c>
      <c r="F1444" s="7">
        <v>13315</v>
      </c>
      <c r="G1444" s="34">
        <v>148</v>
      </c>
      <c r="H1444" s="35">
        <v>-9</v>
      </c>
      <c r="I1444" s="38">
        <f t="shared" si="22"/>
        <v>13313.5</v>
      </c>
    </row>
    <row r="1445" spans="1:9" x14ac:dyDescent="0.2">
      <c r="A1445" s="33">
        <v>43123</v>
      </c>
      <c r="B1445" s="36">
        <v>13320</v>
      </c>
      <c r="C1445" s="7">
        <v>13330</v>
      </c>
      <c r="D1445" s="7">
        <v>13331</v>
      </c>
      <c r="E1445" s="7">
        <v>13305</v>
      </c>
      <c r="F1445" s="7">
        <v>13330</v>
      </c>
      <c r="G1445" s="34">
        <v>128</v>
      </c>
      <c r="H1445" s="35">
        <v>-27</v>
      </c>
      <c r="I1445" s="38">
        <f t="shared" si="22"/>
        <v>13325</v>
      </c>
    </row>
    <row r="1446" spans="1:9" x14ac:dyDescent="0.2">
      <c r="A1446" s="33">
        <v>43122</v>
      </c>
      <c r="B1446" s="36">
        <v>13347</v>
      </c>
      <c r="C1446" s="7">
        <v>13348</v>
      </c>
      <c r="D1446" s="7">
        <v>13350</v>
      </c>
      <c r="E1446" s="7">
        <v>13320</v>
      </c>
      <c r="F1446" s="7">
        <v>13320</v>
      </c>
      <c r="G1446" s="34">
        <v>148</v>
      </c>
      <c r="H1446" s="35">
        <v>35</v>
      </c>
      <c r="I1446" s="38">
        <f t="shared" si="22"/>
        <v>13347.5</v>
      </c>
    </row>
    <row r="1447" spans="1:9" x14ac:dyDescent="0.2">
      <c r="A1447" s="33">
        <v>43119</v>
      </c>
      <c r="B1447" s="36">
        <v>13312</v>
      </c>
      <c r="C1447" s="7">
        <v>13315</v>
      </c>
      <c r="D1447" s="7">
        <v>13342</v>
      </c>
      <c r="E1447" s="7">
        <v>13285</v>
      </c>
      <c r="F1447" s="7">
        <v>13337</v>
      </c>
      <c r="G1447" s="34">
        <v>180</v>
      </c>
      <c r="H1447" s="35">
        <v>-33</v>
      </c>
      <c r="I1447" s="38">
        <f t="shared" si="22"/>
        <v>13313.5</v>
      </c>
    </row>
    <row r="1448" spans="1:9" x14ac:dyDescent="0.2">
      <c r="A1448" s="33">
        <v>43118</v>
      </c>
      <c r="B1448" s="36">
        <v>13345</v>
      </c>
      <c r="C1448" s="7">
        <v>13347</v>
      </c>
      <c r="D1448" s="7">
        <v>13370</v>
      </c>
      <c r="E1448" s="7">
        <v>13340</v>
      </c>
      <c r="F1448" s="7">
        <v>13360</v>
      </c>
      <c r="G1448" s="34">
        <v>162</v>
      </c>
      <c r="H1448" s="35">
        <v>-10</v>
      </c>
      <c r="I1448" s="38">
        <f t="shared" si="22"/>
        <v>13346</v>
      </c>
    </row>
    <row r="1449" spans="1:9" x14ac:dyDescent="0.2">
      <c r="A1449" s="33">
        <v>43117</v>
      </c>
      <c r="B1449" s="36">
        <v>13355</v>
      </c>
      <c r="C1449" s="7">
        <v>13360</v>
      </c>
      <c r="D1449" s="7">
        <v>13360</v>
      </c>
      <c r="E1449" s="7">
        <v>13315</v>
      </c>
      <c r="F1449" s="7">
        <v>13315</v>
      </c>
      <c r="G1449" s="34">
        <v>162</v>
      </c>
      <c r="H1449" s="35">
        <v>18</v>
      </c>
      <c r="I1449" s="38">
        <f t="shared" si="22"/>
        <v>13357.5</v>
      </c>
    </row>
    <row r="1450" spans="1:9" x14ac:dyDescent="0.2">
      <c r="A1450" s="33">
        <v>43116</v>
      </c>
      <c r="B1450" s="36">
        <v>13337</v>
      </c>
      <c r="C1450" s="7">
        <v>13338</v>
      </c>
      <c r="D1450" s="7">
        <v>13340</v>
      </c>
      <c r="E1450" s="7">
        <v>13325</v>
      </c>
      <c r="F1450" s="7">
        <v>13330</v>
      </c>
      <c r="G1450" s="34">
        <v>152</v>
      </c>
      <c r="H1450" s="35">
        <v>3</v>
      </c>
      <c r="I1450" s="38">
        <f t="shared" si="22"/>
        <v>13337.5</v>
      </c>
    </row>
    <row r="1451" spans="1:9" x14ac:dyDescent="0.2">
      <c r="A1451" s="33">
        <v>43115</v>
      </c>
      <c r="B1451" s="36">
        <v>13334</v>
      </c>
      <c r="C1451" s="7">
        <v>13335</v>
      </c>
      <c r="D1451" s="7">
        <v>13338</v>
      </c>
      <c r="E1451" s="7">
        <v>13315</v>
      </c>
      <c r="F1451" s="7">
        <v>13325</v>
      </c>
      <c r="G1451" s="34">
        <v>94</v>
      </c>
      <c r="H1451" s="35">
        <v>-16</v>
      </c>
      <c r="I1451" s="38">
        <f t="shared" si="22"/>
        <v>13334.5</v>
      </c>
    </row>
    <row r="1452" spans="1:9" x14ac:dyDescent="0.2">
      <c r="A1452" s="33">
        <v>43112</v>
      </c>
      <c r="B1452" s="36">
        <v>13350</v>
      </c>
      <c r="C1452" s="7">
        <v>13357</v>
      </c>
      <c r="D1452" s="7">
        <v>13368</v>
      </c>
      <c r="E1452" s="7">
        <v>13350</v>
      </c>
      <c r="F1452" s="7">
        <v>13365</v>
      </c>
      <c r="G1452" s="34">
        <v>151</v>
      </c>
      <c r="H1452" s="35">
        <v>-47</v>
      </c>
      <c r="I1452" s="38">
        <f t="shared" si="22"/>
        <v>13353.5</v>
      </c>
    </row>
    <row r="1453" spans="1:9" x14ac:dyDescent="0.2">
      <c r="A1453" s="33">
        <v>43111</v>
      </c>
      <c r="B1453" s="36">
        <v>13397</v>
      </c>
      <c r="C1453" s="7">
        <v>13402</v>
      </c>
      <c r="D1453" s="7">
        <v>13428</v>
      </c>
      <c r="E1453" s="7">
        <v>13397</v>
      </c>
      <c r="F1453" s="7">
        <v>13426</v>
      </c>
      <c r="G1453" s="34">
        <v>168</v>
      </c>
      <c r="H1453" s="35">
        <v>-37</v>
      </c>
      <c r="I1453" s="38">
        <f t="shared" si="22"/>
        <v>13399.5</v>
      </c>
    </row>
    <row r="1454" spans="1:9" x14ac:dyDescent="0.2">
      <c r="A1454" s="33">
        <v>43110</v>
      </c>
      <c r="B1454" s="36">
        <v>13434</v>
      </c>
      <c r="C1454" s="7">
        <v>13439</v>
      </c>
      <c r="D1454" s="7">
        <v>13453</v>
      </c>
      <c r="E1454" s="7">
        <v>13425</v>
      </c>
      <c r="F1454" s="7">
        <v>13433</v>
      </c>
      <c r="G1454" s="34">
        <v>158</v>
      </c>
      <c r="H1454" s="35">
        <v>-1</v>
      </c>
      <c r="I1454" s="38">
        <f t="shared" si="22"/>
        <v>13436.5</v>
      </c>
    </row>
    <row r="1455" spans="1:9" x14ac:dyDescent="0.2">
      <c r="A1455" s="33">
        <v>43109</v>
      </c>
      <c r="B1455" s="36">
        <v>13435</v>
      </c>
      <c r="C1455" s="7">
        <v>13440</v>
      </c>
      <c r="D1455" s="7">
        <v>13438</v>
      </c>
      <c r="E1455" s="7">
        <v>13405</v>
      </c>
      <c r="F1455" s="7">
        <v>13427</v>
      </c>
      <c r="G1455" s="34">
        <v>124</v>
      </c>
      <c r="H1455" s="35">
        <v>9</v>
      </c>
      <c r="I1455" s="38">
        <f t="shared" si="22"/>
        <v>13437.5</v>
      </c>
    </row>
    <row r="1456" spans="1:9" x14ac:dyDescent="0.2">
      <c r="A1456" s="33">
        <v>43108</v>
      </c>
      <c r="B1456" s="36">
        <v>13426</v>
      </c>
      <c r="C1456" s="7">
        <v>13427</v>
      </c>
      <c r="D1456" s="7">
        <v>13426</v>
      </c>
      <c r="E1456" s="7">
        <v>13390</v>
      </c>
      <c r="F1456" s="7">
        <v>13405</v>
      </c>
      <c r="G1456" s="34">
        <v>129</v>
      </c>
      <c r="H1456" s="35">
        <v>13</v>
      </c>
      <c r="I1456" s="38">
        <f t="shared" si="22"/>
        <v>13426.5</v>
      </c>
    </row>
    <row r="1457" spans="1:9" x14ac:dyDescent="0.2">
      <c r="A1457" s="33">
        <v>43105</v>
      </c>
      <c r="B1457" s="36">
        <v>13413</v>
      </c>
      <c r="C1457" s="7">
        <v>13418</v>
      </c>
      <c r="D1457" s="7">
        <v>13433</v>
      </c>
      <c r="E1457" s="7">
        <v>13390</v>
      </c>
      <c r="F1457" s="7">
        <v>13411</v>
      </c>
      <c r="G1457" s="34">
        <v>126</v>
      </c>
      <c r="H1457" s="35">
        <v>-9</v>
      </c>
      <c r="I1457" s="38">
        <f t="shared" si="22"/>
        <v>13415.5</v>
      </c>
    </row>
    <row r="1458" spans="1:9" x14ac:dyDescent="0.2">
      <c r="A1458" s="33">
        <v>43104</v>
      </c>
      <c r="B1458" s="36">
        <v>13422</v>
      </c>
      <c r="C1458" s="7">
        <v>13425</v>
      </c>
      <c r="D1458" s="7">
        <v>13480</v>
      </c>
      <c r="E1458" s="7">
        <v>13410</v>
      </c>
      <c r="F1458" s="7">
        <v>13465</v>
      </c>
      <c r="G1458" s="34">
        <v>174</v>
      </c>
      <c r="H1458" s="35">
        <v>-51</v>
      </c>
      <c r="I1458" s="38">
        <f t="shared" si="22"/>
        <v>13423.5</v>
      </c>
    </row>
    <row r="1459" spans="1:9" x14ac:dyDescent="0.2">
      <c r="A1459" s="33">
        <v>43103</v>
      </c>
      <c r="B1459" s="36">
        <v>13473</v>
      </c>
      <c r="C1459" s="7">
        <v>13483</v>
      </c>
      <c r="D1459" s="7">
        <v>13504</v>
      </c>
      <c r="E1459" s="7">
        <v>13471</v>
      </c>
      <c r="F1459" s="7">
        <v>13495</v>
      </c>
      <c r="G1459" s="34">
        <v>140</v>
      </c>
      <c r="H1459" s="35">
        <v>-42</v>
      </c>
      <c r="I1459" s="38">
        <f t="shared" si="22"/>
        <v>13478</v>
      </c>
    </row>
    <row r="1460" spans="1:9" x14ac:dyDescent="0.2">
      <c r="A1460" s="33">
        <v>43102</v>
      </c>
      <c r="B1460" s="36">
        <v>13515</v>
      </c>
      <c r="C1460" s="7">
        <v>13520</v>
      </c>
      <c r="D1460" s="7">
        <v>13553</v>
      </c>
      <c r="E1460" s="7">
        <v>13512</v>
      </c>
      <c r="F1460" s="7">
        <v>13535</v>
      </c>
      <c r="G1460" s="34">
        <v>120</v>
      </c>
      <c r="H1460" s="35">
        <v>-50</v>
      </c>
      <c r="I1460" s="38">
        <f t="shared" si="22"/>
        <v>13517.5</v>
      </c>
    </row>
    <row r="1461" spans="1:9" x14ac:dyDescent="0.2">
      <c r="A1461" s="33">
        <v>43101</v>
      </c>
      <c r="B1461" s="36">
        <v>13565</v>
      </c>
      <c r="C1461" s="7">
        <v>13570</v>
      </c>
      <c r="D1461" s="7"/>
      <c r="E1461" s="7"/>
      <c r="F1461" s="7"/>
      <c r="G1461" s="34"/>
      <c r="H1461" s="35">
        <v>0</v>
      </c>
      <c r="I1461" s="38">
        <f t="shared" si="22"/>
        <v>13567.5</v>
      </c>
    </row>
    <row r="1462" spans="1:9" x14ac:dyDescent="0.2">
      <c r="A1462" s="33">
        <v>43098</v>
      </c>
      <c r="B1462" s="36">
        <v>13565</v>
      </c>
      <c r="C1462" s="7">
        <v>13570</v>
      </c>
      <c r="D1462" s="7">
        <v>13565</v>
      </c>
      <c r="E1462" s="7">
        <v>13540</v>
      </c>
      <c r="F1462" s="7">
        <v>13540</v>
      </c>
      <c r="G1462" s="34">
        <v>75</v>
      </c>
      <c r="H1462" s="35">
        <v>4</v>
      </c>
      <c r="I1462" s="38">
        <f t="shared" si="22"/>
        <v>13567.5</v>
      </c>
    </row>
    <row r="1463" spans="1:9" x14ac:dyDescent="0.2">
      <c r="A1463" s="33">
        <v>43097</v>
      </c>
      <c r="B1463" s="36">
        <v>13561</v>
      </c>
      <c r="C1463" s="7">
        <v>13563</v>
      </c>
      <c r="D1463" s="7">
        <v>13565</v>
      </c>
      <c r="E1463" s="7">
        <v>13553</v>
      </c>
      <c r="F1463" s="7">
        <v>13553</v>
      </c>
      <c r="G1463" s="34">
        <v>82</v>
      </c>
      <c r="H1463" s="35">
        <v>2</v>
      </c>
      <c r="I1463" s="38">
        <f t="shared" si="22"/>
        <v>13562</v>
      </c>
    </row>
    <row r="1464" spans="1:9" x14ac:dyDescent="0.2">
      <c r="A1464" s="33">
        <v>43096</v>
      </c>
      <c r="B1464" s="36">
        <v>13559</v>
      </c>
      <c r="C1464" s="7">
        <v>13562</v>
      </c>
      <c r="D1464" s="7">
        <v>13564</v>
      </c>
      <c r="E1464" s="7">
        <v>13550</v>
      </c>
      <c r="F1464" s="7">
        <v>13550</v>
      </c>
      <c r="G1464" s="34">
        <v>71</v>
      </c>
      <c r="H1464" s="35">
        <v>-1</v>
      </c>
      <c r="I1464" s="38">
        <f t="shared" si="22"/>
        <v>13560.5</v>
      </c>
    </row>
    <row r="1465" spans="1:9" x14ac:dyDescent="0.2">
      <c r="A1465" s="33">
        <v>43095</v>
      </c>
      <c r="B1465" s="36">
        <v>13560</v>
      </c>
      <c r="C1465" s="7">
        <v>13562</v>
      </c>
      <c r="D1465" s="7"/>
      <c r="E1465" s="7"/>
      <c r="F1465" s="7"/>
      <c r="G1465" s="34"/>
      <c r="H1465" s="35">
        <v>0</v>
      </c>
      <c r="I1465" s="38">
        <f t="shared" si="22"/>
        <v>13561</v>
      </c>
    </row>
    <row r="1466" spans="1:9" x14ac:dyDescent="0.2">
      <c r="A1466" s="33">
        <v>43094</v>
      </c>
      <c r="B1466" s="36">
        <v>13560</v>
      </c>
      <c r="C1466" s="7">
        <v>13562</v>
      </c>
      <c r="D1466" s="7"/>
      <c r="E1466" s="7"/>
      <c r="F1466" s="7"/>
      <c r="G1466" s="34"/>
      <c r="H1466" s="35">
        <v>0</v>
      </c>
      <c r="I1466" s="38">
        <f t="shared" si="22"/>
        <v>13561</v>
      </c>
    </row>
    <row r="1467" spans="1:9" x14ac:dyDescent="0.2">
      <c r="A1467" s="33">
        <v>43091</v>
      </c>
      <c r="B1467" s="36">
        <v>13560</v>
      </c>
      <c r="C1467" s="7">
        <v>13562</v>
      </c>
      <c r="D1467" s="7">
        <v>13561</v>
      </c>
      <c r="E1467" s="7">
        <v>13545</v>
      </c>
      <c r="F1467" s="7">
        <v>13555</v>
      </c>
      <c r="G1467" s="34">
        <v>82</v>
      </c>
      <c r="H1467" s="35">
        <v>5</v>
      </c>
      <c r="I1467" s="38">
        <f t="shared" si="22"/>
        <v>13561</v>
      </c>
    </row>
    <row r="1468" spans="1:9" x14ac:dyDescent="0.2">
      <c r="A1468" s="33">
        <v>43090</v>
      </c>
      <c r="B1468" s="36">
        <v>13555</v>
      </c>
      <c r="C1468" s="7">
        <v>13560</v>
      </c>
      <c r="D1468" s="7">
        <v>13565</v>
      </c>
      <c r="E1468" s="7">
        <v>13535</v>
      </c>
      <c r="F1468" s="7">
        <v>13540</v>
      </c>
      <c r="G1468" s="34">
        <v>105</v>
      </c>
      <c r="H1468" s="35">
        <v>-20</v>
      </c>
      <c r="I1468" s="38">
        <f t="shared" si="22"/>
        <v>13557.5</v>
      </c>
    </row>
    <row r="1469" spans="1:9" x14ac:dyDescent="0.2">
      <c r="A1469" s="33">
        <v>43089</v>
      </c>
      <c r="B1469" s="36">
        <v>13575</v>
      </c>
      <c r="C1469" s="7">
        <v>13580</v>
      </c>
      <c r="D1469" s="7">
        <v>13582</v>
      </c>
      <c r="E1469" s="7">
        <v>13575</v>
      </c>
      <c r="F1469" s="7">
        <v>13575</v>
      </c>
      <c r="G1469" s="34">
        <v>80</v>
      </c>
      <c r="H1469" s="35">
        <v>0</v>
      </c>
      <c r="I1469" s="38">
        <f t="shared" si="22"/>
        <v>13577.5</v>
      </c>
    </row>
    <row r="1470" spans="1:9" x14ac:dyDescent="0.2">
      <c r="A1470" s="33">
        <v>43088</v>
      </c>
      <c r="B1470" s="36">
        <v>13575</v>
      </c>
      <c r="C1470" s="7">
        <v>13578</v>
      </c>
      <c r="D1470" s="7">
        <v>13587</v>
      </c>
      <c r="E1470" s="7">
        <v>13573</v>
      </c>
      <c r="F1470" s="7">
        <v>13575</v>
      </c>
      <c r="G1470" s="34">
        <v>108</v>
      </c>
      <c r="H1470" s="35">
        <v>-5</v>
      </c>
      <c r="I1470" s="38">
        <f t="shared" si="22"/>
        <v>13576.5</v>
      </c>
    </row>
    <row r="1471" spans="1:9" x14ac:dyDescent="0.2">
      <c r="A1471" s="33">
        <v>43087</v>
      </c>
      <c r="B1471" s="36">
        <v>13580</v>
      </c>
      <c r="C1471" s="7">
        <v>13583</v>
      </c>
      <c r="D1471" s="7">
        <v>13587</v>
      </c>
      <c r="E1471" s="7">
        <v>13570</v>
      </c>
      <c r="F1471" s="7">
        <v>13570</v>
      </c>
      <c r="G1471" s="34">
        <v>139</v>
      </c>
      <c r="H1471" s="35">
        <v>3</v>
      </c>
      <c r="I1471" s="38">
        <f t="shared" si="22"/>
        <v>13581.5</v>
      </c>
    </row>
    <row r="1472" spans="1:9" x14ac:dyDescent="0.2">
      <c r="A1472" s="33">
        <v>43084</v>
      </c>
      <c r="B1472" s="36">
        <v>13577</v>
      </c>
      <c r="C1472" s="7">
        <v>13580</v>
      </c>
      <c r="D1472" s="7">
        <v>13577</v>
      </c>
      <c r="E1472" s="7">
        <v>13562</v>
      </c>
      <c r="F1472" s="7">
        <v>13565</v>
      </c>
      <c r="G1472" s="34">
        <v>97</v>
      </c>
      <c r="H1472" s="35">
        <v>2</v>
      </c>
      <c r="I1472" s="38">
        <f t="shared" si="22"/>
        <v>13578.5</v>
      </c>
    </row>
    <row r="1473" spans="1:9" x14ac:dyDescent="0.2">
      <c r="A1473" s="33">
        <v>43083</v>
      </c>
      <c r="B1473" s="36">
        <v>13575</v>
      </c>
      <c r="C1473" s="7">
        <v>13580</v>
      </c>
      <c r="D1473" s="7">
        <v>13578</v>
      </c>
      <c r="E1473" s="7">
        <v>13558</v>
      </c>
      <c r="F1473" s="7">
        <v>13560</v>
      </c>
      <c r="G1473" s="34">
        <v>87</v>
      </c>
      <c r="H1473" s="35">
        <v>-5</v>
      </c>
      <c r="I1473" s="38">
        <f t="shared" si="22"/>
        <v>13577.5</v>
      </c>
    </row>
    <row r="1474" spans="1:9" x14ac:dyDescent="0.2">
      <c r="A1474" s="33">
        <v>43082</v>
      </c>
      <c r="B1474" s="36">
        <v>13580</v>
      </c>
      <c r="C1474" s="7">
        <v>13590</v>
      </c>
      <c r="D1474" s="7">
        <v>13591</v>
      </c>
      <c r="E1474" s="7">
        <v>13580</v>
      </c>
      <c r="F1474" s="7">
        <v>13590</v>
      </c>
      <c r="G1474" s="34">
        <v>131</v>
      </c>
      <c r="H1474" s="35">
        <v>13</v>
      </c>
      <c r="I1474" s="38">
        <f t="shared" si="22"/>
        <v>13585</v>
      </c>
    </row>
    <row r="1475" spans="1:9" x14ac:dyDescent="0.2">
      <c r="A1475" s="33">
        <v>43081</v>
      </c>
      <c r="B1475" s="36">
        <v>13567</v>
      </c>
      <c r="C1475" s="7">
        <v>13570</v>
      </c>
      <c r="D1475" s="7">
        <v>13570</v>
      </c>
      <c r="E1475" s="7">
        <v>13545</v>
      </c>
      <c r="F1475" s="7">
        <v>13548</v>
      </c>
      <c r="G1475" s="34">
        <v>132</v>
      </c>
      <c r="H1475" s="35">
        <v>17</v>
      </c>
      <c r="I1475" s="38">
        <f t="shared" si="22"/>
        <v>13568.5</v>
      </c>
    </row>
    <row r="1476" spans="1:9" x14ac:dyDescent="0.2">
      <c r="A1476" s="33">
        <v>43080</v>
      </c>
      <c r="B1476" s="36">
        <v>13550</v>
      </c>
      <c r="C1476" s="7">
        <v>13555</v>
      </c>
      <c r="D1476" s="7">
        <v>13550</v>
      </c>
      <c r="E1476" s="7">
        <v>13540</v>
      </c>
      <c r="F1476" s="7">
        <v>13540</v>
      </c>
      <c r="G1476" s="34">
        <v>56</v>
      </c>
      <c r="H1476" s="35">
        <v>5</v>
      </c>
      <c r="I1476" s="38">
        <f t="shared" si="22"/>
        <v>13552.5</v>
      </c>
    </row>
    <row r="1477" spans="1:9" x14ac:dyDescent="0.2">
      <c r="A1477" s="33">
        <v>43077</v>
      </c>
      <c r="B1477" s="36">
        <v>13545</v>
      </c>
      <c r="C1477" s="7">
        <v>13550</v>
      </c>
      <c r="D1477" s="7">
        <v>13558</v>
      </c>
      <c r="E1477" s="7">
        <v>13537</v>
      </c>
      <c r="F1477" s="7">
        <v>13555</v>
      </c>
      <c r="G1477" s="34">
        <v>117</v>
      </c>
      <c r="H1477" s="35">
        <v>-5</v>
      </c>
      <c r="I1477" s="38">
        <f t="shared" si="22"/>
        <v>13547.5</v>
      </c>
    </row>
    <row r="1478" spans="1:9" x14ac:dyDescent="0.2">
      <c r="A1478" s="33">
        <v>43076</v>
      </c>
      <c r="B1478" s="36">
        <v>13550</v>
      </c>
      <c r="C1478" s="7">
        <v>13557</v>
      </c>
      <c r="D1478" s="7">
        <v>13555</v>
      </c>
      <c r="E1478" s="7">
        <v>13544</v>
      </c>
      <c r="F1478" s="7">
        <v>13545</v>
      </c>
      <c r="G1478" s="34">
        <v>97</v>
      </c>
      <c r="H1478" s="35">
        <v>12</v>
      </c>
      <c r="I1478" s="38">
        <f t="shared" si="22"/>
        <v>13553.5</v>
      </c>
    </row>
    <row r="1479" spans="1:9" x14ac:dyDescent="0.2">
      <c r="A1479" s="33">
        <v>43075</v>
      </c>
      <c r="B1479" s="36">
        <v>13538</v>
      </c>
      <c r="C1479" s="7">
        <v>13540</v>
      </c>
      <c r="D1479" s="7">
        <v>13538</v>
      </c>
      <c r="E1479" s="7">
        <v>13515</v>
      </c>
      <c r="F1479" s="7">
        <v>13520</v>
      </c>
      <c r="G1479" s="34">
        <v>80</v>
      </c>
      <c r="H1479" s="35">
        <v>20</v>
      </c>
      <c r="I1479" s="38">
        <f t="shared" si="22"/>
        <v>13539</v>
      </c>
    </row>
    <row r="1480" spans="1:9" x14ac:dyDescent="0.2">
      <c r="A1480" s="33">
        <v>43074</v>
      </c>
      <c r="B1480" s="36">
        <v>13518</v>
      </c>
      <c r="C1480" s="7">
        <v>13520</v>
      </c>
      <c r="D1480" s="7">
        <v>13519</v>
      </c>
      <c r="E1480" s="7">
        <v>13510</v>
      </c>
      <c r="F1480" s="7">
        <v>13510</v>
      </c>
      <c r="G1480" s="34">
        <v>96</v>
      </c>
      <c r="H1480" s="35">
        <v>-7</v>
      </c>
      <c r="I1480" s="38">
        <f t="shared" si="22"/>
        <v>13519</v>
      </c>
    </row>
    <row r="1481" spans="1:9" x14ac:dyDescent="0.2">
      <c r="A1481" s="33">
        <v>43073</v>
      </c>
      <c r="B1481" s="36">
        <v>13525</v>
      </c>
      <c r="C1481" s="7">
        <v>13527</v>
      </c>
      <c r="D1481" s="7">
        <v>13532</v>
      </c>
      <c r="E1481" s="7">
        <v>13515</v>
      </c>
      <c r="F1481" s="7">
        <v>13530</v>
      </c>
      <c r="G1481" s="34">
        <v>114</v>
      </c>
      <c r="H1481" s="35">
        <v>1</v>
      </c>
      <c r="I1481" s="38">
        <f t="shared" si="22"/>
        <v>13526</v>
      </c>
    </row>
    <row r="1482" spans="1:9" x14ac:dyDescent="0.2">
      <c r="A1482" s="33">
        <v>43070</v>
      </c>
      <c r="B1482" s="36">
        <v>13524</v>
      </c>
      <c r="C1482" s="7">
        <v>13528</v>
      </c>
      <c r="D1482" s="7"/>
      <c r="E1482" s="7"/>
      <c r="F1482" s="7"/>
      <c r="G1482" s="34"/>
      <c r="H1482" s="35">
        <v>0</v>
      </c>
      <c r="I1482" s="38">
        <f t="shared" si="22"/>
        <v>13526</v>
      </c>
    </row>
    <row r="1483" spans="1:9" x14ac:dyDescent="0.2">
      <c r="A1483" s="33">
        <v>43069</v>
      </c>
      <c r="B1483" s="36">
        <v>13524</v>
      </c>
      <c r="C1483" s="7">
        <v>13528</v>
      </c>
      <c r="D1483" s="7">
        <v>13524</v>
      </c>
      <c r="E1483" s="7">
        <v>13510</v>
      </c>
      <c r="F1483" s="7">
        <v>13510</v>
      </c>
      <c r="G1483" s="34">
        <v>95</v>
      </c>
      <c r="H1483" s="35">
        <v>22</v>
      </c>
      <c r="I1483" s="38">
        <f t="shared" si="22"/>
        <v>13526</v>
      </c>
    </row>
    <row r="1484" spans="1:9" x14ac:dyDescent="0.2">
      <c r="A1484" s="33">
        <v>43068</v>
      </c>
      <c r="B1484" s="36">
        <v>13502</v>
      </c>
      <c r="C1484" s="7">
        <v>13503</v>
      </c>
      <c r="D1484" s="7">
        <v>13517</v>
      </c>
      <c r="E1484" s="7">
        <v>13495</v>
      </c>
      <c r="F1484" s="7">
        <v>13510</v>
      </c>
      <c r="G1484" s="34">
        <v>151</v>
      </c>
      <c r="H1484" s="35">
        <v>-3</v>
      </c>
      <c r="I1484" s="38">
        <f t="shared" si="22"/>
        <v>13502.5</v>
      </c>
    </row>
    <row r="1485" spans="1:9" x14ac:dyDescent="0.2">
      <c r="A1485" s="33">
        <v>43067</v>
      </c>
      <c r="B1485" s="36">
        <v>13505</v>
      </c>
      <c r="C1485" s="7">
        <v>13512</v>
      </c>
      <c r="D1485" s="7">
        <v>13527</v>
      </c>
      <c r="E1485" s="7">
        <v>13500</v>
      </c>
      <c r="F1485" s="7">
        <v>13525</v>
      </c>
      <c r="G1485" s="34">
        <v>119</v>
      </c>
      <c r="H1485" s="35">
        <v>-12</v>
      </c>
      <c r="I1485" s="38">
        <f t="shared" si="22"/>
        <v>13508.5</v>
      </c>
    </row>
    <row r="1486" spans="1:9" x14ac:dyDescent="0.2">
      <c r="A1486" s="33">
        <v>43066</v>
      </c>
      <c r="B1486" s="36">
        <v>13517</v>
      </c>
      <c r="C1486" s="7">
        <v>13520</v>
      </c>
      <c r="D1486" s="7">
        <v>13520</v>
      </c>
      <c r="E1486" s="7">
        <v>13503</v>
      </c>
      <c r="F1486" s="7">
        <v>13503</v>
      </c>
      <c r="G1486" s="34">
        <v>92</v>
      </c>
      <c r="H1486" s="35">
        <v>17</v>
      </c>
      <c r="I1486" s="38">
        <f t="shared" si="22"/>
        <v>13518.5</v>
      </c>
    </row>
    <row r="1487" spans="1:9" x14ac:dyDescent="0.2">
      <c r="A1487" s="33">
        <v>43063</v>
      </c>
      <c r="B1487" s="36">
        <v>13500</v>
      </c>
      <c r="C1487" s="7">
        <v>13505</v>
      </c>
      <c r="D1487" s="7">
        <v>13511</v>
      </c>
      <c r="E1487" s="7">
        <v>13498</v>
      </c>
      <c r="F1487" s="7">
        <v>13505</v>
      </c>
      <c r="G1487" s="34">
        <v>139</v>
      </c>
      <c r="H1487" s="35">
        <v>-11</v>
      </c>
      <c r="I1487" s="38">
        <f t="shared" si="22"/>
        <v>13502.5</v>
      </c>
    </row>
    <row r="1488" spans="1:9" x14ac:dyDescent="0.2">
      <c r="A1488" s="33">
        <v>43062</v>
      </c>
      <c r="B1488" s="36">
        <v>13511</v>
      </c>
      <c r="C1488" s="7">
        <v>13515</v>
      </c>
      <c r="D1488" s="7">
        <v>13515</v>
      </c>
      <c r="E1488" s="7">
        <v>13490</v>
      </c>
      <c r="F1488" s="7">
        <v>13505</v>
      </c>
      <c r="G1488" s="34">
        <v>93</v>
      </c>
      <c r="H1488" s="35">
        <v>-14</v>
      </c>
      <c r="I1488" s="38">
        <f t="shared" si="22"/>
        <v>13513</v>
      </c>
    </row>
    <row r="1489" spans="1:9" x14ac:dyDescent="0.2">
      <c r="A1489" s="33">
        <v>43061</v>
      </c>
      <c r="B1489" s="36">
        <v>13525</v>
      </c>
      <c r="C1489" s="7">
        <v>13527</v>
      </c>
      <c r="D1489" s="7">
        <v>13526</v>
      </c>
      <c r="E1489" s="7">
        <v>13510</v>
      </c>
      <c r="F1489" s="7">
        <v>13517</v>
      </c>
      <c r="G1489" s="34">
        <v>138</v>
      </c>
      <c r="H1489" s="35">
        <v>-7</v>
      </c>
      <c r="I1489" s="38">
        <f t="shared" si="22"/>
        <v>13526</v>
      </c>
    </row>
    <row r="1490" spans="1:9" x14ac:dyDescent="0.2">
      <c r="A1490" s="33">
        <v>43060</v>
      </c>
      <c r="B1490" s="36">
        <v>13532</v>
      </c>
      <c r="C1490" s="7">
        <v>13535</v>
      </c>
      <c r="D1490" s="7">
        <v>13545</v>
      </c>
      <c r="E1490" s="7">
        <v>13530</v>
      </c>
      <c r="F1490" s="7">
        <v>13530</v>
      </c>
      <c r="G1490" s="34">
        <v>120</v>
      </c>
      <c r="H1490" s="35">
        <v>-1</v>
      </c>
      <c r="I1490" s="38">
        <f t="shared" si="22"/>
        <v>13533.5</v>
      </c>
    </row>
    <row r="1491" spans="1:9" x14ac:dyDescent="0.2">
      <c r="A1491" s="33">
        <v>43059</v>
      </c>
      <c r="B1491" s="36">
        <v>13533</v>
      </c>
      <c r="C1491" s="7">
        <v>13537</v>
      </c>
      <c r="D1491" s="7">
        <v>13535</v>
      </c>
      <c r="E1491" s="7">
        <v>13515</v>
      </c>
      <c r="F1491" s="7">
        <v>13520</v>
      </c>
      <c r="G1491" s="34">
        <v>97</v>
      </c>
      <c r="H1491" s="35">
        <v>8</v>
      </c>
      <c r="I1491" s="38">
        <f t="shared" si="22"/>
        <v>13535</v>
      </c>
    </row>
    <row r="1492" spans="1:9" x14ac:dyDescent="0.2">
      <c r="A1492" s="33">
        <v>43056</v>
      </c>
      <c r="B1492" s="36">
        <v>13525</v>
      </c>
      <c r="C1492" s="7">
        <v>13530</v>
      </c>
      <c r="D1492" s="7">
        <v>13528</v>
      </c>
      <c r="E1492" s="7">
        <v>13510</v>
      </c>
      <c r="F1492" s="7">
        <v>13520</v>
      </c>
      <c r="G1492" s="34">
        <v>110</v>
      </c>
      <c r="H1492" s="35">
        <v>-15</v>
      </c>
      <c r="I1492" s="38">
        <f t="shared" si="22"/>
        <v>13527.5</v>
      </c>
    </row>
    <row r="1493" spans="1:9" x14ac:dyDescent="0.2">
      <c r="A1493" s="33">
        <v>43055</v>
      </c>
      <c r="B1493" s="36">
        <v>13540</v>
      </c>
      <c r="C1493" s="7">
        <v>13544</v>
      </c>
      <c r="D1493" s="7">
        <v>13547</v>
      </c>
      <c r="E1493" s="7">
        <v>13530</v>
      </c>
      <c r="F1493" s="7">
        <v>13540</v>
      </c>
      <c r="G1493" s="34">
        <v>135</v>
      </c>
      <c r="H1493" s="35">
        <v>7</v>
      </c>
      <c r="I1493" s="38">
        <f t="shared" si="22"/>
        <v>13542</v>
      </c>
    </row>
    <row r="1494" spans="1:9" x14ac:dyDescent="0.2">
      <c r="A1494" s="33">
        <v>43054</v>
      </c>
      <c r="B1494" s="36">
        <v>13533</v>
      </c>
      <c r="C1494" s="7">
        <v>13537</v>
      </c>
      <c r="D1494" s="7">
        <v>13545</v>
      </c>
      <c r="E1494" s="7">
        <v>13525</v>
      </c>
      <c r="F1494" s="7">
        <v>13540</v>
      </c>
      <c r="G1494" s="34">
        <v>150</v>
      </c>
      <c r="H1494" s="35">
        <v>-17</v>
      </c>
      <c r="I1494" s="38">
        <f t="shared" si="22"/>
        <v>13535</v>
      </c>
    </row>
    <row r="1495" spans="1:9" x14ac:dyDescent="0.2">
      <c r="A1495" s="33">
        <v>43053</v>
      </c>
      <c r="B1495" s="36">
        <v>13550</v>
      </c>
      <c r="C1495" s="7">
        <v>13557</v>
      </c>
      <c r="D1495" s="7">
        <v>13552</v>
      </c>
      <c r="E1495" s="7">
        <v>13525</v>
      </c>
      <c r="F1495" s="7">
        <v>13543</v>
      </c>
      <c r="G1495" s="34">
        <v>141</v>
      </c>
      <c r="H1495" s="35">
        <v>0</v>
      </c>
      <c r="I1495" s="38">
        <f t="shared" si="22"/>
        <v>13553.5</v>
      </c>
    </row>
    <row r="1496" spans="1:9" x14ac:dyDescent="0.2">
      <c r="A1496" s="33">
        <v>43052</v>
      </c>
      <c r="B1496" s="36">
        <v>13550</v>
      </c>
      <c r="C1496" s="7">
        <v>13553</v>
      </c>
      <c r="D1496" s="7">
        <v>13557</v>
      </c>
      <c r="E1496" s="7">
        <v>13544</v>
      </c>
      <c r="F1496" s="7">
        <v>13550</v>
      </c>
      <c r="G1496" s="34">
        <v>83</v>
      </c>
      <c r="H1496" s="35">
        <v>20</v>
      </c>
      <c r="I1496" s="38">
        <f t="shared" si="22"/>
        <v>13551.5</v>
      </c>
    </row>
    <row r="1497" spans="1:9" x14ac:dyDescent="0.2">
      <c r="A1497" s="33">
        <v>43049</v>
      </c>
      <c r="B1497" s="36">
        <v>13530</v>
      </c>
      <c r="C1497" s="7">
        <v>13535</v>
      </c>
      <c r="D1497" s="7">
        <v>13535</v>
      </c>
      <c r="E1497" s="7">
        <v>13505</v>
      </c>
      <c r="F1497" s="7">
        <v>13505</v>
      </c>
      <c r="G1497" s="34">
        <v>109</v>
      </c>
      <c r="H1497" s="35">
        <v>18</v>
      </c>
      <c r="I1497" s="38">
        <f t="shared" si="22"/>
        <v>13532.5</v>
      </c>
    </row>
    <row r="1498" spans="1:9" x14ac:dyDescent="0.2">
      <c r="A1498" s="33">
        <v>43048</v>
      </c>
      <c r="B1498" s="36">
        <v>13512</v>
      </c>
      <c r="C1498" s="7">
        <v>13518</v>
      </c>
      <c r="D1498" s="7">
        <v>13517</v>
      </c>
      <c r="E1498" s="7">
        <v>13506</v>
      </c>
      <c r="F1498" s="7">
        <v>13515</v>
      </c>
      <c r="G1498" s="34">
        <v>114</v>
      </c>
      <c r="H1498" s="35">
        <v>-3</v>
      </c>
      <c r="I1498" s="38">
        <f t="shared" si="22"/>
        <v>13515</v>
      </c>
    </row>
    <row r="1499" spans="1:9" x14ac:dyDescent="0.2">
      <c r="A1499" s="33">
        <v>43047</v>
      </c>
      <c r="B1499" s="36">
        <v>13515</v>
      </c>
      <c r="C1499" s="7">
        <v>13519</v>
      </c>
      <c r="D1499" s="7">
        <v>13528</v>
      </c>
      <c r="E1499" s="7">
        <v>13513</v>
      </c>
      <c r="F1499" s="7">
        <v>13520</v>
      </c>
      <c r="G1499" s="34">
        <v>128</v>
      </c>
      <c r="H1499" s="35">
        <v>3</v>
      </c>
      <c r="I1499" s="38">
        <f t="shared" si="22"/>
        <v>13517</v>
      </c>
    </row>
    <row r="1500" spans="1:9" x14ac:dyDescent="0.2">
      <c r="A1500" s="33">
        <v>43046</v>
      </c>
      <c r="B1500" s="36">
        <v>13512</v>
      </c>
      <c r="C1500" s="7">
        <v>13515</v>
      </c>
      <c r="D1500" s="7">
        <v>13513</v>
      </c>
      <c r="E1500" s="7">
        <v>13490</v>
      </c>
      <c r="F1500" s="7">
        <v>13495</v>
      </c>
      <c r="G1500" s="34">
        <v>212</v>
      </c>
      <c r="H1500" s="35">
        <v>-11</v>
      </c>
      <c r="I1500" s="38">
        <f t="shared" si="22"/>
        <v>13513.5</v>
      </c>
    </row>
    <row r="1501" spans="1:9" x14ac:dyDescent="0.2">
      <c r="A1501" s="33">
        <v>43045</v>
      </c>
      <c r="B1501" s="36">
        <v>13523</v>
      </c>
      <c r="C1501" s="7">
        <v>13526</v>
      </c>
      <c r="D1501" s="7">
        <v>13538</v>
      </c>
      <c r="E1501" s="7">
        <v>13515</v>
      </c>
      <c r="F1501" s="7">
        <v>13530</v>
      </c>
      <c r="G1501" s="34">
        <v>184</v>
      </c>
      <c r="H1501" s="35">
        <v>28</v>
      </c>
      <c r="I1501" s="38">
        <f t="shared" si="22"/>
        <v>13524.5</v>
      </c>
    </row>
    <row r="1502" spans="1:9" x14ac:dyDescent="0.2">
      <c r="A1502" s="33">
        <v>43042</v>
      </c>
      <c r="B1502" s="36">
        <v>13495</v>
      </c>
      <c r="C1502" s="7">
        <v>13500</v>
      </c>
      <c r="D1502" s="7">
        <v>13515</v>
      </c>
      <c r="E1502" s="7">
        <v>13465</v>
      </c>
      <c r="F1502" s="7">
        <v>13515</v>
      </c>
      <c r="G1502" s="34">
        <v>153</v>
      </c>
      <c r="H1502" s="35">
        <v>-55</v>
      </c>
      <c r="I1502" s="38">
        <f t="shared" si="22"/>
        <v>13497.5</v>
      </c>
    </row>
    <row r="1503" spans="1:9" x14ac:dyDescent="0.2">
      <c r="A1503" s="33">
        <v>43041</v>
      </c>
      <c r="B1503" s="36">
        <v>13550</v>
      </c>
      <c r="C1503" s="7">
        <v>13552</v>
      </c>
      <c r="D1503" s="7">
        <v>13575</v>
      </c>
      <c r="E1503" s="7">
        <v>13540</v>
      </c>
      <c r="F1503" s="7">
        <v>13570</v>
      </c>
      <c r="G1503" s="34">
        <v>148</v>
      </c>
      <c r="H1503" s="35">
        <v>-25</v>
      </c>
      <c r="I1503" s="38">
        <f t="shared" si="22"/>
        <v>13551</v>
      </c>
    </row>
    <row r="1504" spans="1:9" x14ac:dyDescent="0.2">
      <c r="A1504" s="33">
        <v>43040</v>
      </c>
      <c r="B1504" s="36">
        <v>13575</v>
      </c>
      <c r="C1504" s="7">
        <v>13585</v>
      </c>
      <c r="D1504" s="7">
        <v>13595</v>
      </c>
      <c r="E1504" s="7">
        <v>13570</v>
      </c>
      <c r="F1504" s="7">
        <v>13580</v>
      </c>
      <c r="G1504" s="34">
        <v>142</v>
      </c>
      <c r="H1504" s="35">
        <v>15</v>
      </c>
      <c r="I1504" s="38">
        <f t="shared" ref="I1504:I1567" si="23">+(B1504+C1504)*0.5</f>
        <v>13580</v>
      </c>
    </row>
    <row r="1505" spans="1:9" x14ac:dyDescent="0.2">
      <c r="A1505" s="33">
        <v>43039</v>
      </c>
      <c r="B1505" s="36">
        <v>13560</v>
      </c>
      <c r="C1505" s="7">
        <v>13565</v>
      </c>
      <c r="D1505" s="7">
        <v>13576</v>
      </c>
      <c r="E1505" s="7">
        <v>13550</v>
      </c>
      <c r="F1505" s="7">
        <v>13560</v>
      </c>
      <c r="G1505" s="34">
        <v>113</v>
      </c>
      <c r="H1505" s="35">
        <v>-20</v>
      </c>
      <c r="I1505" s="38">
        <f t="shared" si="23"/>
        <v>13562.5</v>
      </c>
    </row>
    <row r="1506" spans="1:9" x14ac:dyDescent="0.2">
      <c r="A1506" s="33">
        <v>43038</v>
      </c>
      <c r="B1506" s="36">
        <v>13580</v>
      </c>
      <c r="C1506" s="7">
        <v>13588</v>
      </c>
      <c r="D1506" s="7">
        <v>13605</v>
      </c>
      <c r="E1506" s="7">
        <v>13570</v>
      </c>
      <c r="F1506" s="7">
        <v>13585</v>
      </c>
      <c r="G1506" s="34">
        <v>106</v>
      </c>
      <c r="H1506" s="35">
        <v>-33</v>
      </c>
      <c r="I1506" s="38">
        <f t="shared" si="23"/>
        <v>13584</v>
      </c>
    </row>
    <row r="1507" spans="1:9" x14ac:dyDescent="0.2">
      <c r="A1507" s="33">
        <v>43035</v>
      </c>
      <c r="B1507" s="36">
        <v>13613</v>
      </c>
      <c r="C1507" s="7">
        <v>13620</v>
      </c>
      <c r="D1507" s="7">
        <v>13640</v>
      </c>
      <c r="E1507" s="7">
        <v>13605</v>
      </c>
      <c r="F1507" s="7">
        <v>13630</v>
      </c>
      <c r="G1507" s="34">
        <v>188</v>
      </c>
      <c r="H1507" s="35">
        <v>33</v>
      </c>
      <c r="I1507" s="38">
        <f t="shared" si="23"/>
        <v>13616.5</v>
      </c>
    </row>
    <row r="1508" spans="1:9" x14ac:dyDescent="0.2">
      <c r="A1508" s="33">
        <v>43034</v>
      </c>
      <c r="B1508" s="36">
        <v>13580</v>
      </c>
      <c r="C1508" s="7">
        <v>13583</v>
      </c>
      <c r="D1508" s="7">
        <v>13600</v>
      </c>
      <c r="E1508" s="7">
        <v>13550</v>
      </c>
      <c r="F1508" s="7">
        <v>13560</v>
      </c>
      <c r="G1508" s="34">
        <v>154</v>
      </c>
      <c r="H1508" s="35">
        <v>5</v>
      </c>
      <c r="I1508" s="38">
        <f t="shared" si="23"/>
        <v>13581.5</v>
      </c>
    </row>
    <row r="1509" spans="1:9" x14ac:dyDescent="0.2">
      <c r="A1509" s="33">
        <v>43033</v>
      </c>
      <c r="B1509" s="36">
        <v>13575</v>
      </c>
      <c r="C1509" s="7">
        <v>13580</v>
      </c>
      <c r="D1509" s="7">
        <v>13575</v>
      </c>
      <c r="E1509" s="7">
        <v>13560</v>
      </c>
      <c r="F1509" s="7">
        <v>13560</v>
      </c>
      <c r="G1509" s="34">
        <v>145</v>
      </c>
      <c r="H1509" s="35">
        <v>45</v>
      </c>
      <c r="I1509" s="38">
        <f t="shared" si="23"/>
        <v>13577.5</v>
      </c>
    </row>
    <row r="1510" spans="1:9" x14ac:dyDescent="0.2">
      <c r="A1510" s="33">
        <v>43032</v>
      </c>
      <c r="B1510" s="36">
        <v>13530</v>
      </c>
      <c r="C1510" s="7">
        <v>13535</v>
      </c>
      <c r="D1510" s="7">
        <v>13534</v>
      </c>
      <c r="E1510" s="7">
        <v>13520</v>
      </c>
      <c r="F1510" s="7">
        <v>13527</v>
      </c>
      <c r="G1510" s="34">
        <v>133</v>
      </c>
      <c r="H1510" s="35">
        <v>-10</v>
      </c>
      <c r="I1510" s="38">
        <f t="shared" si="23"/>
        <v>13532.5</v>
      </c>
    </row>
    <row r="1511" spans="1:9" x14ac:dyDescent="0.2">
      <c r="A1511" s="33">
        <v>43031</v>
      </c>
      <c r="B1511" s="36">
        <v>13540</v>
      </c>
      <c r="C1511" s="7">
        <v>13545</v>
      </c>
      <c r="D1511" s="7">
        <v>13541</v>
      </c>
      <c r="E1511" s="7">
        <v>13525</v>
      </c>
      <c r="F1511" s="7">
        <v>13530</v>
      </c>
      <c r="G1511" s="34">
        <v>116</v>
      </c>
      <c r="H1511" s="35">
        <v>23</v>
      </c>
      <c r="I1511" s="38">
        <f t="shared" si="23"/>
        <v>13542.5</v>
      </c>
    </row>
    <row r="1512" spans="1:9" x14ac:dyDescent="0.2">
      <c r="A1512" s="33">
        <v>43028</v>
      </c>
      <c r="B1512" s="36">
        <v>13517</v>
      </c>
      <c r="C1512" s="7">
        <v>13520</v>
      </c>
      <c r="D1512" s="7">
        <v>13525</v>
      </c>
      <c r="E1512" s="7">
        <v>13500</v>
      </c>
      <c r="F1512" s="7">
        <v>13510</v>
      </c>
      <c r="G1512" s="34">
        <v>146</v>
      </c>
      <c r="H1512" s="35">
        <v>-4</v>
      </c>
      <c r="I1512" s="38">
        <f t="shared" si="23"/>
        <v>13518.5</v>
      </c>
    </row>
    <row r="1513" spans="1:9" x14ac:dyDescent="0.2">
      <c r="A1513" s="33">
        <v>43027</v>
      </c>
      <c r="B1513" s="36">
        <v>13521</v>
      </c>
      <c r="C1513" s="7">
        <v>13525</v>
      </c>
      <c r="D1513" s="7">
        <v>13530</v>
      </c>
      <c r="E1513" s="7">
        <v>13508</v>
      </c>
      <c r="F1513" s="7">
        <v>13510</v>
      </c>
      <c r="G1513" s="34">
        <v>160</v>
      </c>
      <c r="H1513" s="35">
        <v>6</v>
      </c>
      <c r="I1513" s="38">
        <f t="shared" si="23"/>
        <v>13523</v>
      </c>
    </row>
    <row r="1514" spans="1:9" x14ac:dyDescent="0.2">
      <c r="A1514" s="33">
        <v>43026</v>
      </c>
      <c r="B1514" s="36">
        <v>13515</v>
      </c>
      <c r="C1514" s="7">
        <v>13517</v>
      </c>
      <c r="D1514" s="7">
        <v>13515</v>
      </c>
      <c r="E1514" s="7">
        <v>13500</v>
      </c>
      <c r="F1514" s="7">
        <v>13503</v>
      </c>
      <c r="G1514" s="34">
        <v>140</v>
      </c>
      <c r="H1514" s="35">
        <v>10</v>
      </c>
      <c r="I1514" s="38">
        <f t="shared" si="23"/>
        <v>13516</v>
      </c>
    </row>
    <row r="1515" spans="1:9" x14ac:dyDescent="0.2">
      <c r="A1515" s="33">
        <v>43025</v>
      </c>
      <c r="B1515" s="36">
        <v>13505</v>
      </c>
      <c r="C1515" s="7">
        <v>13508</v>
      </c>
      <c r="D1515" s="7">
        <v>13512</v>
      </c>
      <c r="E1515" s="7">
        <v>13480</v>
      </c>
      <c r="F1515" s="7">
        <v>13485</v>
      </c>
      <c r="G1515" s="34">
        <v>182</v>
      </c>
      <c r="H1515" s="35">
        <v>25</v>
      </c>
      <c r="I1515" s="38">
        <f t="shared" si="23"/>
        <v>13506.5</v>
      </c>
    </row>
    <row r="1516" spans="1:9" x14ac:dyDescent="0.2">
      <c r="A1516" s="33">
        <v>43024</v>
      </c>
      <c r="B1516" s="36">
        <v>13480</v>
      </c>
      <c r="C1516" s="7">
        <v>13485</v>
      </c>
      <c r="D1516" s="7">
        <v>13487</v>
      </c>
      <c r="E1516" s="7">
        <v>13465</v>
      </c>
      <c r="F1516" s="7">
        <v>13480</v>
      </c>
      <c r="G1516" s="34">
        <v>119</v>
      </c>
      <c r="H1516" s="35">
        <v>-16</v>
      </c>
      <c r="I1516" s="38">
        <f t="shared" si="23"/>
        <v>13482.5</v>
      </c>
    </row>
    <row r="1517" spans="1:9" x14ac:dyDescent="0.2">
      <c r="A1517" s="33">
        <v>43021</v>
      </c>
      <c r="B1517" s="36">
        <v>13496</v>
      </c>
      <c r="C1517" s="7">
        <v>13502</v>
      </c>
      <c r="D1517" s="7">
        <v>13515</v>
      </c>
      <c r="E1517" s="7">
        <v>13488</v>
      </c>
      <c r="F1517" s="7">
        <v>13500</v>
      </c>
      <c r="G1517" s="34">
        <v>112</v>
      </c>
      <c r="H1517" s="35">
        <v>-8</v>
      </c>
      <c r="I1517" s="38">
        <f t="shared" si="23"/>
        <v>13499</v>
      </c>
    </row>
    <row r="1518" spans="1:9" x14ac:dyDescent="0.2">
      <c r="A1518" s="33">
        <v>43020</v>
      </c>
      <c r="B1518" s="36">
        <v>13504</v>
      </c>
      <c r="C1518" s="7">
        <v>13505</v>
      </c>
      <c r="D1518" s="7">
        <v>13525</v>
      </c>
      <c r="E1518" s="7">
        <v>13490</v>
      </c>
      <c r="F1518" s="7">
        <v>13508</v>
      </c>
      <c r="G1518" s="34">
        <v>164</v>
      </c>
      <c r="H1518" s="35">
        <v>-11</v>
      </c>
      <c r="I1518" s="38">
        <f t="shared" si="23"/>
        <v>13504.5</v>
      </c>
    </row>
    <row r="1519" spans="1:9" x14ac:dyDescent="0.2">
      <c r="A1519" s="33">
        <v>43019</v>
      </c>
      <c r="B1519" s="36">
        <v>13515</v>
      </c>
      <c r="C1519" s="7">
        <v>13519</v>
      </c>
      <c r="D1519" s="7">
        <v>13525</v>
      </c>
      <c r="E1519" s="7">
        <v>13490</v>
      </c>
      <c r="F1519" s="7">
        <v>13490</v>
      </c>
      <c r="G1519" s="34">
        <v>116</v>
      </c>
      <c r="H1519" s="35">
        <v>3</v>
      </c>
      <c r="I1519" s="38">
        <f t="shared" si="23"/>
        <v>13517</v>
      </c>
    </row>
    <row r="1520" spans="1:9" x14ac:dyDescent="0.2">
      <c r="A1520" s="33">
        <v>43018</v>
      </c>
      <c r="B1520" s="36">
        <v>13512</v>
      </c>
      <c r="C1520" s="7">
        <v>13514</v>
      </c>
      <c r="D1520" s="7">
        <v>13512</v>
      </c>
      <c r="E1520" s="7">
        <v>13480</v>
      </c>
      <c r="F1520" s="7">
        <v>13500</v>
      </c>
      <c r="G1520" s="34">
        <v>142</v>
      </c>
      <c r="H1520" s="35">
        <v>-3</v>
      </c>
      <c r="I1520" s="38">
        <f t="shared" si="23"/>
        <v>13513</v>
      </c>
    </row>
    <row r="1521" spans="1:9" x14ac:dyDescent="0.2">
      <c r="A1521" s="33">
        <v>43017</v>
      </c>
      <c r="B1521" s="36">
        <v>13515</v>
      </c>
      <c r="C1521" s="7">
        <v>13518</v>
      </c>
      <c r="D1521" s="7">
        <v>13515</v>
      </c>
      <c r="E1521" s="7">
        <v>13494</v>
      </c>
      <c r="F1521" s="7">
        <v>13500</v>
      </c>
      <c r="G1521" s="34">
        <v>113</v>
      </c>
      <c r="H1521" s="35">
        <v>12</v>
      </c>
      <c r="I1521" s="38">
        <f t="shared" si="23"/>
        <v>13516.5</v>
      </c>
    </row>
    <row r="1522" spans="1:9" x14ac:dyDescent="0.2">
      <c r="A1522" s="33">
        <v>43014</v>
      </c>
      <c r="B1522" s="36">
        <v>13503</v>
      </c>
      <c r="C1522" s="7">
        <v>13505</v>
      </c>
      <c r="D1522" s="7">
        <v>13505</v>
      </c>
      <c r="E1522" s="7">
        <v>13475</v>
      </c>
      <c r="F1522" s="7">
        <v>13485</v>
      </c>
      <c r="G1522" s="34">
        <v>133</v>
      </c>
      <c r="H1522" s="35">
        <v>48</v>
      </c>
      <c r="I1522" s="38">
        <f t="shared" si="23"/>
        <v>13504</v>
      </c>
    </row>
    <row r="1523" spans="1:9" x14ac:dyDescent="0.2">
      <c r="A1523" s="33">
        <v>43013</v>
      </c>
      <c r="B1523" s="36">
        <v>13455</v>
      </c>
      <c r="C1523" s="7">
        <v>13460</v>
      </c>
      <c r="D1523" s="7">
        <v>13490</v>
      </c>
      <c r="E1523" s="7">
        <v>13455</v>
      </c>
      <c r="F1523" s="7">
        <v>13480</v>
      </c>
      <c r="G1523" s="34">
        <v>120</v>
      </c>
      <c r="H1523" s="35">
        <v>-20</v>
      </c>
      <c r="I1523" s="38">
        <f t="shared" si="23"/>
        <v>13457.5</v>
      </c>
    </row>
    <row r="1524" spans="1:9" x14ac:dyDescent="0.2">
      <c r="A1524" s="33">
        <v>43012</v>
      </c>
      <c r="B1524" s="36">
        <v>13475</v>
      </c>
      <c r="C1524" s="7">
        <v>13478</v>
      </c>
      <c r="D1524" s="7">
        <v>13495</v>
      </c>
      <c r="E1524" s="7">
        <v>13455</v>
      </c>
      <c r="F1524" s="7">
        <v>13495</v>
      </c>
      <c r="G1524" s="34">
        <v>120</v>
      </c>
      <c r="H1524" s="35">
        <v>-65</v>
      </c>
      <c r="I1524" s="38">
        <f t="shared" si="23"/>
        <v>13476.5</v>
      </c>
    </row>
    <row r="1525" spans="1:9" x14ac:dyDescent="0.2">
      <c r="A1525" s="33">
        <v>43011</v>
      </c>
      <c r="B1525" s="36">
        <v>13540</v>
      </c>
      <c r="C1525" s="7">
        <v>13545</v>
      </c>
      <c r="D1525" s="7">
        <v>13585</v>
      </c>
      <c r="E1525" s="7">
        <v>13533</v>
      </c>
      <c r="F1525" s="7">
        <v>13585</v>
      </c>
      <c r="G1525" s="34">
        <v>108</v>
      </c>
      <c r="H1525" s="35">
        <v>5</v>
      </c>
      <c r="I1525" s="38">
        <f t="shared" si="23"/>
        <v>13542.5</v>
      </c>
    </row>
    <row r="1526" spans="1:9" x14ac:dyDescent="0.2">
      <c r="A1526" s="33">
        <v>43010</v>
      </c>
      <c r="B1526" s="36">
        <v>13535</v>
      </c>
      <c r="C1526" s="7">
        <v>13540</v>
      </c>
      <c r="D1526" s="7">
        <v>13575</v>
      </c>
      <c r="E1526" s="7">
        <v>13475</v>
      </c>
      <c r="F1526" s="7">
        <v>13475</v>
      </c>
      <c r="G1526" s="34">
        <v>96</v>
      </c>
      <c r="H1526" s="35">
        <v>65</v>
      </c>
      <c r="I1526" s="38">
        <f t="shared" si="23"/>
        <v>13537.5</v>
      </c>
    </row>
    <row r="1527" spans="1:9" x14ac:dyDescent="0.2">
      <c r="A1527" s="33">
        <v>43007</v>
      </c>
      <c r="B1527" s="36">
        <v>13470</v>
      </c>
      <c r="C1527" s="7">
        <v>13473</v>
      </c>
      <c r="D1527" s="7">
        <v>13495</v>
      </c>
      <c r="E1527" s="7">
        <v>13445</v>
      </c>
      <c r="F1527" s="7">
        <v>13475</v>
      </c>
      <c r="G1527" s="34">
        <v>116</v>
      </c>
      <c r="H1527" s="35">
        <v>-40</v>
      </c>
      <c r="I1527" s="38">
        <f t="shared" si="23"/>
        <v>13471.5</v>
      </c>
    </row>
    <row r="1528" spans="1:9" x14ac:dyDescent="0.2">
      <c r="A1528" s="33">
        <v>43006</v>
      </c>
      <c r="B1528" s="36">
        <v>13510</v>
      </c>
      <c r="C1528" s="7">
        <v>13520</v>
      </c>
      <c r="D1528" s="7">
        <v>13550</v>
      </c>
      <c r="E1528" s="7">
        <v>13422</v>
      </c>
      <c r="F1528" s="7">
        <v>13422</v>
      </c>
      <c r="G1528" s="34">
        <v>132</v>
      </c>
      <c r="H1528" s="35">
        <v>75</v>
      </c>
      <c r="I1528" s="38">
        <f t="shared" si="23"/>
        <v>13515</v>
      </c>
    </row>
    <row r="1529" spans="1:9" x14ac:dyDescent="0.2">
      <c r="A1529" s="33">
        <v>43005</v>
      </c>
      <c r="B1529" s="36">
        <v>13435</v>
      </c>
      <c r="C1529" s="7">
        <v>13445</v>
      </c>
      <c r="D1529" s="7">
        <v>13435</v>
      </c>
      <c r="E1529" s="7">
        <v>13365</v>
      </c>
      <c r="F1529" s="7">
        <v>13380</v>
      </c>
      <c r="G1529" s="34">
        <v>160</v>
      </c>
      <c r="H1529" s="35">
        <v>60</v>
      </c>
      <c r="I1529" s="38">
        <f t="shared" si="23"/>
        <v>13440</v>
      </c>
    </row>
    <row r="1530" spans="1:9" x14ac:dyDescent="0.2">
      <c r="A1530" s="33">
        <v>43004</v>
      </c>
      <c r="B1530" s="36">
        <v>13375</v>
      </c>
      <c r="C1530" s="7">
        <v>13378</v>
      </c>
      <c r="D1530" s="7">
        <v>13380</v>
      </c>
      <c r="E1530" s="7">
        <v>13340</v>
      </c>
      <c r="F1530" s="7">
        <v>13340</v>
      </c>
      <c r="G1530" s="34">
        <v>166</v>
      </c>
      <c r="H1530" s="35">
        <v>50</v>
      </c>
      <c r="I1530" s="38">
        <f t="shared" si="23"/>
        <v>13376.5</v>
      </c>
    </row>
    <row r="1531" spans="1:9" x14ac:dyDescent="0.2">
      <c r="A1531" s="33">
        <v>43003</v>
      </c>
      <c r="B1531" s="36">
        <v>13325</v>
      </c>
      <c r="C1531" s="7">
        <v>13327</v>
      </c>
      <c r="D1531" s="7">
        <v>13325</v>
      </c>
      <c r="E1531" s="7">
        <v>13295</v>
      </c>
      <c r="F1531" s="7">
        <v>13295</v>
      </c>
      <c r="G1531" s="34">
        <v>109</v>
      </c>
      <c r="H1531" s="35">
        <v>15</v>
      </c>
      <c r="I1531" s="38">
        <f t="shared" si="23"/>
        <v>13326</v>
      </c>
    </row>
    <row r="1532" spans="1:9" x14ac:dyDescent="0.2">
      <c r="A1532" s="33">
        <v>43000</v>
      </c>
      <c r="B1532" s="36">
        <v>13310</v>
      </c>
      <c r="C1532" s="7">
        <v>13315</v>
      </c>
      <c r="D1532" s="7">
        <v>13340</v>
      </c>
      <c r="E1532" s="7">
        <v>13305</v>
      </c>
      <c r="F1532" s="7">
        <v>13325</v>
      </c>
      <c r="G1532" s="34">
        <v>104</v>
      </c>
      <c r="H1532" s="35">
        <v>31</v>
      </c>
      <c r="I1532" s="38">
        <f t="shared" si="23"/>
        <v>13312.5</v>
      </c>
    </row>
    <row r="1533" spans="1:9" x14ac:dyDescent="0.2">
      <c r="A1533" s="33">
        <v>42999</v>
      </c>
      <c r="B1533" s="36">
        <v>13279</v>
      </c>
      <c r="C1533" s="7">
        <v>13284</v>
      </c>
      <c r="D1533" s="7"/>
      <c r="E1533" s="7"/>
      <c r="F1533" s="7"/>
      <c r="G1533" s="34"/>
      <c r="H1533" s="35">
        <v>0</v>
      </c>
      <c r="I1533" s="38">
        <f t="shared" si="23"/>
        <v>13281.5</v>
      </c>
    </row>
    <row r="1534" spans="1:9" x14ac:dyDescent="0.2">
      <c r="A1534" s="33">
        <v>42998</v>
      </c>
      <c r="B1534" s="36">
        <v>13279</v>
      </c>
      <c r="C1534" s="7">
        <v>13284</v>
      </c>
      <c r="D1534" s="7">
        <v>13282</v>
      </c>
      <c r="E1534" s="7">
        <v>13263</v>
      </c>
      <c r="F1534" s="7">
        <v>13275</v>
      </c>
      <c r="G1534" s="34">
        <v>117</v>
      </c>
      <c r="H1534" s="35">
        <v>4</v>
      </c>
      <c r="I1534" s="38">
        <f t="shared" si="23"/>
        <v>13281.5</v>
      </c>
    </row>
    <row r="1535" spans="1:9" x14ac:dyDescent="0.2">
      <c r="A1535" s="33">
        <v>42997</v>
      </c>
      <c r="B1535" s="36">
        <v>13275</v>
      </c>
      <c r="C1535" s="7">
        <v>13282</v>
      </c>
      <c r="D1535" s="7">
        <v>13275</v>
      </c>
      <c r="E1535" s="7">
        <v>13250</v>
      </c>
      <c r="F1535" s="7">
        <v>13255</v>
      </c>
      <c r="G1535" s="34">
        <v>122</v>
      </c>
      <c r="H1535" s="35">
        <v>25</v>
      </c>
      <c r="I1535" s="38">
        <f t="shared" si="23"/>
        <v>13278.5</v>
      </c>
    </row>
    <row r="1536" spans="1:9" x14ac:dyDescent="0.2">
      <c r="A1536" s="33">
        <v>42996</v>
      </c>
      <c r="B1536" s="36">
        <v>13250</v>
      </c>
      <c r="C1536" s="7">
        <v>13260</v>
      </c>
      <c r="D1536" s="7">
        <v>13252</v>
      </c>
      <c r="E1536" s="7">
        <v>13230</v>
      </c>
      <c r="F1536" s="7">
        <v>13240</v>
      </c>
      <c r="G1536" s="34">
        <v>105</v>
      </c>
      <c r="H1536" s="35">
        <v>12</v>
      </c>
      <c r="I1536" s="38">
        <f t="shared" si="23"/>
        <v>13255</v>
      </c>
    </row>
    <row r="1537" spans="1:9" x14ac:dyDescent="0.2">
      <c r="A1537" s="33">
        <v>42993</v>
      </c>
      <c r="B1537" s="36">
        <v>13238</v>
      </c>
      <c r="C1537" s="7">
        <v>13242</v>
      </c>
      <c r="D1537" s="7">
        <v>13267</v>
      </c>
      <c r="E1537" s="7">
        <v>13228</v>
      </c>
      <c r="F1537" s="7">
        <v>13260</v>
      </c>
      <c r="G1537" s="34">
        <v>131</v>
      </c>
      <c r="H1537" s="35">
        <v>-11</v>
      </c>
      <c r="I1537" s="38">
        <f t="shared" si="23"/>
        <v>13240</v>
      </c>
    </row>
    <row r="1538" spans="1:9" x14ac:dyDescent="0.2">
      <c r="A1538" s="33">
        <v>42992</v>
      </c>
      <c r="B1538" s="36">
        <v>13249</v>
      </c>
      <c r="C1538" s="7">
        <v>13250</v>
      </c>
      <c r="D1538" s="7">
        <v>13249</v>
      </c>
      <c r="E1538" s="7">
        <v>13230</v>
      </c>
      <c r="F1538" s="7">
        <v>13230</v>
      </c>
      <c r="G1538" s="34">
        <v>89</v>
      </c>
      <c r="H1538" s="35">
        <v>48</v>
      </c>
      <c r="I1538" s="38">
        <f t="shared" si="23"/>
        <v>13249.5</v>
      </c>
    </row>
    <row r="1539" spans="1:9" x14ac:dyDescent="0.2">
      <c r="A1539" s="33">
        <v>42991</v>
      </c>
      <c r="B1539" s="36">
        <v>13201</v>
      </c>
      <c r="C1539" s="7">
        <v>13204</v>
      </c>
      <c r="D1539" s="7">
        <v>13213</v>
      </c>
      <c r="E1539" s="7">
        <v>13197</v>
      </c>
      <c r="F1539" s="7">
        <v>13205</v>
      </c>
      <c r="G1539" s="34">
        <v>109</v>
      </c>
      <c r="H1539" s="35">
        <v>11</v>
      </c>
      <c r="I1539" s="38">
        <f t="shared" si="23"/>
        <v>13202.5</v>
      </c>
    </row>
    <row r="1540" spans="1:9" x14ac:dyDescent="0.2">
      <c r="A1540" s="33">
        <v>42990</v>
      </c>
      <c r="B1540" s="36">
        <v>13190</v>
      </c>
      <c r="C1540" s="7">
        <v>13200</v>
      </c>
      <c r="D1540" s="7">
        <v>13222</v>
      </c>
      <c r="E1540" s="7">
        <v>13175</v>
      </c>
      <c r="F1540" s="7">
        <v>13190</v>
      </c>
      <c r="G1540" s="34">
        <v>164</v>
      </c>
      <c r="H1540" s="35">
        <v>30</v>
      </c>
      <c r="I1540" s="38">
        <f t="shared" si="23"/>
        <v>13195</v>
      </c>
    </row>
    <row r="1541" spans="1:9" x14ac:dyDescent="0.2">
      <c r="A1541" s="33">
        <v>42989</v>
      </c>
      <c r="B1541" s="36">
        <v>13160</v>
      </c>
      <c r="C1541" s="7">
        <v>13165</v>
      </c>
      <c r="D1541" s="7">
        <v>13185</v>
      </c>
      <c r="E1541" s="7">
        <v>13135</v>
      </c>
      <c r="F1541" s="7">
        <v>13185</v>
      </c>
      <c r="G1541" s="34">
        <v>84</v>
      </c>
      <c r="H1541" s="35">
        <v>-40</v>
      </c>
      <c r="I1541" s="38">
        <f t="shared" si="23"/>
        <v>13162.5</v>
      </c>
    </row>
    <row r="1542" spans="1:9" x14ac:dyDescent="0.2">
      <c r="A1542" s="33">
        <v>42986</v>
      </c>
      <c r="B1542" s="36">
        <v>13200</v>
      </c>
      <c r="C1542" s="7">
        <v>13208</v>
      </c>
      <c r="D1542" s="7">
        <v>13290</v>
      </c>
      <c r="E1542" s="7">
        <v>13200</v>
      </c>
      <c r="F1542" s="7">
        <v>13290</v>
      </c>
      <c r="G1542" s="34">
        <v>123</v>
      </c>
      <c r="H1542" s="35">
        <v>-105</v>
      </c>
      <c r="I1542" s="38">
        <f t="shared" si="23"/>
        <v>13204</v>
      </c>
    </row>
    <row r="1543" spans="1:9" x14ac:dyDescent="0.2">
      <c r="A1543" s="33">
        <v>42985</v>
      </c>
      <c r="B1543" s="36">
        <v>13305</v>
      </c>
      <c r="C1543" s="7">
        <v>13308</v>
      </c>
      <c r="D1543" s="7">
        <v>13332</v>
      </c>
      <c r="E1543" s="7">
        <v>13304</v>
      </c>
      <c r="F1543" s="7">
        <v>13332</v>
      </c>
      <c r="G1543" s="34">
        <v>142</v>
      </c>
      <c r="H1543" s="35">
        <v>-31</v>
      </c>
      <c r="I1543" s="38">
        <f t="shared" si="23"/>
        <v>13306.5</v>
      </c>
    </row>
    <row r="1544" spans="1:9" x14ac:dyDescent="0.2">
      <c r="A1544" s="33">
        <v>42984</v>
      </c>
      <c r="B1544" s="36">
        <v>13336</v>
      </c>
      <c r="C1544" s="7">
        <v>13339</v>
      </c>
      <c r="D1544" s="7">
        <v>13339</v>
      </c>
      <c r="E1544" s="7">
        <v>13333</v>
      </c>
      <c r="F1544" s="7">
        <v>13333</v>
      </c>
      <c r="G1544" s="34">
        <v>76</v>
      </c>
      <c r="H1544" s="35">
        <v>-1</v>
      </c>
      <c r="I1544" s="38">
        <f t="shared" si="23"/>
        <v>13337.5</v>
      </c>
    </row>
    <row r="1545" spans="1:9" x14ac:dyDescent="0.2">
      <c r="A1545" s="33">
        <v>42983</v>
      </c>
      <c r="B1545" s="36">
        <v>13337</v>
      </c>
      <c r="C1545" s="7">
        <v>13338</v>
      </c>
      <c r="D1545" s="7">
        <v>13340</v>
      </c>
      <c r="E1545" s="7">
        <v>13330</v>
      </c>
      <c r="F1545" s="7">
        <v>13335</v>
      </c>
      <c r="G1545" s="34">
        <v>96</v>
      </c>
      <c r="H1545" s="35">
        <v>-4</v>
      </c>
      <c r="I1545" s="38">
        <f t="shared" si="23"/>
        <v>13337.5</v>
      </c>
    </row>
    <row r="1546" spans="1:9" x14ac:dyDescent="0.2">
      <c r="A1546" s="33">
        <v>42982</v>
      </c>
      <c r="B1546" s="36">
        <v>13341</v>
      </c>
      <c r="C1546" s="7">
        <v>13344</v>
      </c>
      <c r="D1546" s="7">
        <v>13345</v>
      </c>
      <c r="E1546" s="7">
        <v>13335</v>
      </c>
      <c r="F1546" s="7">
        <v>13340</v>
      </c>
      <c r="G1546" s="34">
        <v>76</v>
      </c>
      <c r="H1546" s="35">
        <v>-1</v>
      </c>
      <c r="I1546" s="38">
        <f t="shared" si="23"/>
        <v>13342.5</v>
      </c>
    </row>
    <row r="1547" spans="1:9" x14ac:dyDescent="0.2">
      <c r="A1547" s="33">
        <v>42979</v>
      </c>
      <c r="B1547" s="36">
        <v>13342</v>
      </c>
      <c r="C1547" s="7">
        <v>13344</v>
      </c>
      <c r="D1547" s="7"/>
      <c r="E1547" s="7"/>
      <c r="F1547" s="7"/>
      <c r="G1547" s="34"/>
      <c r="H1547" s="35">
        <v>0</v>
      </c>
      <c r="I1547" s="38">
        <f t="shared" si="23"/>
        <v>13343</v>
      </c>
    </row>
    <row r="1548" spans="1:9" x14ac:dyDescent="0.2">
      <c r="A1548" s="33">
        <v>42978</v>
      </c>
      <c r="B1548" s="36">
        <v>13342</v>
      </c>
      <c r="C1548" s="7">
        <v>13344</v>
      </c>
      <c r="D1548" s="7">
        <v>13352</v>
      </c>
      <c r="E1548" s="7">
        <v>13336</v>
      </c>
      <c r="F1548" s="7">
        <v>13345</v>
      </c>
      <c r="G1548" s="34">
        <v>90</v>
      </c>
      <c r="H1548" s="35">
        <v>-4</v>
      </c>
      <c r="I1548" s="38">
        <f t="shared" si="23"/>
        <v>13343</v>
      </c>
    </row>
    <row r="1549" spans="1:9" x14ac:dyDescent="0.2">
      <c r="A1549" s="33">
        <v>42977</v>
      </c>
      <c r="B1549" s="36">
        <v>13346</v>
      </c>
      <c r="C1549" s="7">
        <v>13347</v>
      </c>
      <c r="D1549" s="7">
        <v>13348</v>
      </c>
      <c r="E1549" s="7">
        <v>13339</v>
      </c>
      <c r="F1549" s="7">
        <v>13339</v>
      </c>
      <c r="G1549" s="34">
        <v>84</v>
      </c>
      <c r="H1549" s="35">
        <v>8</v>
      </c>
      <c r="I1549" s="38">
        <f t="shared" si="23"/>
        <v>13346.5</v>
      </c>
    </row>
    <row r="1550" spans="1:9" x14ac:dyDescent="0.2">
      <c r="A1550" s="33">
        <v>42976</v>
      </c>
      <c r="B1550" s="36">
        <v>13338</v>
      </c>
      <c r="C1550" s="7">
        <v>13341</v>
      </c>
      <c r="D1550" s="7">
        <v>13348</v>
      </c>
      <c r="E1550" s="7">
        <v>13334</v>
      </c>
      <c r="F1550" s="7">
        <v>13340</v>
      </c>
      <c r="G1550" s="34">
        <v>91</v>
      </c>
      <c r="H1550" s="35">
        <v>-1</v>
      </c>
      <c r="I1550" s="38">
        <f t="shared" si="23"/>
        <v>13339.5</v>
      </c>
    </row>
    <row r="1551" spans="1:9" x14ac:dyDescent="0.2">
      <c r="A1551" s="33">
        <v>42975</v>
      </c>
      <c r="B1551" s="36">
        <v>13339</v>
      </c>
      <c r="C1551" s="7">
        <v>13341</v>
      </c>
      <c r="D1551" s="7">
        <v>13340</v>
      </c>
      <c r="E1551" s="7">
        <v>13330</v>
      </c>
      <c r="F1551" s="7">
        <v>13332</v>
      </c>
      <c r="G1551" s="34">
        <v>74</v>
      </c>
      <c r="H1551" s="35">
        <v>-6</v>
      </c>
      <c r="I1551" s="38">
        <f t="shared" si="23"/>
        <v>13340</v>
      </c>
    </row>
    <row r="1552" spans="1:9" x14ac:dyDescent="0.2">
      <c r="A1552" s="33">
        <v>42972</v>
      </c>
      <c r="B1552" s="36">
        <v>13345</v>
      </c>
      <c r="C1552" s="7">
        <v>13346</v>
      </c>
      <c r="D1552" s="7">
        <v>13348</v>
      </c>
      <c r="E1552" s="7">
        <v>13335</v>
      </c>
      <c r="F1552" s="7">
        <v>13335</v>
      </c>
      <c r="G1552" s="34">
        <v>81</v>
      </c>
      <c r="H1552" s="35">
        <v>-1</v>
      </c>
      <c r="I1552" s="38">
        <f t="shared" si="23"/>
        <v>13345.5</v>
      </c>
    </row>
    <row r="1553" spans="1:9" x14ac:dyDescent="0.2">
      <c r="A1553" s="33">
        <v>42971</v>
      </c>
      <c r="B1553" s="36">
        <v>13346</v>
      </c>
      <c r="C1553" s="7">
        <v>13347</v>
      </c>
      <c r="D1553" s="7">
        <v>13355</v>
      </c>
      <c r="E1553" s="7">
        <v>13340</v>
      </c>
      <c r="F1553" s="7">
        <v>13347</v>
      </c>
      <c r="G1553" s="34">
        <v>114</v>
      </c>
      <c r="H1553" s="35">
        <v>-9</v>
      </c>
      <c r="I1553" s="38">
        <f t="shared" si="23"/>
        <v>13346.5</v>
      </c>
    </row>
    <row r="1554" spans="1:9" x14ac:dyDescent="0.2">
      <c r="A1554" s="33">
        <v>42970</v>
      </c>
      <c r="B1554" s="36">
        <v>13355</v>
      </c>
      <c r="C1554" s="7">
        <v>13362</v>
      </c>
      <c r="D1554" s="7">
        <v>13359</v>
      </c>
      <c r="E1554" s="7">
        <v>13330</v>
      </c>
      <c r="F1554" s="7">
        <v>13330</v>
      </c>
      <c r="G1554" s="34">
        <v>151</v>
      </c>
      <c r="H1554" s="35">
        <v>14</v>
      </c>
      <c r="I1554" s="38">
        <f t="shared" si="23"/>
        <v>13358.5</v>
      </c>
    </row>
    <row r="1555" spans="1:9" x14ac:dyDescent="0.2">
      <c r="A1555" s="33">
        <v>42969</v>
      </c>
      <c r="B1555" s="36">
        <v>13341</v>
      </c>
      <c r="C1555" s="7">
        <v>13345</v>
      </c>
      <c r="D1555" s="7">
        <v>13345</v>
      </c>
      <c r="E1555" s="7">
        <v>13332</v>
      </c>
      <c r="F1555" s="7">
        <v>13339</v>
      </c>
      <c r="G1555" s="34">
        <v>156</v>
      </c>
      <c r="H1555" s="35">
        <v>-7</v>
      </c>
      <c r="I1555" s="38">
        <f t="shared" si="23"/>
        <v>13343</v>
      </c>
    </row>
    <row r="1556" spans="1:9" x14ac:dyDescent="0.2">
      <c r="A1556" s="33">
        <v>42968</v>
      </c>
      <c r="B1556" s="36">
        <v>13348</v>
      </c>
      <c r="C1556" s="7">
        <v>13353</v>
      </c>
      <c r="D1556" s="7">
        <v>13357</v>
      </c>
      <c r="E1556" s="7">
        <v>13345</v>
      </c>
      <c r="F1556" s="7">
        <v>13352</v>
      </c>
      <c r="G1556" s="34">
        <v>117</v>
      </c>
      <c r="H1556" s="35">
        <v>-13</v>
      </c>
      <c r="I1556" s="38">
        <f t="shared" si="23"/>
        <v>13350.5</v>
      </c>
    </row>
    <row r="1557" spans="1:9" x14ac:dyDescent="0.2">
      <c r="A1557" s="33">
        <v>42965</v>
      </c>
      <c r="B1557" s="36">
        <v>13361</v>
      </c>
      <c r="C1557" s="7">
        <v>13363</v>
      </c>
      <c r="D1557" s="7">
        <v>13369</v>
      </c>
      <c r="E1557" s="7">
        <v>13355</v>
      </c>
      <c r="F1557" s="7">
        <v>13360</v>
      </c>
      <c r="G1557" s="34">
        <v>97</v>
      </c>
      <c r="H1557" s="35">
        <v>-16</v>
      </c>
      <c r="I1557" s="38">
        <f t="shared" si="23"/>
        <v>13362</v>
      </c>
    </row>
    <row r="1558" spans="1:9" x14ac:dyDescent="0.2">
      <c r="A1558" s="33">
        <v>42964</v>
      </c>
      <c r="B1558" s="36">
        <v>13377</v>
      </c>
      <c r="C1558" s="7">
        <v>13380</v>
      </c>
      <c r="D1558" s="7"/>
      <c r="E1558" s="7"/>
      <c r="F1558" s="7"/>
      <c r="G1558" s="34"/>
      <c r="H1558" s="35">
        <v>0</v>
      </c>
      <c r="I1558" s="38">
        <f t="shared" si="23"/>
        <v>13378.5</v>
      </c>
    </row>
    <row r="1559" spans="1:9" x14ac:dyDescent="0.2">
      <c r="A1559" s="33">
        <v>42963</v>
      </c>
      <c r="B1559" s="36">
        <v>13377</v>
      </c>
      <c r="C1559" s="7">
        <v>13380</v>
      </c>
      <c r="D1559" s="7">
        <v>13380</v>
      </c>
      <c r="E1559" s="7">
        <v>13355</v>
      </c>
      <c r="F1559" s="7">
        <v>13355</v>
      </c>
      <c r="G1559" s="34">
        <v>107</v>
      </c>
      <c r="H1559" s="35">
        <v>17</v>
      </c>
      <c r="I1559" s="38">
        <f t="shared" si="23"/>
        <v>13378.5</v>
      </c>
    </row>
    <row r="1560" spans="1:9" x14ac:dyDescent="0.2">
      <c r="A1560" s="33">
        <v>42962</v>
      </c>
      <c r="B1560" s="36">
        <v>13360</v>
      </c>
      <c r="C1560" s="7">
        <v>13362</v>
      </c>
      <c r="D1560" s="7">
        <v>13360</v>
      </c>
      <c r="E1560" s="7">
        <v>13340</v>
      </c>
      <c r="F1560" s="7">
        <v>13347</v>
      </c>
      <c r="G1560" s="34">
        <v>113</v>
      </c>
      <c r="H1560" s="35">
        <v>13</v>
      </c>
      <c r="I1560" s="38">
        <f t="shared" si="23"/>
        <v>13361</v>
      </c>
    </row>
    <row r="1561" spans="1:9" x14ac:dyDescent="0.2">
      <c r="A1561" s="33">
        <v>42961</v>
      </c>
      <c r="B1561" s="36">
        <v>13347</v>
      </c>
      <c r="C1561" s="7">
        <v>13351</v>
      </c>
      <c r="D1561" s="7">
        <v>13350</v>
      </c>
      <c r="E1561" s="7">
        <v>13335</v>
      </c>
      <c r="F1561" s="7">
        <v>13345</v>
      </c>
      <c r="G1561" s="34">
        <v>78</v>
      </c>
      <c r="H1561" s="35">
        <v>-8</v>
      </c>
      <c r="I1561" s="38">
        <f t="shared" si="23"/>
        <v>13349</v>
      </c>
    </row>
    <row r="1562" spans="1:9" x14ac:dyDescent="0.2">
      <c r="A1562" s="33">
        <v>42958</v>
      </c>
      <c r="B1562" s="36">
        <v>13355</v>
      </c>
      <c r="C1562" s="7">
        <v>13360</v>
      </c>
      <c r="D1562" s="7">
        <v>13375</v>
      </c>
      <c r="E1562" s="7">
        <v>13350</v>
      </c>
      <c r="F1562" s="7">
        <v>13360</v>
      </c>
      <c r="G1562" s="34">
        <v>126</v>
      </c>
      <c r="H1562" s="35">
        <v>22</v>
      </c>
      <c r="I1562" s="38">
        <f t="shared" si="23"/>
        <v>13357.5</v>
      </c>
    </row>
    <row r="1563" spans="1:9" x14ac:dyDescent="0.2">
      <c r="A1563" s="33">
        <v>42957</v>
      </c>
      <c r="B1563" s="36">
        <v>13333</v>
      </c>
      <c r="C1563" s="7">
        <v>13335</v>
      </c>
      <c r="D1563" s="7">
        <v>13350</v>
      </c>
      <c r="E1563" s="7">
        <v>13333</v>
      </c>
      <c r="F1563" s="7">
        <v>13338</v>
      </c>
      <c r="G1563" s="34">
        <v>148</v>
      </c>
      <c r="H1563" s="35">
        <v>1</v>
      </c>
      <c r="I1563" s="38">
        <f t="shared" si="23"/>
        <v>13334</v>
      </c>
    </row>
    <row r="1564" spans="1:9" x14ac:dyDescent="0.2">
      <c r="A1564" s="33">
        <v>42956</v>
      </c>
      <c r="B1564" s="36">
        <v>13332</v>
      </c>
      <c r="C1564" s="7">
        <v>13333</v>
      </c>
      <c r="D1564" s="7">
        <v>13333</v>
      </c>
      <c r="E1564" s="7">
        <v>13318</v>
      </c>
      <c r="F1564" s="7">
        <v>13320</v>
      </c>
      <c r="G1564" s="34">
        <v>140</v>
      </c>
      <c r="H1564" s="35">
        <v>20</v>
      </c>
      <c r="I1564" s="38">
        <f t="shared" si="23"/>
        <v>13332.5</v>
      </c>
    </row>
    <row r="1565" spans="1:9" x14ac:dyDescent="0.2">
      <c r="A1565" s="33">
        <v>42955</v>
      </c>
      <c r="B1565" s="36">
        <v>13312</v>
      </c>
      <c r="C1565" s="7">
        <v>13314</v>
      </c>
      <c r="D1565" s="7">
        <v>13319</v>
      </c>
      <c r="E1565" s="7">
        <v>13300</v>
      </c>
      <c r="F1565" s="7">
        <v>13319</v>
      </c>
      <c r="G1565" s="34">
        <v>124</v>
      </c>
      <c r="H1565" s="35">
        <v>-8</v>
      </c>
      <c r="I1565" s="38">
        <f t="shared" si="23"/>
        <v>13313</v>
      </c>
    </row>
    <row r="1566" spans="1:9" x14ac:dyDescent="0.2">
      <c r="A1566" s="33">
        <v>42954</v>
      </c>
      <c r="B1566" s="36">
        <v>13320</v>
      </c>
      <c r="C1566" s="7">
        <v>13322</v>
      </c>
      <c r="D1566" s="7">
        <v>13321</v>
      </c>
      <c r="E1566" s="7">
        <v>13315</v>
      </c>
      <c r="F1566" s="7">
        <v>13318</v>
      </c>
      <c r="G1566" s="34">
        <v>76</v>
      </c>
      <c r="H1566" s="35">
        <v>5</v>
      </c>
      <c r="I1566" s="38">
        <f t="shared" si="23"/>
        <v>13321</v>
      </c>
    </row>
    <row r="1567" spans="1:9" x14ac:dyDescent="0.2">
      <c r="A1567" s="33">
        <v>42951</v>
      </c>
      <c r="B1567" s="36">
        <v>13315</v>
      </c>
      <c r="C1567" s="7">
        <v>13317</v>
      </c>
      <c r="D1567" s="7">
        <v>13324</v>
      </c>
      <c r="E1567" s="7">
        <v>13312</v>
      </c>
      <c r="F1567" s="7">
        <v>13321</v>
      </c>
      <c r="G1567" s="34">
        <v>100</v>
      </c>
      <c r="H1567" s="35">
        <v>-10</v>
      </c>
      <c r="I1567" s="38">
        <f t="shared" si="23"/>
        <v>13316</v>
      </c>
    </row>
    <row r="1568" spans="1:9" x14ac:dyDescent="0.2">
      <c r="A1568" s="33">
        <v>42950</v>
      </c>
      <c r="B1568" s="36">
        <v>13325</v>
      </c>
      <c r="C1568" s="7">
        <v>13326</v>
      </c>
      <c r="D1568" s="7">
        <v>13331</v>
      </c>
      <c r="E1568" s="7">
        <v>13325</v>
      </c>
      <c r="F1568" s="7">
        <v>13328</v>
      </c>
      <c r="G1568" s="34">
        <v>122</v>
      </c>
      <c r="H1568" s="35">
        <v>2</v>
      </c>
      <c r="I1568" s="38">
        <f t="shared" ref="I1568:I1631" si="24">+(B1568+C1568)*0.5</f>
        <v>13325.5</v>
      </c>
    </row>
    <row r="1569" spans="1:9" x14ac:dyDescent="0.2">
      <c r="A1569" s="33">
        <v>42949</v>
      </c>
      <c r="B1569" s="36">
        <v>13323</v>
      </c>
      <c r="C1569" s="7">
        <v>13325</v>
      </c>
      <c r="D1569" s="7">
        <v>13333</v>
      </c>
      <c r="E1569" s="7">
        <v>13320</v>
      </c>
      <c r="F1569" s="7">
        <v>13322</v>
      </c>
      <c r="G1569" s="34">
        <v>127</v>
      </c>
      <c r="H1569" s="35">
        <v>0</v>
      </c>
      <c r="I1569" s="38">
        <f t="shared" si="24"/>
        <v>13324</v>
      </c>
    </row>
    <row r="1570" spans="1:9" x14ac:dyDescent="0.2">
      <c r="A1570" s="33">
        <v>42948</v>
      </c>
      <c r="B1570" s="36">
        <v>13323</v>
      </c>
      <c r="C1570" s="7">
        <v>13325</v>
      </c>
      <c r="D1570" s="7">
        <v>13323</v>
      </c>
      <c r="E1570" s="7">
        <v>13310</v>
      </c>
      <c r="F1570" s="7">
        <v>13315</v>
      </c>
      <c r="G1570" s="34">
        <v>90</v>
      </c>
      <c r="H1570" s="35">
        <v>-1</v>
      </c>
      <c r="I1570" s="38">
        <f t="shared" si="24"/>
        <v>13324</v>
      </c>
    </row>
    <row r="1571" spans="1:9" x14ac:dyDescent="0.2">
      <c r="A1571" s="33">
        <v>42947</v>
      </c>
      <c r="B1571" s="36">
        <v>13324</v>
      </c>
      <c r="C1571" s="7">
        <v>13326</v>
      </c>
      <c r="D1571" s="7">
        <v>13326</v>
      </c>
      <c r="E1571" s="7">
        <v>13320</v>
      </c>
      <c r="F1571" s="7">
        <v>13322</v>
      </c>
      <c r="G1571" s="34">
        <v>97</v>
      </c>
      <c r="H1571" s="35">
        <v>-2</v>
      </c>
      <c r="I1571" s="38">
        <f t="shared" si="24"/>
        <v>13325</v>
      </c>
    </row>
    <row r="1572" spans="1:9" x14ac:dyDescent="0.2">
      <c r="A1572" s="33">
        <v>42944</v>
      </c>
      <c r="B1572" s="36">
        <v>13326</v>
      </c>
      <c r="C1572" s="7">
        <v>13327</v>
      </c>
      <c r="D1572" s="7">
        <v>13330</v>
      </c>
      <c r="E1572" s="7">
        <v>13315</v>
      </c>
      <c r="F1572" s="7">
        <v>13315</v>
      </c>
      <c r="G1572" s="34">
        <v>120</v>
      </c>
      <c r="H1572" s="35">
        <v>9</v>
      </c>
      <c r="I1572" s="38">
        <f t="shared" si="24"/>
        <v>13326.5</v>
      </c>
    </row>
    <row r="1573" spans="1:9" x14ac:dyDescent="0.2">
      <c r="A1573" s="33">
        <v>42943</v>
      </c>
      <c r="B1573" s="36">
        <v>13317</v>
      </c>
      <c r="C1573" s="7">
        <v>13319</v>
      </c>
      <c r="D1573" s="7">
        <v>13320</v>
      </c>
      <c r="E1573" s="7">
        <v>13309</v>
      </c>
      <c r="F1573" s="7">
        <v>13310</v>
      </c>
      <c r="G1573" s="34">
        <v>132</v>
      </c>
      <c r="H1573" s="35">
        <v>-18</v>
      </c>
      <c r="I1573" s="38">
        <f t="shared" si="24"/>
        <v>13318</v>
      </c>
    </row>
    <row r="1574" spans="1:9" x14ac:dyDescent="0.2">
      <c r="A1574" s="33">
        <v>42942</v>
      </c>
      <c r="B1574" s="36">
        <v>13335</v>
      </c>
      <c r="C1574" s="7">
        <v>13337</v>
      </c>
      <c r="D1574" s="7">
        <v>13340</v>
      </c>
      <c r="E1574" s="7">
        <v>13328</v>
      </c>
      <c r="F1574" s="7">
        <v>13330</v>
      </c>
      <c r="G1574" s="34">
        <v>129</v>
      </c>
      <c r="H1574" s="35">
        <v>10</v>
      </c>
      <c r="I1574" s="38">
        <f t="shared" si="24"/>
        <v>13336</v>
      </c>
    </row>
    <row r="1575" spans="1:9" x14ac:dyDescent="0.2">
      <c r="A1575" s="33">
        <v>42941</v>
      </c>
      <c r="B1575" s="36">
        <v>13325</v>
      </c>
      <c r="C1575" s="7">
        <v>13327</v>
      </c>
      <c r="D1575" s="7">
        <v>13325</v>
      </c>
      <c r="E1575" s="7">
        <v>13310</v>
      </c>
      <c r="F1575" s="7">
        <v>13311</v>
      </c>
      <c r="G1575" s="34">
        <v>142</v>
      </c>
      <c r="H1575" s="35">
        <v>17</v>
      </c>
      <c r="I1575" s="38">
        <f t="shared" si="24"/>
        <v>13326</v>
      </c>
    </row>
    <row r="1576" spans="1:9" x14ac:dyDescent="0.2">
      <c r="A1576" s="33">
        <v>42940</v>
      </c>
      <c r="B1576" s="36">
        <v>13308</v>
      </c>
      <c r="C1576" s="7">
        <v>13312</v>
      </c>
      <c r="D1576" s="7">
        <v>13319</v>
      </c>
      <c r="E1576" s="7">
        <v>13304</v>
      </c>
      <c r="F1576" s="7">
        <v>13313</v>
      </c>
      <c r="G1576" s="34">
        <v>101</v>
      </c>
      <c r="H1576" s="35">
        <v>-4</v>
      </c>
      <c r="I1576" s="38">
        <f t="shared" si="24"/>
        <v>13310</v>
      </c>
    </row>
    <row r="1577" spans="1:9" x14ac:dyDescent="0.2">
      <c r="A1577" s="33">
        <v>42937</v>
      </c>
      <c r="B1577" s="36">
        <v>13312</v>
      </c>
      <c r="C1577" s="7">
        <v>13313</v>
      </c>
      <c r="D1577" s="7">
        <v>13325</v>
      </c>
      <c r="E1577" s="7">
        <v>13309</v>
      </c>
      <c r="F1577" s="7">
        <v>13319</v>
      </c>
      <c r="G1577" s="34">
        <v>119</v>
      </c>
      <c r="H1577" s="35">
        <v>-20</v>
      </c>
      <c r="I1577" s="38">
        <f t="shared" si="24"/>
        <v>13312.5</v>
      </c>
    </row>
    <row r="1578" spans="1:9" x14ac:dyDescent="0.2">
      <c r="A1578" s="33">
        <v>42936</v>
      </c>
      <c r="B1578" s="36">
        <v>13332</v>
      </c>
      <c r="C1578" s="7">
        <v>13337</v>
      </c>
      <c r="D1578" s="7">
        <v>13335</v>
      </c>
      <c r="E1578" s="7">
        <v>13310</v>
      </c>
      <c r="F1578" s="7">
        <v>13312</v>
      </c>
      <c r="G1578" s="34">
        <v>133</v>
      </c>
      <c r="H1578" s="35">
        <v>15</v>
      </c>
      <c r="I1578" s="38">
        <f t="shared" si="24"/>
        <v>13334.5</v>
      </c>
    </row>
    <row r="1579" spans="1:9" x14ac:dyDescent="0.2">
      <c r="A1579" s="33">
        <v>42935</v>
      </c>
      <c r="B1579" s="36">
        <v>13317</v>
      </c>
      <c r="C1579" s="7">
        <v>13319</v>
      </c>
      <c r="D1579" s="7">
        <v>13320</v>
      </c>
      <c r="E1579" s="7">
        <v>13295</v>
      </c>
      <c r="F1579" s="7">
        <v>13295</v>
      </c>
      <c r="G1579" s="34">
        <v>121</v>
      </c>
      <c r="H1579" s="35">
        <v>9</v>
      </c>
      <c r="I1579" s="38">
        <f t="shared" si="24"/>
        <v>13318</v>
      </c>
    </row>
    <row r="1580" spans="1:9" x14ac:dyDescent="0.2">
      <c r="A1580" s="33">
        <v>42934</v>
      </c>
      <c r="B1580" s="36">
        <v>13308</v>
      </c>
      <c r="C1580" s="7">
        <v>13310</v>
      </c>
      <c r="D1580" s="7">
        <v>13318</v>
      </c>
      <c r="E1580" s="7">
        <v>13300</v>
      </c>
      <c r="F1580" s="7">
        <v>13315</v>
      </c>
      <c r="G1580" s="34">
        <v>100</v>
      </c>
      <c r="H1580" s="35">
        <v>-17</v>
      </c>
      <c r="I1580" s="38">
        <f t="shared" si="24"/>
        <v>13309</v>
      </c>
    </row>
    <row r="1581" spans="1:9" x14ac:dyDescent="0.2">
      <c r="A1581" s="33">
        <v>42933</v>
      </c>
      <c r="B1581" s="36">
        <v>13325</v>
      </c>
      <c r="C1581" s="7">
        <v>13330</v>
      </c>
      <c r="D1581" s="7">
        <v>13329</v>
      </c>
      <c r="E1581" s="7">
        <v>13300</v>
      </c>
      <c r="F1581" s="7">
        <v>13300</v>
      </c>
      <c r="G1581" s="34">
        <v>116</v>
      </c>
      <c r="H1581" s="35">
        <v>-12</v>
      </c>
      <c r="I1581" s="38">
        <f t="shared" si="24"/>
        <v>13327.5</v>
      </c>
    </row>
    <row r="1582" spans="1:9" x14ac:dyDescent="0.2">
      <c r="A1582" s="33">
        <v>42930</v>
      </c>
      <c r="B1582" s="36">
        <v>13337</v>
      </c>
      <c r="C1582" s="7">
        <v>13340</v>
      </c>
      <c r="D1582" s="7">
        <v>13348</v>
      </c>
      <c r="E1582" s="7">
        <v>13335</v>
      </c>
      <c r="F1582" s="7">
        <v>13335</v>
      </c>
      <c r="G1582" s="34">
        <v>105</v>
      </c>
      <c r="H1582" s="35">
        <v>-9</v>
      </c>
      <c r="I1582" s="38">
        <f t="shared" si="24"/>
        <v>13338.5</v>
      </c>
    </row>
    <row r="1583" spans="1:9" x14ac:dyDescent="0.2">
      <c r="A1583" s="33">
        <v>42929</v>
      </c>
      <c r="B1583" s="36">
        <v>13346</v>
      </c>
      <c r="C1583" s="7">
        <v>13349</v>
      </c>
      <c r="D1583" s="7">
        <v>13348</v>
      </c>
      <c r="E1583" s="7">
        <v>13328</v>
      </c>
      <c r="F1583" s="7">
        <v>13348</v>
      </c>
      <c r="G1583" s="34">
        <v>118</v>
      </c>
      <c r="H1583" s="35">
        <v>-23</v>
      </c>
      <c r="I1583" s="38">
        <f t="shared" si="24"/>
        <v>13347.5</v>
      </c>
    </row>
    <row r="1584" spans="1:9" x14ac:dyDescent="0.2">
      <c r="A1584" s="33">
        <v>42928</v>
      </c>
      <c r="B1584" s="36">
        <v>13369</v>
      </c>
      <c r="C1584" s="7">
        <v>13370</v>
      </c>
      <c r="D1584" s="7">
        <v>13372</v>
      </c>
      <c r="E1584" s="7">
        <v>13358</v>
      </c>
      <c r="F1584" s="7">
        <v>13370</v>
      </c>
      <c r="G1584" s="34">
        <v>141</v>
      </c>
      <c r="H1584" s="35">
        <v>-21</v>
      </c>
      <c r="I1584" s="38">
        <f t="shared" si="24"/>
        <v>13369.5</v>
      </c>
    </row>
    <row r="1585" spans="1:9" x14ac:dyDescent="0.2">
      <c r="A1585" s="33">
        <v>42927</v>
      </c>
      <c r="B1585" s="36">
        <v>13390</v>
      </c>
      <c r="C1585" s="7">
        <v>13392</v>
      </c>
      <c r="D1585" s="7">
        <v>13400</v>
      </c>
      <c r="E1585" s="7">
        <v>13380</v>
      </c>
      <c r="F1585" s="7">
        <v>13385</v>
      </c>
      <c r="G1585" s="34">
        <v>84</v>
      </c>
      <c r="H1585" s="35">
        <v>-6</v>
      </c>
      <c r="I1585" s="38">
        <f t="shared" si="24"/>
        <v>13391</v>
      </c>
    </row>
    <row r="1586" spans="1:9" x14ac:dyDescent="0.2">
      <c r="A1586" s="33">
        <v>42926</v>
      </c>
      <c r="B1586" s="36">
        <v>13396</v>
      </c>
      <c r="C1586" s="7">
        <v>13402</v>
      </c>
      <c r="D1586" s="7">
        <v>13410</v>
      </c>
      <c r="E1586" s="7">
        <v>13390</v>
      </c>
      <c r="F1586" s="7">
        <v>13395</v>
      </c>
      <c r="G1586" s="34">
        <v>141</v>
      </c>
      <c r="H1586" s="35">
        <v>-6</v>
      </c>
      <c r="I1586" s="38">
        <f t="shared" si="24"/>
        <v>13399</v>
      </c>
    </row>
    <row r="1587" spans="1:9" x14ac:dyDescent="0.2">
      <c r="A1587" s="33">
        <v>42923</v>
      </c>
      <c r="B1587" s="36">
        <v>13402</v>
      </c>
      <c r="C1587" s="7">
        <v>13404</v>
      </c>
      <c r="D1587" s="7">
        <v>13410</v>
      </c>
      <c r="E1587" s="7">
        <v>13375</v>
      </c>
      <c r="F1587" s="7">
        <v>13380</v>
      </c>
      <c r="G1587" s="34">
        <v>119</v>
      </c>
      <c r="H1587" s="35">
        <v>15</v>
      </c>
      <c r="I1587" s="38">
        <f t="shared" si="24"/>
        <v>13403</v>
      </c>
    </row>
    <row r="1588" spans="1:9" x14ac:dyDescent="0.2">
      <c r="A1588" s="33">
        <v>42922</v>
      </c>
      <c r="B1588" s="36">
        <v>13387</v>
      </c>
      <c r="C1588" s="7">
        <v>13389</v>
      </c>
      <c r="D1588" s="7">
        <v>13387</v>
      </c>
      <c r="E1588" s="7">
        <v>13359</v>
      </c>
      <c r="F1588" s="7">
        <v>13365</v>
      </c>
      <c r="G1588" s="34">
        <v>103</v>
      </c>
      <c r="H1588" s="35">
        <v>24</v>
      </c>
      <c r="I1588" s="38">
        <f t="shared" si="24"/>
        <v>13388</v>
      </c>
    </row>
    <row r="1589" spans="1:9" x14ac:dyDescent="0.2">
      <c r="A1589" s="33">
        <v>42921</v>
      </c>
      <c r="B1589" s="36">
        <v>13363</v>
      </c>
      <c r="C1589" s="7">
        <v>13365</v>
      </c>
      <c r="D1589" s="7">
        <v>13363</v>
      </c>
      <c r="E1589" s="7">
        <v>13340</v>
      </c>
      <c r="F1589" s="7">
        <v>13350</v>
      </c>
      <c r="G1589" s="34">
        <v>99</v>
      </c>
      <c r="H1589" s="35">
        <v>1</v>
      </c>
      <c r="I1589" s="38">
        <f t="shared" si="24"/>
        <v>13364</v>
      </c>
    </row>
    <row r="1590" spans="1:9" x14ac:dyDescent="0.2">
      <c r="A1590" s="33">
        <v>42920</v>
      </c>
      <c r="B1590" s="36">
        <v>13362</v>
      </c>
      <c r="C1590" s="7">
        <v>13365</v>
      </c>
      <c r="D1590" s="7">
        <v>13390</v>
      </c>
      <c r="E1590" s="7">
        <v>13355</v>
      </c>
      <c r="F1590" s="7">
        <v>13385</v>
      </c>
      <c r="G1590" s="34">
        <v>100</v>
      </c>
      <c r="H1590" s="35">
        <v>-3</v>
      </c>
      <c r="I1590" s="38">
        <f t="shared" si="24"/>
        <v>13363.5</v>
      </c>
    </row>
    <row r="1591" spans="1:9" x14ac:dyDescent="0.2">
      <c r="A1591" s="33">
        <v>42919</v>
      </c>
      <c r="B1591" s="36">
        <v>13365</v>
      </c>
      <c r="C1591" s="7">
        <v>13370</v>
      </c>
      <c r="D1591" s="7">
        <v>13373</v>
      </c>
      <c r="E1591" s="7">
        <v>13300</v>
      </c>
      <c r="F1591" s="7">
        <v>13300</v>
      </c>
      <c r="G1591" s="34">
        <v>90</v>
      </c>
      <c r="H1591" s="35">
        <v>40</v>
      </c>
      <c r="I1591" s="38">
        <f t="shared" si="24"/>
        <v>13367.5</v>
      </c>
    </row>
    <row r="1592" spans="1:9" x14ac:dyDescent="0.2">
      <c r="A1592" s="33">
        <v>42916</v>
      </c>
      <c r="B1592" s="36">
        <v>13325</v>
      </c>
      <c r="C1592" s="7">
        <v>13330</v>
      </c>
      <c r="D1592" s="7"/>
      <c r="E1592" s="7"/>
      <c r="F1592" s="7"/>
      <c r="G1592" s="34"/>
      <c r="H1592" s="35">
        <v>0</v>
      </c>
      <c r="I1592" s="38">
        <f t="shared" si="24"/>
        <v>13327.5</v>
      </c>
    </row>
    <row r="1593" spans="1:9" x14ac:dyDescent="0.2">
      <c r="A1593" s="33">
        <v>42915</v>
      </c>
      <c r="B1593" s="36">
        <v>13325</v>
      </c>
      <c r="C1593" s="7">
        <v>13330</v>
      </c>
      <c r="D1593" s="7"/>
      <c r="E1593" s="7"/>
      <c r="F1593" s="7"/>
      <c r="G1593" s="34"/>
      <c r="H1593" s="35">
        <v>0</v>
      </c>
      <c r="I1593" s="38">
        <f t="shared" si="24"/>
        <v>13327.5</v>
      </c>
    </row>
    <row r="1594" spans="1:9" x14ac:dyDescent="0.2">
      <c r="A1594" s="33">
        <v>42914</v>
      </c>
      <c r="B1594" s="36">
        <v>13325</v>
      </c>
      <c r="C1594" s="7">
        <v>13330</v>
      </c>
      <c r="D1594" s="7"/>
      <c r="E1594" s="7"/>
      <c r="F1594" s="7"/>
      <c r="G1594" s="34"/>
      <c r="H1594" s="35">
        <v>0</v>
      </c>
      <c r="I1594" s="38">
        <f t="shared" si="24"/>
        <v>13327.5</v>
      </c>
    </row>
    <row r="1595" spans="1:9" x14ac:dyDescent="0.2">
      <c r="A1595" s="33">
        <v>42913</v>
      </c>
      <c r="B1595" s="36">
        <v>13325</v>
      </c>
      <c r="C1595" s="7">
        <v>13330</v>
      </c>
      <c r="D1595" s="7"/>
      <c r="E1595" s="7"/>
      <c r="F1595" s="7"/>
      <c r="G1595" s="34"/>
      <c r="H1595" s="35">
        <v>0</v>
      </c>
      <c r="I1595" s="38">
        <f t="shared" si="24"/>
        <v>13327.5</v>
      </c>
    </row>
    <row r="1596" spans="1:9" x14ac:dyDescent="0.2">
      <c r="A1596" s="33">
        <v>42912</v>
      </c>
      <c r="B1596" s="36">
        <v>13325</v>
      </c>
      <c r="C1596" s="7">
        <v>13330</v>
      </c>
      <c r="D1596" s="7"/>
      <c r="E1596" s="7"/>
      <c r="F1596" s="7"/>
      <c r="G1596" s="34"/>
      <c r="H1596" s="35">
        <v>0</v>
      </c>
      <c r="I1596" s="38">
        <f t="shared" si="24"/>
        <v>13327.5</v>
      </c>
    </row>
    <row r="1597" spans="1:9" x14ac:dyDescent="0.2">
      <c r="A1597" s="33">
        <v>42909</v>
      </c>
      <c r="B1597" s="36">
        <v>13325</v>
      </c>
      <c r="C1597" s="7">
        <v>13330</v>
      </c>
      <c r="D1597" s="7"/>
      <c r="E1597" s="7"/>
      <c r="F1597" s="7"/>
      <c r="G1597" s="34"/>
      <c r="H1597" s="35">
        <v>0</v>
      </c>
      <c r="I1597" s="38">
        <f t="shared" si="24"/>
        <v>13327.5</v>
      </c>
    </row>
    <row r="1598" spans="1:9" x14ac:dyDescent="0.2">
      <c r="A1598" s="33">
        <v>42908</v>
      </c>
      <c r="B1598" s="36">
        <v>13325</v>
      </c>
      <c r="C1598" s="7">
        <v>13330</v>
      </c>
      <c r="D1598" s="7">
        <v>13325</v>
      </c>
      <c r="E1598" s="7">
        <v>13305</v>
      </c>
      <c r="F1598" s="7">
        <v>13308</v>
      </c>
      <c r="G1598" s="34">
        <v>77</v>
      </c>
      <c r="H1598" s="35">
        <v>8</v>
      </c>
      <c r="I1598" s="38">
        <f t="shared" si="24"/>
        <v>13327.5</v>
      </c>
    </row>
    <row r="1599" spans="1:9" x14ac:dyDescent="0.2">
      <c r="A1599" s="33">
        <v>42907</v>
      </c>
      <c r="B1599" s="36">
        <v>13317</v>
      </c>
      <c r="C1599" s="7">
        <v>13320</v>
      </c>
      <c r="D1599" s="7">
        <v>13320</v>
      </c>
      <c r="E1599" s="7">
        <v>13292</v>
      </c>
      <c r="F1599" s="7">
        <v>13305</v>
      </c>
      <c r="G1599" s="34">
        <v>121</v>
      </c>
      <c r="H1599" s="35">
        <v>32</v>
      </c>
      <c r="I1599" s="38">
        <f t="shared" si="24"/>
        <v>13318.5</v>
      </c>
    </row>
    <row r="1600" spans="1:9" x14ac:dyDescent="0.2">
      <c r="A1600" s="33">
        <v>42906</v>
      </c>
      <c r="B1600" s="36">
        <v>13285</v>
      </c>
      <c r="C1600" s="7">
        <v>13292</v>
      </c>
      <c r="D1600" s="7">
        <v>13298</v>
      </c>
      <c r="E1600" s="7">
        <v>13285</v>
      </c>
      <c r="F1600" s="7">
        <v>13292</v>
      </c>
      <c r="G1600" s="34">
        <v>124</v>
      </c>
      <c r="H1600" s="35">
        <v>-3</v>
      </c>
      <c r="I1600" s="38">
        <f t="shared" si="24"/>
        <v>13288.5</v>
      </c>
    </row>
    <row r="1601" spans="1:9" x14ac:dyDescent="0.2">
      <c r="A1601" s="33">
        <v>42905</v>
      </c>
      <c r="B1601" s="36">
        <v>13288</v>
      </c>
      <c r="C1601" s="7">
        <v>13290</v>
      </c>
      <c r="D1601" s="7">
        <v>13290</v>
      </c>
      <c r="E1601" s="7">
        <v>13280</v>
      </c>
      <c r="F1601" s="7">
        <v>13290</v>
      </c>
      <c r="G1601" s="34">
        <v>69</v>
      </c>
      <c r="H1601" s="35">
        <v>-8</v>
      </c>
      <c r="I1601" s="38">
        <f t="shared" si="24"/>
        <v>13289</v>
      </c>
    </row>
    <row r="1602" spans="1:9" x14ac:dyDescent="0.2">
      <c r="A1602" s="33">
        <v>42902</v>
      </c>
      <c r="B1602" s="36">
        <v>13296</v>
      </c>
      <c r="C1602" s="7">
        <v>13299</v>
      </c>
      <c r="D1602" s="7">
        <v>13301</v>
      </c>
      <c r="E1602" s="7">
        <v>13280</v>
      </c>
      <c r="F1602" s="7">
        <v>13296</v>
      </c>
      <c r="G1602" s="34">
        <v>123</v>
      </c>
      <c r="H1602" s="35">
        <v>12</v>
      </c>
      <c r="I1602" s="38">
        <f t="shared" si="24"/>
        <v>13297.5</v>
      </c>
    </row>
    <row r="1603" spans="1:9" x14ac:dyDescent="0.2">
      <c r="A1603" s="33">
        <v>42901</v>
      </c>
      <c r="B1603" s="36">
        <v>13284</v>
      </c>
      <c r="C1603" s="7">
        <v>13288</v>
      </c>
      <c r="D1603" s="7">
        <v>13284</v>
      </c>
      <c r="E1603" s="7">
        <v>13270</v>
      </c>
      <c r="F1603" s="7">
        <v>13275</v>
      </c>
      <c r="G1603" s="34">
        <v>107</v>
      </c>
      <c r="H1603" s="35">
        <v>4</v>
      </c>
      <c r="I1603" s="38">
        <f t="shared" si="24"/>
        <v>13286</v>
      </c>
    </row>
    <row r="1604" spans="1:9" x14ac:dyDescent="0.2">
      <c r="A1604" s="33">
        <v>42900</v>
      </c>
      <c r="B1604" s="36">
        <v>13280</v>
      </c>
      <c r="C1604" s="7">
        <v>13285</v>
      </c>
      <c r="D1604" s="7">
        <v>13288</v>
      </c>
      <c r="E1604" s="7">
        <v>13280</v>
      </c>
      <c r="F1604" s="7">
        <v>13285</v>
      </c>
      <c r="G1604" s="34">
        <v>131</v>
      </c>
      <c r="H1604" s="35">
        <v>-10</v>
      </c>
      <c r="I1604" s="38">
        <f t="shared" si="24"/>
        <v>13282.5</v>
      </c>
    </row>
    <row r="1605" spans="1:9" x14ac:dyDescent="0.2">
      <c r="A1605" s="33">
        <v>42899</v>
      </c>
      <c r="B1605" s="36">
        <v>13290</v>
      </c>
      <c r="C1605" s="7">
        <v>13293</v>
      </c>
      <c r="D1605" s="7">
        <v>13295</v>
      </c>
      <c r="E1605" s="7">
        <v>13287</v>
      </c>
      <c r="F1605" s="7">
        <v>13295</v>
      </c>
      <c r="G1605" s="34">
        <v>143</v>
      </c>
      <c r="H1605" s="35">
        <v>-7</v>
      </c>
      <c r="I1605" s="38">
        <f t="shared" si="24"/>
        <v>13291.5</v>
      </c>
    </row>
    <row r="1606" spans="1:9" x14ac:dyDescent="0.2">
      <c r="A1606" s="33">
        <v>42898</v>
      </c>
      <c r="B1606" s="36">
        <v>13297</v>
      </c>
      <c r="C1606" s="7">
        <v>13299</v>
      </c>
      <c r="D1606" s="7">
        <v>13298</v>
      </c>
      <c r="E1606" s="7">
        <v>13280</v>
      </c>
      <c r="F1606" s="7">
        <v>13280</v>
      </c>
      <c r="G1606" s="34">
        <v>96</v>
      </c>
      <c r="H1606" s="35">
        <v>7</v>
      </c>
      <c r="I1606" s="38">
        <f t="shared" si="24"/>
        <v>13298</v>
      </c>
    </row>
    <row r="1607" spans="1:9" x14ac:dyDescent="0.2">
      <c r="A1607" s="33">
        <v>42895</v>
      </c>
      <c r="B1607" s="36">
        <v>13290</v>
      </c>
      <c r="C1607" s="7">
        <v>13293</v>
      </c>
      <c r="D1607" s="7">
        <v>13305</v>
      </c>
      <c r="E1607" s="7">
        <v>13283</v>
      </c>
      <c r="F1607" s="7">
        <v>13300</v>
      </c>
      <c r="G1607" s="34">
        <v>102</v>
      </c>
      <c r="H1607" s="35">
        <v>-6</v>
      </c>
      <c r="I1607" s="38">
        <f t="shared" si="24"/>
        <v>13291.5</v>
      </c>
    </row>
    <row r="1608" spans="1:9" x14ac:dyDescent="0.2">
      <c r="A1608" s="33">
        <v>42894</v>
      </c>
      <c r="B1608" s="36">
        <v>13296</v>
      </c>
      <c r="C1608" s="7">
        <v>13300</v>
      </c>
      <c r="D1608" s="7">
        <v>13320</v>
      </c>
      <c r="E1608" s="7">
        <v>13290</v>
      </c>
      <c r="F1608" s="7">
        <v>13315</v>
      </c>
      <c r="G1608" s="34">
        <v>99</v>
      </c>
      <c r="H1608" s="35">
        <v>-7</v>
      </c>
      <c r="I1608" s="38">
        <f t="shared" si="24"/>
        <v>13298</v>
      </c>
    </row>
    <row r="1609" spans="1:9" x14ac:dyDescent="0.2">
      <c r="A1609" s="33">
        <v>42893</v>
      </c>
      <c r="B1609" s="36">
        <v>13303</v>
      </c>
      <c r="C1609" s="7">
        <v>13305</v>
      </c>
      <c r="D1609" s="7">
        <v>13310</v>
      </c>
      <c r="E1609" s="7">
        <v>13300</v>
      </c>
      <c r="F1609" s="7">
        <v>13305</v>
      </c>
      <c r="G1609" s="34">
        <v>178</v>
      </c>
      <c r="H1609" s="35">
        <v>6</v>
      </c>
      <c r="I1609" s="38">
        <f t="shared" si="24"/>
        <v>13304</v>
      </c>
    </row>
    <row r="1610" spans="1:9" x14ac:dyDescent="0.2">
      <c r="A1610" s="33">
        <v>42892</v>
      </c>
      <c r="B1610" s="36">
        <v>13297</v>
      </c>
      <c r="C1610" s="7">
        <v>13299</v>
      </c>
      <c r="D1610" s="7">
        <v>13297</v>
      </c>
      <c r="E1610" s="7">
        <v>13275</v>
      </c>
      <c r="F1610" s="7">
        <v>13285</v>
      </c>
      <c r="G1610" s="34">
        <v>111</v>
      </c>
      <c r="H1610" s="35">
        <v>12</v>
      </c>
      <c r="I1610" s="38">
        <f t="shared" si="24"/>
        <v>13298</v>
      </c>
    </row>
    <row r="1611" spans="1:9" x14ac:dyDescent="0.2">
      <c r="A1611" s="33">
        <v>42891</v>
      </c>
      <c r="B1611" s="36">
        <v>13285</v>
      </c>
      <c r="C1611" s="7">
        <v>13287</v>
      </c>
      <c r="D1611" s="7">
        <v>13290</v>
      </c>
      <c r="E1611" s="7">
        <v>13275</v>
      </c>
      <c r="F1611" s="7">
        <v>13290</v>
      </c>
      <c r="G1611" s="34">
        <v>109</v>
      </c>
      <c r="H1611" s="35">
        <v>-18</v>
      </c>
      <c r="I1611" s="38">
        <f t="shared" si="24"/>
        <v>13286</v>
      </c>
    </row>
    <row r="1612" spans="1:9" x14ac:dyDescent="0.2">
      <c r="A1612" s="33">
        <v>42888</v>
      </c>
      <c r="B1612" s="36">
        <v>13303</v>
      </c>
      <c r="C1612" s="7">
        <v>13305</v>
      </c>
      <c r="D1612" s="7">
        <v>13313</v>
      </c>
      <c r="E1612" s="7">
        <v>13300</v>
      </c>
      <c r="F1612" s="7">
        <v>13300</v>
      </c>
      <c r="G1612" s="34">
        <v>133</v>
      </c>
      <c r="H1612" s="35">
        <v>-18</v>
      </c>
      <c r="I1612" s="38">
        <f t="shared" si="24"/>
        <v>13304</v>
      </c>
    </row>
    <row r="1613" spans="1:9" x14ac:dyDescent="0.2">
      <c r="A1613" s="33">
        <v>42887</v>
      </c>
      <c r="B1613" s="36">
        <v>13321</v>
      </c>
      <c r="C1613" s="7">
        <v>13324</v>
      </c>
      <c r="D1613" s="7"/>
      <c r="E1613" s="7"/>
      <c r="F1613" s="7"/>
      <c r="G1613" s="34"/>
      <c r="H1613" s="35">
        <v>0</v>
      </c>
      <c r="I1613" s="38">
        <f t="shared" si="24"/>
        <v>13322.5</v>
      </c>
    </row>
    <row r="1614" spans="1:9" x14ac:dyDescent="0.2">
      <c r="A1614" s="33">
        <v>42886</v>
      </c>
      <c r="B1614" s="36">
        <v>13321</v>
      </c>
      <c r="C1614" s="7">
        <v>13324</v>
      </c>
      <c r="D1614" s="7">
        <v>13322</v>
      </c>
      <c r="E1614" s="7">
        <v>13309</v>
      </c>
      <c r="F1614" s="7">
        <v>13310</v>
      </c>
      <c r="G1614" s="34">
        <v>126</v>
      </c>
      <c r="H1614" s="35">
        <v>-2</v>
      </c>
      <c r="I1614" s="38">
        <f t="shared" si="24"/>
        <v>13322.5</v>
      </c>
    </row>
    <row r="1615" spans="1:9" x14ac:dyDescent="0.2">
      <c r="A1615" s="33">
        <v>42885</v>
      </c>
      <c r="B1615" s="36">
        <v>13323</v>
      </c>
      <c r="C1615" s="7">
        <v>13324</v>
      </c>
      <c r="D1615" s="7">
        <v>13338</v>
      </c>
      <c r="E1615" s="7">
        <v>13319</v>
      </c>
      <c r="F1615" s="7">
        <v>13320</v>
      </c>
      <c r="G1615" s="34">
        <v>132</v>
      </c>
      <c r="H1615" s="35">
        <v>3</v>
      </c>
      <c r="I1615" s="38">
        <f t="shared" si="24"/>
        <v>13323.5</v>
      </c>
    </row>
    <row r="1616" spans="1:9" x14ac:dyDescent="0.2">
      <c r="A1616" s="33">
        <v>42884</v>
      </c>
      <c r="B1616" s="36">
        <v>13320</v>
      </c>
      <c r="C1616" s="7">
        <v>13323</v>
      </c>
      <c r="D1616" s="7">
        <v>13321</v>
      </c>
      <c r="E1616" s="7">
        <v>13295</v>
      </c>
      <c r="F1616" s="7">
        <v>13295</v>
      </c>
      <c r="G1616" s="34">
        <v>99</v>
      </c>
      <c r="H1616" s="35">
        <v>26</v>
      </c>
      <c r="I1616" s="38">
        <f t="shared" si="24"/>
        <v>13321.5</v>
      </c>
    </row>
    <row r="1617" spans="1:9" x14ac:dyDescent="0.2">
      <c r="A1617" s="33">
        <v>42881</v>
      </c>
      <c r="B1617" s="36">
        <v>13294</v>
      </c>
      <c r="C1617" s="7">
        <v>13295</v>
      </c>
      <c r="D1617" s="7">
        <v>13300</v>
      </c>
      <c r="E1617" s="7">
        <v>13288</v>
      </c>
      <c r="F1617" s="7">
        <v>13300</v>
      </c>
      <c r="G1617" s="34">
        <v>154</v>
      </c>
      <c r="H1617" s="35">
        <v>-13</v>
      </c>
      <c r="I1617" s="38">
        <f t="shared" si="24"/>
        <v>13294.5</v>
      </c>
    </row>
    <row r="1618" spans="1:9" x14ac:dyDescent="0.2">
      <c r="A1618" s="33">
        <v>42880</v>
      </c>
      <c r="B1618" s="36">
        <v>13307</v>
      </c>
      <c r="C1618" s="7">
        <v>13310</v>
      </c>
      <c r="D1618" s="7"/>
      <c r="E1618" s="7"/>
      <c r="F1618" s="7"/>
      <c r="G1618" s="34"/>
      <c r="H1618" s="35">
        <v>0</v>
      </c>
      <c r="I1618" s="38">
        <f t="shared" si="24"/>
        <v>13308.5</v>
      </c>
    </row>
    <row r="1619" spans="1:9" x14ac:dyDescent="0.2">
      <c r="A1619" s="33">
        <v>42879</v>
      </c>
      <c r="B1619" s="36">
        <v>13307</v>
      </c>
      <c r="C1619" s="7">
        <v>13310</v>
      </c>
      <c r="D1619" s="7">
        <v>13320</v>
      </c>
      <c r="E1619" s="7">
        <v>13305</v>
      </c>
      <c r="F1619" s="7">
        <v>13305</v>
      </c>
      <c r="G1619" s="34">
        <v>106</v>
      </c>
      <c r="H1619" s="35">
        <v>7</v>
      </c>
      <c r="I1619" s="38">
        <f t="shared" si="24"/>
        <v>13308.5</v>
      </c>
    </row>
    <row r="1620" spans="1:9" x14ac:dyDescent="0.2">
      <c r="A1620" s="33">
        <v>42878</v>
      </c>
      <c r="B1620" s="36">
        <v>13300</v>
      </c>
      <c r="C1620" s="7">
        <v>13305</v>
      </c>
      <c r="D1620" s="7">
        <v>13308</v>
      </c>
      <c r="E1620" s="7">
        <v>13285</v>
      </c>
      <c r="F1620" s="7">
        <v>13286</v>
      </c>
      <c r="G1620" s="34">
        <v>165</v>
      </c>
      <c r="H1620" s="35">
        <v>0</v>
      </c>
      <c r="I1620" s="38">
        <f t="shared" si="24"/>
        <v>13302.5</v>
      </c>
    </row>
    <row r="1621" spans="1:9" x14ac:dyDescent="0.2">
      <c r="A1621" s="33">
        <v>42877</v>
      </c>
      <c r="B1621" s="36">
        <v>13300</v>
      </c>
      <c r="C1621" s="7">
        <v>13305</v>
      </c>
      <c r="D1621" s="7">
        <v>13306</v>
      </c>
      <c r="E1621" s="7">
        <v>13280</v>
      </c>
      <c r="F1621" s="7">
        <v>13290</v>
      </c>
      <c r="G1621" s="34">
        <v>109</v>
      </c>
      <c r="H1621" s="35">
        <v>-30</v>
      </c>
      <c r="I1621" s="38">
        <f t="shared" si="24"/>
        <v>13302.5</v>
      </c>
    </row>
    <row r="1622" spans="1:9" x14ac:dyDescent="0.2">
      <c r="A1622" s="33">
        <v>42874</v>
      </c>
      <c r="B1622" s="36">
        <v>13330</v>
      </c>
      <c r="C1622" s="7">
        <v>13340</v>
      </c>
      <c r="D1622" s="7">
        <v>13415</v>
      </c>
      <c r="E1622" s="7">
        <v>13310</v>
      </c>
      <c r="F1622" s="7">
        <v>13390</v>
      </c>
      <c r="G1622" s="34">
        <v>138</v>
      </c>
      <c r="H1622" s="35">
        <v>-23</v>
      </c>
      <c r="I1622" s="38">
        <f t="shared" si="24"/>
        <v>13335</v>
      </c>
    </row>
    <row r="1623" spans="1:9" x14ac:dyDescent="0.2">
      <c r="A1623" s="33">
        <v>42873</v>
      </c>
      <c r="B1623" s="36">
        <v>13353</v>
      </c>
      <c r="C1623" s="7">
        <v>13358</v>
      </c>
      <c r="D1623" s="7">
        <v>13355</v>
      </c>
      <c r="E1623" s="7">
        <v>13325</v>
      </c>
      <c r="F1623" s="7">
        <v>13335</v>
      </c>
      <c r="G1623" s="34">
        <v>153</v>
      </c>
      <c r="H1623" s="35">
        <v>31</v>
      </c>
      <c r="I1623" s="38">
        <f t="shared" si="24"/>
        <v>13355.5</v>
      </c>
    </row>
    <row r="1624" spans="1:9" x14ac:dyDescent="0.2">
      <c r="A1624" s="33">
        <v>42872</v>
      </c>
      <c r="B1624" s="36">
        <v>13322</v>
      </c>
      <c r="C1624" s="7">
        <v>13325</v>
      </c>
      <c r="D1624" s="7">
        <v>13322</v>
      </c>
      <c r="E1624" s="7">
        <v>13280</v>
      </c>
      <c r="F1624" s="7">
        <v>13285</v>
      </c>
      <c r="G1624" s="34">
        <v>106</v>
      </c>
      <c r="H1624" s="35">
        <v>26</v>
      </c>
      <c r="I1624" s="38">
        <f t="shared" si="24"/>
        <v>13323.5</v>
      </c>
    </row>
    <row r="1625" spans="1:9" x14ac:dyDescent="0.2">
      <c r="A1625" s="33">
        <v>42871</v>
      </c>
      <c r="B1625" s="36">
        <v>13296</v>
      </c>
      <c r="C1625" s="7">
        <v>13305</v>
      </c>
      <c r="D1625" s="7">
        <v>13304</v>
      </c>
      <c r="E1625" s="7">
        <v>13290</v>
      </c>
      <c r="F1625" s="7">
        <v>13290</v>
      </c>
      <c r="G1625" s="34">
        <v>157</v>
      </c>
      <c r="H1625" s="35">
        <v>-7</v>
      </c>
      <c r="I1625" s="38">
        <f t="shared" si="24"/>
        <v>13300.5</v>
      </c>
    </row>
    <row r="1626" spans="1:9" x14ac:dyDescent="0.2">
      <c r="A1626" s="33">
        <v>42870</v>
      </c>
      <c r="B1626" s="36">
        <v>13303</v>
      </c>
      <c r="C1626" s="7">
        <v>13305</v>
      </c>
      <c r="D1626" s="7">
        <v>13320</v>
      </c>
      <c r="E1626" s="7">
        <v>13297</v>
      </c>
      <c r="F1626" s="7">
        <v>13315</v>
      </c>
      <c r="G1626" s="34">
        <v>78</v>
      </c>
      <c r="H1626" s="35">
        <v>-24</v>
      </c>
      <c r="I1626" s="38">
        <f t="shared" si="24"/>
        <v>13304</v>
      </c>
    </row>
    <row r="1627" spans="1:9" x14ac:dyDescent="0.2">
      <c r="A1627" s="33">
        <v>42867</v>
      </c>
      <c r="B1627" s="36">
        <v>13327</v>
      </c>
      <c r="C1627" s="7">
        <v>13332</v>
      </c>
      <c r="D1627" s="7">
        <v>13345</v>
      </c>
      <c r="E1627" s="7">
        <v>13317</v>
      </c>
      <c r="F1627" s="7">
        <v>13335</v>
      </c>
      <c r="G1627" s="34">
        <v>140</v>
      </c>
      <c r="H1627" s="35">
        <v>-28</v>
      </c>
      <c r="I1627" s="38">
        <f t="shared" si="24"/>
        <v>13329.5</v>
      </c>
    </row>
    <row r="1628" spans="1:9" x14ac:dyDescent="0.2">
      <c r="A1628" s="33">
        <v>42866</v>
      </c>
      <c r="B1628" s="36">
        <v>13355</v>
      </c>
      <c r="C1628" s="7">
        <v>13360</v>
      </c>
      <c r="D1628" s="7"/>
      <c r="E1628" s="7"/>
      <c r="F1628" s="7"/>
      <c r="G1628" s="34"/>
      <c r="H1628" s="35">
        <v>0</v>
      </c>
      <c r="I1628" s="38">
        <f t="shared" si="24"/>
        <v>13357.5</v>
      </c>
    </row>
    <row r="1629" spans="1:9" x14ac:dyDescent="0.2">
      <c r="A1629" s="33">
        <v>42865</v>
      </c>
      <c r="B1629" s="36">
        <v>13355</v>
      </c>
      <c r="C1629" s="7">
        <v>13360</v>
      </c>
      <c r="D1629" s="7">
        <v>13362</v>
      </c>
      <c r="E1629" s="7">
        <v>13339</v>
      </c>
      <c r="F1629" s="7">
        <v>13339</v>
      </c>
      <c r="G1629" s="34">
        <v>88</v>
      </c>
      <c r="H1629" s="35">
        <v>10</v>
      </c>
      <c r="I1629" s="38">
        <f t="shared" si="24"/>
        <v>13357.5</v>
      </c>
    </row>
    <row r="1630" spans="1:9" x14ac:dyDescent="0.2">
      <c r="A1630" s="33">
        <v>42864</v>
      </c>
      <c r="B1630" s="36">
        <v>13345</v>
      </c>
      <c r="C1630" s="7">
        <v>13355</v>
      </c>
      <c r="D1630" s="7">
        <v>13348</v>
      </c>
      <c r="E1630" s="7">
        <v>13310</v>
      </c>
      <c r="F1630" s="7">
        <v>13310</v>
      </c>
      <c r="G1630" s="34">
        <v>134</v>
      </c>
      <c r="H1630" s="35">
        <v>38</v>
      </c>
      <c r="I1630" s="38">
        <f t="shared" si="24"/>
        <v>13350</v>
      </c>
    </row>
    <row r="1631" spans="1:9" x14ac:dyDescent="0.2">
      <c r="A1631" s="33">
        <v>42863</v>
      </c>
      <c r="B1631" s="36">
        <v>13307</v>
      </c>
      <c r="C1631" s="7">
        <v>13312</v>
      </c>
      <c r="D1631" s="7">
        <v>13330</v>
      </c>
      <c r="E1631" s="7">
        <v>13300</v>
      </c>
      <c r="F1631" s="7">
        <v>13325</v>
      </c>
      <c r="G1631" s="34">
        <v>114</v>
      </c>
      <c r="H1631" s="35">
        <v>-20</v>
      </c>
      <c r="I1631" s="38">
        <f t="shared" si="24"/>
        <v>13309.5</v>
      </c>
    </row>
    <row r="1632" spans="1:9" x14ac:dyDescent="0.2">
      <c r="A1632" s="33">
        <v>42860</v>
      </c>
      <c r="B1632" s="36">
        <v>13327</v>
      </c>
      <c r="C1632" s="7">
        <v>13333</v>
      </c>
      <c r="D1632" s="7">
        <v>13345</v>
      </c>
      <c r="E1632" s="7">
        <v>13325</v>
      </c>
      <c r="F1632" s="7">
        <v>13330</v>
      </c>
      <c r="G1632" s="34">
        <v>102</v>
      </c>
      <c r="H1632" s="35">
        <v>1</v>
      </c>
      <c r="I1632" s="38">
        <f t="shared" ref="I1632:I1695" si="25">+(B1632+C1632)*0.5</f>
        <v>13330</v>
      </c>
    </row>
    <row r="1633" spans="1:9" x14ac:dyDescent="0.2">
      <c r="A1633" s="33">
        <v>42859</v>
      </c>
      <c r="B1633" s="36">
        <v>13326</v>
      </c>
      <c r="C1633" s="7">
        <v>13329</v>
      </c>
      <c r="D1633" s="7">
        <v>13332</v>
      </c>
      <c r="E1633" s="7">
        <v>13315</v>
      </c>
      <c r="F1633" s="7">
        <v>13315</v>
      </c>
      <c r="G1633" s="34">
        <v>122</v>
      </c>
      <c r="H1633" s="35">
        <v>23</v>
      </c>
      <c r="I1633" s="38">
        <f t="shared" si="25"/>
        <v>13327.5</v>
      </c>
    </row>
    <row r="1634" spans="1:9" x14ac:dyDescent="0.2">
      <c r="A1634" s="33">
        <v>42858</v>
      </c>
      <c r="B1634" s="36">
        <v>13303</v>
      </c>
      <c r="C1634" s="7">
        <v>13308</v>
      </c>
      <c r="D1634" s="7">
        <v>13310</v>
      </c>
      <c r="E1634" s="7">
        <v>13289</v>
      </c>
      <c r="F1634" s="7">
        <v>13290</v>
      </c>
      <c r="G1634" s="34">
        <v>141</v>
      </c>
      <c r="H1634" s="35">
        <v>-7</v>
      </c>
      <c r="I1634" s="38">
        <f t="shared" si="25"/>
        <v>13305.5</v>
      </c>
    </row>
    <row r="1635" spans="1:9" x14ac:dyDescent="0.2">
      <c r="A1635" s="33">
        <v>42857</v>
      </c>
      <c r="B1635" s="36">
        <v>13310</v>
      </c>
      <c r="C1635" s="7">
        <v>13313</v>
      </c>
      <c r="D1635" s="7">
        <v>13325</v>
      </c>
      <c r="E1635" s="7">
        <v>13295</v>
      </c>
      <c r="F1635" s="7">
        <v>13325</v>
      </c>
      <c r="G1635" s="34">
        <v>113</v>
      </c>
      <c r="H1635" s="35">
        <v>-17</v>
      </c>
      <c r="I1635" s="38">
        <f t="shared" si="25"/>
        <v>13311.5</v>
      </c>
    </row>
    <row r="1636" spans="1:9" x14ac:dyDescent="0.2">
      <c r="A1636" s="33">
        <v>42856</v>
      </c>
      <c r="B1636" s="36">
        <v>13327</v>
      </c>
      <c r="C1636" s="7">
        <v>13331</v>
      </c>
      <c r="D1636" s="7"/>
      <c r="E1636" s="7"/>
      <c r="F1636" s="7"/>
      <c r="G1636" s="34"/>
      <c r="H1636" s="35">
        <v>0</v>
      </c>
      <c r="I1636" s="38">
        <f t="shared" si="25"/>
        <v>13329</v>
      </c>
    </row>
    <row r="1637" spans="1:9" x14ac:dyDescent="0.2">
      <c r="A1637" s="33">
        <v>42853</v>
      </c>
      <c r="B1637" s="36">
        <v>13327</v>
      </c>
      <c r="C1637" s="7">
        <v>13331</v>
      </c>
      <c r="D1637" s="7">
        <v>13338</v>
      </c>
      <c r="E1637" s="7">
        <v>13315</v>
      </c>
      <c r="F1637" s="7">
        <v>13315</v>
      </c>
      <c r="G1637" s="34">
        <v>169</v>
      </c>
      <c r="H1637" s="35">
        <v>14</v>
      </c>
      <c r="I1637" s="38">
        <f t="shared" si="25"/>
        <v>13329</v>
      </c>
    </row>
    <row r="1638" spans="1:9" x14ac:dyDescent="0.2">
      <c r="A1638" s="33">
        <v>42852</v>
      </c>
      <c r="B1638" s="36">
        <v>13313</v>
      </c>
      <c r="C1638" s="7">
        <v>13315</v>
      </c>
      <c r="D1638" s="7">
        <v>13316</v>
      </c>
      <c r="E1638" s="7">
        <v>13285</v>
      </c>
      <c r="F1638" s="7">
        <v>13285</v>
      </c>
      <c r="G1638" s="34">
        <v>160</v>
      </c>
      <c r="H1638" s="35">
        <v>30</v>
      </c>
      <c r="I1638" s="38">
        <f t="shared" si="25"/>
        <v>13314</v>
      </c>
    </row>
    <row r="1639" spans="1:9" x14ac:dyDescent="0.2">
      <c r="A1639" s="33">
        <v>42851</v>
      </c>
      <c r="B1639" s="36">
        <v>13283</v>
      </c>
      <c r="C1639" s="7">
        <v>13287</v>
      </c>
      <c r="D1639" s="7">
        <v>13285</v>
      </c>
      <c r="E1639" s="7">
        <v>13270</v>
      </c>
      <c r="F1639" s="7">
        <v>13277</v>
      </c>
      <c r="G1639" s="34">
        <v>132</v>
      </c>
      <c r="H1639" s="35">
        <v>8</v>
      </c>
      <c r="I1639" s="38">
        <f t="shared" si="25"/>
        <v>13285</v>
      </c>
    </row>
    <row r="1640" spans="1:9" x14ac:dyDescent="0.2">
      <c r="A1640" s="33">
        <v>42850</v>
      </c>
      <c r="B1640" s="36">
        <v>13275</v>
      </c>
      <c r="C1640" s="7">
        <v>13280</v>
      </c>
      <c r="D1640" s="7">
        <v>13303</v>
      </c>
      <c r="E1640" s="7">
        <v>13275</v>
      </c>
      <c r="F1640" s="7">
        <v>13300</v>
      </c>
      <c r="G1640" s="34">
        <v>191</v>
      </c>
      <c r="H1640" s="35">
        <v>-41</v>
      </c>
      <c r="I1640" s="38">
        <f t="shared" si="25"/>
        <v>13277.5</v>
      </c>
    </row>
    <row r="1641" spans="1:9" x14ac:dyDescent="0.2">
      <c r="A1641" s="33">
        <v>42849</v>
      </c>
      <c r="B1641" s="36">
        <v>13316</v>
      </c>
      <c r="C1641" s="7">
        <v>13324</v>
      </c>
      <c r="D1641" s="7"/>
      <c r="E1641" s="7"/>
      <c r="F1641" s="7"/>
      <c r="G1641" s="34"/>
      <c r="H1641" s="35">
        <v>0</v>
      </c>
      <c r="I1641" s="38">
        <f t="shared" si="25"/>
        <v>13320</v>
      </c>
    </row>
    <row r="1642" spans="1:9" x14ac:dyDescent="0.2">
      <c r="A1642" s="33">
        <v>42846</v>
      </c>
      <c r="B1642" s="36">
        <v>13316</v>
      </c>
      <c r="C1642" s="7">
        <v>13324</v>
      </c>
      <c r="D1642" s="7">
        <v>13320</v>
      </c>
      <c r="E1642" s="7">
        <v>13308</v>
      </c>
      <c r="F1642" s="7">
        <v>13317</v>
      </c>
      <c r="G1642" s="34">
        <v>83</v>
      </c>
      <c r="H1642" s="35">
        <v>-6</v>
      </c>
      <c r="I1642" s="38">
        <f t="shared" si="25"/>
        <v>13320</v>
      </c>
    </row>
    <row r="1643" spans="1:9" x14ac:dyDescent="0.2">
      <c r="A1643" s="33">
        <v>42845</v>
      </c>
      <c r="B1643" s="36">
        <v>13322</v>
      </c>
      <c r="C1643" s="7">
        <v>13325</v>
      </c>
      <c r="D1643" s="7">
        <v>13335</v>
      </c>
      <c r="E1643" s="7">
        <v>13314</v>
      </c>
      <c r="F1643" s="7">
        <v>13320</v>
      </c>
      <c r="G1643" s="34">
        <v>115</v>
      </c>
      <c r="H1643" s="35">
        <v>27</v>
      </c>
      <c r="I1643" s="38">
        <f t="shared" si="25"/>
        <v>13323.5</v>
      </c>
    </row>
    <row r="1644" spans="1:9" x14ac:dyDescent="0.2">
      <c r="A1644" s="33">
        <v>42844</v>
      </c>
      <c r="B1644" s="36">
        <v>13295</v>
      </c>
      <c r="C1644" s="7">
        <v>13298</v>
      </c>
      <c r="D1644" s="7"/>
      <c r="E1644" s="7"/>
      <c r="F1644" s="7"/>
      <c r="G1644" s="34"/>
      <c r="H1644" s="35">
        <v>0</v>
      </c>
      <c r="I1644" s="38">
        <f t="shared" si="25"/>
        <v>13296.5</v>
      </c>
    </row>
    <row r="1645" spans="1:9" x14ac:dyDescent="0.2">
      <c r="A1645" s="33">
        <v>42843</v>
      </c>
      <c r="B1645" s="36">
        <v>13295</v>
      </c>
      <c r="C1645" s="7">
        <v>13298</v>
      </c>
      <c r="D1645" s="7">
        <v>13300</v>
      </c>
      <c r="E1645" s="7">
        <v>13275</v>
      </c>
      <c r="F1645" s="7">
        <v>13275</v>
      </c>
      <c r="G1645" s="34">
        <v>85</v>
      </c>
      <c r="H1645" s="35">
        <v>12</v>
      </c>
      <c r="I1645" s="38">
        <f t="shared" si="25"/>
        <v>13296.5</v>
      </c>
    </row>
    <row r="1646" spans="1:9" x14ac:dyDescent="0.2">
      <c r="A1646" s="33">
        <v>42842</v>
      </c>
      <c r="B1646" s="36">
        <v>13283</v>
      </c>
      <c r="C1646" s="7">
        <v>13288</v>
      </c>
      <c r="D1646" s="7">
        <v>13283</v>
      </c>
      <c r="E1646" s="7">
        <v>13250</v>
      </c>
      <c r="F1646" s="7">
        <v>13250</v>
      </c>
      <c r="G1646" s="34">
        <v>90</v>
      </c>
      <c r="H1646" s="35">
        <v>28</v>
      </c>
      <c r="I1646" s="38">
        <f t="shared" si="25"/>
        <v>13285.5</v>
      </c>
    </row>
    <row r="1647" spans="1:9" x14ac:dyDescent="0.2">
      <c r="A1647" s="33">
        <v>42839</v>
      </c>
      <c r="B1647" s="36">
        <v>13255</v>
      </c>
      <c r="C1647" s="7">
        <v>13258</v>
      </c>
      <c r="D1647" s="7"/>
      <c r="E1647" s="7"/>
      <c r="F1647" s="7"/>
      <c r="G1647" s="34"/>
      <c r="H1647" s="35">
        <v>0</v>
      </c>
      <c r="I1647" s="38">
        <f t="shared" si="25"/>
        <v>13256.5</v>
      </c>
    </row>
    <row r="1648" spans="1:9" x14ac:dyDescent="0.2">
      <c r="A1648" s="33">
        <v>42838</v>
      </c>
      <c r="B1648" s="36">
        <v>13255</v>
      </c>
      <c r="C1648" s="7">
        <v>13258</v>
      </c>
      <c r="D1648" s="7">
        <v>13266</v>
      </c>
      <c r="E1648" s="7">
        <v>13245</v>
      </c>
      <c r="F1648" s="7">
        <v>13250</v>
      </c>
      <c r="G1648" s="34">
        <v>237</v>
      </c>
      <c r="H1648" s="35">
        <v>-19</v>
      </c>
      <c r="I1648" s="38">
        <f t="shared" si="25"/>
        <v>13256.5</v>
      </c>
    </row>
    <row r="1649" spans="1:9" x14ac:dyDescent="0.2">
      <c r="A1649" s="33">
        <v>42837</v>
      </c>
      <c r="B1649" s="36">
        <v>13274</v>
      </c>
      <c r="C1649" s="7">
        <v>13276</v>
      </c>
      <c r="D1649" s="7">
        <v>13300</v>
      </c>
      <c r="E1649" s="7">
        <v>13265</v>
      </c>
      <c r="F1649" s="7">
        <v>13285</v>
      </c>
      <c r="G1649" s="34">
        <v>153</v>
      </c>
      <c r="H1649" s="35">
        <v>-6</v>
      </c>
      <c r="I1649" s="38">
        <f t="shared" si="25"/>
        <v>13275</v>
      </c>
    </row>
    <row r="1650" spans="1:9" x14ac:dyDescent="0.2">
      <c r="A1650" s="33">
        <v>42836</v>
      </c>
      <c r="B1650" s="36">
        <v>13280</v>
      </c>
      <c r="C1650" s="7">
        <v>13283</v>
      </c>
      <c r="D1650" s="7">
        <v>13290</v>
      </c>
      <c r="E1650" s="7">
        <v>13270</v>
      </c>
      <c r="F1650" s="7">
        <v>13270</v>
      </c>
      <c r="G1650" s="34">
        <v>233</v>
      </c>
      <c r="H1650" s="35">
        <v>-5</v>
      </c>
      <c r="I1650" s="38">
        <f t="shared" si="25"/>
        <v>13281.5</v>
      </c>
    </row>
    <row r="1651" spans="1:9" x14ac:dyDescent="0.2">
      <c r="A1651" s="33">
        <v>42835</v>
      </c>
      <c r="B1651" s="36">
        <v>13285</v>
      </c>
      <c r="C1651" s="7">
        <v>13288</v>
      </c>
      <c r="D1651" s="7">
        <v>13328</v>
      </c>
      <c r="E1651" s="7">
        <v>13275</v>
      </c>
      <c r="F1651" s="7">
        <v>13325</v>
      </c>
      <c r="G1651" s="34">
        <v>137</v>
      </c>
      <c r="H1651" s="35">
        <v>-30</v>
      </c>
      <c r="I1651" s="38">
        <f t="shared" si="25"/>
        <v>13286.5</v>
      </c>
    </row>
    <row r="1652" spans="1:9" x14ac:dyDescent="0.2">
      <c r="A1652" s="33">
        <v>42832</v>
      </c>
      <c r="B1652" s="36">
        <v>13315</v>
      </c>
      <c r="C1652" s="7">
        <v>13320</v>
      </c>
      <c r="D1652" s="7">
        <v>13345</v>
      </c>
      <c r="E1652" s="7">
        <v>13315</v>
      </c>
      <c r="F1652" s="7">
        <v>13330</v>
      </c>
      <c r="G1652" s="34">
        <v>109</v>
      </c>
      <c r="H1652" s="35">
        <v>-18</v>
      </c>
      <c r="I1652" s="38">
        <f t="shared" si="25"/>
        <v>13317.5</v>
      </c>
    </row>
    <row r="1653" spans="1:9" x14ac:dyDescent="0.2">
      <c r="A1653" s="33">
        <v>42831</v>
      </c>
      <c r="B1653" s="36">
        <v>13333</v>
      </c>
      <c r="C1653" s="7">
        <v>13338</v>
      </c>
      <c r="D1653" s="7">
        <v>13337</v>
      </c>
      <c r="E1653" s="7">
        <v>13315</v>
      </c>
      <c r="F1653" s="7">
        <v>13315</v>
      </c>
      <c r="G1653" s="34">
        <v>157</v>
      </c>
      <c r="H1653" s="35">
        <v>13</v>
      </c>
      <c r="I1653" s="38">
        <f t="shared" si="25"/>
        <v>13335.5</v>
      </c>
    </row>
    <row r="1654" spans="1:9" x14ac:dyDescent="0.2">
      <c r="A1654" s="33">
        <v>42830</v>
      </c>
      <c r="B1654" s="36">
        <v>13320</v>
      </c>
      <c r="C1654" s="7">
        <v>13322</v>
      </c>
      <c r="D1654" s="7">
        <v>13330</v>
      </c>
      <c r="E1654" s="7">
        <v>13315</v>
      </c>
      <c r="F1654" s="7">
        <v>13325</v>
      </c>
      <c r="G1654" s="34">
        <v>97</v>
      </c>
      <c r="H1654" s="35">
        <v>-7</v>
      </c>
      <c r="I1654" s="38">
        <f t="shared" si="25"/>
        <v>13321</v>
      </c>
    </row>
    <row r="1655" spans="1:9" x14ac:dyDescent="0.2">
      <c r="A1655" s="33">
        <v>42829</v>
      </c>
      <c r="B1655" s="36">
        <v>13327</v>
      </c>
      <c r="C1655" s="7">
        <v>13329</v>
      </c>
      <c r="D1655" s="7">
        <v>13329</v>
      </c>
      <c r="E1655" s="7">
        <v>13318</v>
      </c>
      <c r="F1655" s="7">
        <v>13325</v>
      </c>
      <c r="G1655" s="34">
        <v>97</v>
      </c>
      <c r="H1655" s="35">
        <v>7</v>
      </c>
      <c r="I1655" s="38">
        <f t="shared" si="25"/>
        <v>13328</v>
      </c>
    </row>
    <row r="1656" spans="1:9" x14ac:dyDescent="0.2">
      <c r="A1656" s="33">
        <v>42828</v>
      </c>
      <c r="B1656" s="36">
        <v>13320</v>
      </c>
      <c r="C1656" s="7">
        <v>13325</v>
      </c>
      <c r="D1656" s="7">
        <v>13325</v>
      </c>
      <c r="E1656" s="7">
        <v>13315</v>
      </c>
      <c r="F1656" s="7">
        <v>13315</v>
      </c>
      <c r="G1656" s="34">
        <v>71</v>
      </c>
      <c r="H1656" s="35">
        <v>-3</v>
      </c>
      <c r="I1656" s="38">
        <f t="shared" si="25"/>
        <v>13322.5</v>
      </c>
    </row>
    <row r="1657" spans="1:9" x14ac:dyDescent="0.2">
      <c r="A1657" s="33">
        <v>42825</v>
      </c>
      <c r="B1657" s="36">
        <v>13323</v>
      </c>
      <c r="C1657" s="7">
        <v>13328</v>
      </c>
      <c r="D1657" s="7">
        <v>13325</v>
      </c>
      <c r="E1657" s="7">
        <v>13310</v>
      </c>
      <c r="F1657" s="7">
        <v>13315</v>
      </c>
      <c r="G1657" s="34">
        <v>77</v>
      </c>
      <c r="H1657" s="35">
        <v>10</v>
      </c>
      <c r="I1657" s="38">
        <f t="shared" si="25"/>
        <v>13325.5</v>
      </c>
    </row>
    <row r="1658" spans="1:9" x14ac:dyDescent="0.2">
      <c r="A1658" s="33">
        <v>42824</v>
      </c>
      <c r="B1658" s="36">
        <v>13313</v>
      </c>
      <c r="C1658" s="7">
        <v>13319</v>
      </c>
      <c r="D1658" s="7">
        <v>13325</v>
      </c>
      <c r="E1658" s="7">
        <v>13300</v>
      </c>
      <c r="F1658" s="7">
        <v>13305</v>
      </c>
      <c r="G1658" s="34">
        <v>164</v>
      </c>
      <c r="H1658" s="35">
        <v>1</v>
      </c>
      <c r="I1658" s="38">
        <f t="shared" si="25"/>
        <v>13316</v>
      </c>
    </row>
    <row r="1659" spans="1:9" x14ac:dyDescent="0.2">
      <c r="A1659" s="33">
        <v>42823</v>
      </c>
      <c r="B1659" s="36">
        <v>13312</v>
      </c>
      <c r="C1659" s="7">
        <v>13315</v>
      </c>
      <c r="D1659" s="7">
        <v>13332</v>
      </c>
      <c r="E1659" s="7">
        <v>13305</v>
      </c>
      <c r="F1659" s="7">
        <v>13310</v>
      </c>
      <c r="G1659" s="34">
        <v>156</v>
      </c>
      <c r="H1659" s="35">
        <v>3</v>
      </c>
      <c r="I1659" s="38">
        <f t="shared" si="25"/>
        <v>13313.5</v>
      </c>
    </row>
    <row r="1660" spans="1:9" x14ac:dyDescent="0.2">
      <c r="A1660" s="33">
        <v>42822</v>
      </c>
      <c r="B1660" s="36">
        <v>13309</v>
      </c>
      <c r="C1660" s="7">
        <v>13312</v>
      </c>
      <c r="D1660" s="7"/>
      <c r="E1660" s="7"/>
      <c r="F1660" s="7"/>
      <c r="G1660" s="34"/>
      <c r="H1660" s="35">
        <v>0</v>
      </c>
      <c r="I1660" s="38">
        <f t="shared" si="25"/>
        <v>13310.5</v>
      </c>
    </row>
    <row r="1661" spans="1:9" x14ac:dyDescent="0.2">
      <c r="A1661" s="33">
        <v>42821</v>
      </c>
      <c r="B1661" s="36">
        <v>13309</v>
      </c>
      <c r="C1661" s="7">
        <v>13312</v>
      </c>
      <c r="D1661" s="7">
        <v>13318</v>
      </c>
      <c r="E1661" s="7">
        <v>13300</v>
      </c>
      <c r="F1661" s="7">
        <v>13300</v>
      </c>
      <c r="G1661" s="34">
        <v>142</v>
      </c>
      <c r="H1661" s="35">
        <v>-17</v>
      </c>
      <c r="I1661" s="38">
        <f t="shared" si="25"/>
        <v>13310.5</v>
      </c>
    </row>
    <row r="1662" spans="1:9" x14ac:dyDescent="0.2">
      <c r="A1662" s="33">
        <v>42818</v>
      </c>
      <c r="B1662" s="36">
        <v>13326</v>
      </c>
      <c r="C1662" s="7">
        <v>13327</v>
      </c>
      <c r="D1662" s="7">
        <v>13335</v>
      </c>
      <c r="E1662" s="7">
        <v>13320</v>
      </c>
      <c r="F1662" s="7">
        <v>13320</v>
      </c>
      <c r="G1662" s="34">
        <v>148</v>
      </c>
      <c r="H1662" s="35">
        <v>2</v>
      </c>
      <c r="I1662" s="38">
        <f t="shared" si="25"/>
        <v>13326.5</v>
      </c>
    </row>
    <row r="1663" spans="1:9" x14ac:dyDescent="0.2">
      <c r="A1663" s="33">
        <v>42817</v>
      </c>
      <c r="B1663" s="36">
        <v>13324</v>
      </c>
      <c r="C1663" s="7">
        <v>13325</v>
      </c>
      <c r="D1663" s="7">
        <v>13331</v>
      </c>
      <c r="E1663" s="7">
        <v>13320</v>
      </c>
      <c r="F1663" s="7">
        <v>13325</v>
      </c>
      <c r="G1663" s="34">
        <v>116</v>
      </c>
      <c r="H1663" s="35">
        <v>-4</v>
      </c>
      <c r="I1663" s="38">
        <f t="shared" si="25"/>
        <v>13324.5</v>
      </c>
    </row>
    <row r="1664" spans="1:9" x14ac:dyDescent="0.2">
      <c r="A1664" s="33">
        <v>42816</v>
      </c>
      <c r="B1664" s="36">
        <v>13328</v>
      </c>
      <c r="C1664" s="7">
        <v>13330</v>
      </c>
      <c r="D1664" s="7">
        <v>13338</v>
      </c>
      <c r="E1664" s="7">
        <v>13315</v>
      </c>
      <c r="F1664" s="7">
        <v>13325</v>
      </c>
      <c r="G1664" s="34">
        <v>180</v>
      </c>
      <c r="H1664" s="35">
        <v>10</v>
      </c>
      <c r="I1664" s="38">
        <f t="shared" si="25"/>
        <v>13329</v>
      </c>
    </row>
    <row r="1665" spans="1:9" x14ac:dyDescent="0.2">
      <c r="A1665" s="33">
        <v>42815</v>
      </c>
      <c r="B1665" s="36">
        <v>13318</v>
      </c>
      <c r="C1665" s="7">
        <v>13320</v>
      </c>
      <c r="D1665" s="7">
        <v>13323</v>
      </c>
      <c r="E1665" s="7">
        <v>13295</v>
      </c>
      <c r="F1665" s="7">
        <v>13300</v>
      </c>
      <c r="G1665" s="34">
        <v>138</v>
      </c>
      <c r="H1665" s="35">
        <v>6</v>
      </c>
      <c r="I1665" s="38">
        <f t="shared" si="25"/>
        <v>13319</v>
      </c>
    </row>
    <row r="1666" spans="1:9" x14ac:dyDescent="0.2">
      <c r="A1666" s="33">
        <v>42814</v>
      </c>
      <c r="B1666" s="36">
        <v>13312</v>
      </c>
      <c r="C1666" s="7">
        <v>13315</v>
      </c>
      <c r="D1666" s="7">
        <v>13335</v>
      </c>
      <c r="E1666" s="7">
        <v>13305</v>
      </c>
      <c r="F1666" s="7">
        <v>13330</v>
      </c>
      <c r="G1666" s="34">
        <v>191</v>
      </c>
      <c r="H1666" s="35">
        <v>-30</v>
      </c>
      <c r="I1666" s="38">
        <f t="shared" si="25"/>
        <v>13313.5</v>
      </c>
    </row>
    <row r="1667" spans="1:9" x14ac:dyDescent="0.2">
      <c r="A1667" s="33">
        <v>42811</v>
      </c>
      <c r="B1667" s="36">
        <v>13342</v>
      </c>
      <c r="C1667" s="7">
        <v>13348</v>
      </c>
      <c r="D1667" s="7">
        <v>13353</v>
      </c>
      <c r="E1667" s="7">
        <v>13320</v>
      </c>
      <c r="F1667" s="7">
        <v>13330</v>
      </c>
      <c r="G1667" s="34">
        <v>138</v>
      </c>
      <c r="H1667" s="35">
        <v>-3</v>
      </c>
      <c r="I1667" s="38">
        <f t="shared" si="25"/>
        <v>13345</v>
      </c>
    </row>
    <row r="1668" spans="1:9" x14ac:dyDescent="0.2">
      <c r="A1668" s="33">
        <v>42810</v>
      </c>
      <c r="B1668" s="36">
        <v>13345</v>
      </c>
      <c r="C1668" s="7">
        <v>13352</v>
      </c>
      <c r="D1668" s="7">
        <v>13350</v>
      </c>
      <c r="E1668" s="7">
        <v>13320</v>
      </c>
      <c r="F1668" s="7">
        <v>13320</v>
      </c>
      <c r="G1668" s="34">
        <v>114</v>
      </c>
      <c r="H1668" s="35">
        <v>-15</v>
      </c>
      <c r="I1668" s="38">
        <f t="shared" si="25"/>
        <v>13348.5</v>
      </c>
    </row>
    <row r="1669" spans="1:9" x14ac:dyDescent="0.2">
      <c r="A1669" s="33">
        <v>42809</v>
      </c>
      <c r="B1669" s="36">
        <v>13360</v>
      </c>
      <c r="C1669" s="7">
        <v>13370</v>
      </c>
      <c r="D1669" s="7">
        <v>13375</v>
      </c>
      <c r="E1669" s="7">
        <v>13360</v>
      </c>
      <c r="F1669" s="7">
        <v>13360</v>
      </c>
      <c r="G1669" s="34">
        <v>117</v>
      </c>
      <c r="H1669" s="35">
        <v>-10</v>
      </c>
      <c r="I1669" s="38">
        <f t="shared" si="25"/>
        <v>13365</v>
      </c>
    </row>
    <row r="1670" spans="1:9" x14ac:dyDescent="0.2">
      <c r="A1670" s="33">
        <v>42808</v>
      </c>
      <c r="B1670" s="36">
        <v>13370</v>
      </c>
      <c r="C1670" s="7">
        <v>13373</v>
      </c>
      <c r="D1670" s="7">
        <v>13372</v>
      </c>
      <c r="E1670" s="7">
        <v>13355</v>
      </c>
      <c r="F1670" s="7">
        <v>13355</v>
      </c>
      <c r="G1670" s="34">
        <v>94</v>
      </c>
      <c r="H1670" s="35">
        <v>15</v>
      </c>
      <c r="I1670" s="38">
        <f t="shared" si="25"/>
        <v>13371.5</v>
      </c>
    </row>
    <row r="1671" spans="1:9" x14ac:dyDescent="0.2">
      <c r="A1671" s="33">
        <v>42807</v>
      </c>
      <c r="B1671" s="36">
        <v>13355</v>
      </c>
      <c r="C1671" s="7">
        <v>13357</v>
      </c>
      <c r="D1671" s="7">
        <v>13365</v>
      </c>
      <c r="E1671" s="7">
        <v>13350</v>
      </c>
      <c r="F1671" s="7">
        <v>13350</v>
      </c>
      <c r="G1671" s="34">
        <v>113</v>
      </c>
      <c r="H1671" s="35">
        <v>-23</v>
      </c>
      <c r="I1671" s="38">
        <f t="shared" si="25"/>
        <v>13356</v>
      </c>
    </row>
    <row r="1672" spans="1:9" x14ac:dyDescent="0.2">
      <c r="A1672" s="33">
        <v>42804</v>
      </c>
      <c r="B1672" s="36">
        <v>13378</v>
      </c>
      <c r="C1672" s="7">
        <v>13380</v>
      </c>
      <c r="D1672" s="7">
        <v>13395</v>
      </c>
      <c r="E1672" s="7">
        <v>13378</v>
      </c>
      <c r="F1672" s="7">
        <v>13385</v>
      </c>
      <c r="G1672" s="34">
        <v>87</v>
      </c>
      <c r="H1672" s="35">
        <v>-7</v>
      </c>
      <c r="I1672" s="38">
        <f t="shared" si="25"/>
        <v>13379</v>
      </c>
    </row>
    <row r="1673" spans="1:9" x14ac:dyDescent="0.2">
      <c r="A1673" s="33">
        <v>42803</v>
      </c>
      <c r="B1673" s="36">
        <v>13385</v>
      </c>
      <c r="C1673" s="7">
        <v>13388</v>
      </c>
      <c r="D1673" s="7">
        <v>13385</v>
      </c>
      <c r="E1673" s="7">
        <v>13365</v>
      </c>
      <c r="F1673" s="7">
        <v>13365</v>
      </c>
      <c r="G1673" s="34">
        <v>123</v>
      </c>
      <c r="H1673" s="35">
        <v>40</v>
      </c>
      <c r="I1673" s="38">
        <f t="shared" si="25"/>
        <v>13386.5</v>
      </c>
    </row>
    <row r="1674" spans="1:9" x14ac:dyDescent="0.2">
      <c r="A1674" s="33">
        <v>42802</v>
      </c>
      <c r="B1674" s="36">
        <v>13345</v>
      </c>
      <c r="C1674" s="7">
        <v>13355</v>
      </c>
      <c r="D1674" s="7">
        <v>13348</v>
      </c>
      <c r="E1674" s="7">
        <v>13333</v>
      </c>
      <c r="F1674" s="7">
        <v>13345</v>
      </c>
      <c r="G1674" s="34">
        <v>83</v>
      </c>
      <c r="H1674" s="35">
        <v>-1</v>
      </c>
      <c r="I1674" s="38">
        <f t="shared" si="25"/>
        <v>13350</v>
      </c>
    </row>
    <row r="1675" spans="1:9" x14ac:dyDescent="0.2">
      <c r="A1675" s="33">
        <v>42801</v>
      </c>
      <c r="B1675" s="36">
        <v>13346</v>
      </c>
      <c r="C1675" s="7">
        <v>13348</v>
      </c>
      <c r="D1675" s="7">
        <v>13350</v>
      </c>
      <c r="E1675" s="7">
        <v>13338</v>
      </c>
      <c r="F1675" s="7">
        <v>13338</v>
      </c>
      <c r="G1675" s="34">
        <v>105</v>
      </c>
      <c r="H1675" s="35">
        <v>-2</v>
      </c>
      <c r="I1675" s="38">
        <f t="shared" si="25"/>
        <v>13347</v>
      </c>
    </row>
    <row r="1676" spans="1:9" x14ac:dyDescent="0.2">
      <c r="A1676" s="33">
        <v>42800</v>
      </c>
      <c r="B1676" s="36">
        <v>13348</v>
      </c>
      <c r="C1676" s="7">
        <v>13352</v>
      </c>
      <c r="D1676" s="7">
        <v>13370</v>
      </c>
      <c r="E1676" s="7">
        <v>13340</v>
      </c>
      <c r="F1676" s="7">
        <v>13360</v>
      </c>
      <c r="G1676" s="34">
        <v>117</v>
      </c>
      <c r="H1676" s="35">
        <v>-32</v>
      </c>
      <c r="I1676" s="38">
        <f t="shared" si="25"/>
        <v>13350</v>
      </c>
    </row>
    <row r="1677" spans="1:9" x14ac:dyDescent="0.2">
      <c r="A1677" s="33">
        <v>42797</v>
      </c>
      <c r="B1677" s="36">
        <v>13380</v>
      </c>
      <c r="C1677" s="7">
        <v>13385</v>
      </c>
      <c r="D1677" s="7">
        <v>13380</v>
      </c>
      <c r="E1677" s="7">
        <v>13360</v>
      </c>
      <c r="F1677" s="7">
        <v>13360</v>
      </c>
      <c r="G1677" s="34">
        <v>85</v>
      </c>
      <c r="H1677" s="35">
        <v>23</v>
      </c>
      <c r="I1677" s="38">
        <f t="shared" si="25"/>
        <v>13382.5</v>
      </c>
    </row>
    <row r="1678" spans="1:9" x14ac:dyDescent="0.2">
      <c r="A1678" s="33">
        <v>42796</v>
      </c>
      <c r="B1678" s="36">
        <v>13357</v>
      </c>
      <c r="C1678" s="7">
        <v>13360</v>
      </c>
      <c r="D1678" s="7">
        <v>13365</v>
      </c>
      <c r="E1678" s="7">
        <v>13350</v>
      </c>
      <c r="F1678" s="7">
        <v>13360</v>
      </c>
      <c r="G1678" s="34">
        <v>112</v>
      </c>
      <c r="H1678" s="35">
        <v>-4</v>
      </c>
      <c r="I1678" s="38">
        <f t="shared" si="25"/>
        <v>13358.5</v>
      </c>
    </row>
    <row r="1679" spans="1:9" x14ac:dyDescent="0.2">
      <c r="A1679" s="33">
        <v>42795</v>
      </c>
      <c r="B1679" s="36">
        <v>13361</v>
      </c>
      <c r="C1679" s="7">
        <v>13363</v>
      </c>
      <c r="D1679" s="7">
        <v>13365</v>
      </c>
      <c r="E1679" s="7">
        <v>13350</v>
      </c>
      <c r="F1679" s="7">
        <v>13355</v>
      </c>
      <c r="G1679" s="34">
        <v>111</v>
      </c>
      <c r="H1679" s="35">
        <v>30</v>
      </c>
      <c r="I1679" s="38">
        <f t="shared" si="25"/>
        <v>13362</v>
      </c>
    </row>
    <row r="1680" spans="1:9" x14ac:dyDescent="0.2">
      <c r="A1680" s="33">
        <v>42794</v>
      </c>
      <c r="B1680" s="36">
        <v>13331</v>
      </c>
      <c r="C1680" s="7">
        <v>13341</v>
      </c>
      <c r="D1680" s="7">
        <v>13350</v>
      </c>
      <c r="E1680" s="7">
        <v>13331</v>
      </c>
      <c r="F1680" s="7">
        <v>13345</v>
      </c>
      <c r="G1680" s="34">
        <v>91</v>
      </c>
      <c r="H1680" s="35">
        <v>-10</v>
      </c>
      <c r="I1680" s="38">
        <f t="shared" si="25"/>
        <v>13336</v>
      </c>
    </row>
    <row r="1681" spans="1:9" x14ac:dyDescent="0.2">
      <c r="A1681" s="33">
        <v>42793</v>
      </c>
      <c r="B1681" s="36">
        <v>13341</v>
      </c>
      <c r="C1681" s="7">
        <v>13344</v>
      </c>
      <c r="D1681" s="7">
        <v>13348</v>
      </c>
      <c r="E1681" s="7">
        <v>13330</v>
      </c>
      <c r="F1681" s="7">
        <v>13330</v>
      </c>
      <c r="G1681" s="34">
        <v>70</v>
      </c>
      <c r="H1681" s="35">
        <v>12</v>
      </c>
      <c r="I1681" s="38">
        <f t="shared" si="25"/>
        <v>13342.5</v>
      </c>
    </row>
    <row r="1682" spans="1:9" x14ac:dyDescent="0.2">
      <c r="A1682" s="33">
        <v>42790</v>
      </c>
      <c r="B1682" s="36">
        <v>13329</v>
      </c>
      <c r="C1682" s="7">
        <v>13332</v>
      </c>
      <c r="D1682" s="7">
        <v>13336</v>
      </c>
      <c r="E1682" s="7">
        <v>13325</v>
      </c>
      <c r="F1682" s="7">
        <v>13325</v>
      </c>
      <c r="G1682" s="34">
        <v>79</v>
      </c>
      <c r="H1682" s="35">
        <v>-21</v>
      </c>
      <c r="I1682" s="38">
        <f t="shared" si="25"/>
        <v>13330.5</v>
      </c>
    </row>
    <row r="1683" spans="1:9" x14ac:dyDescent="0.2">
      <c r="A1683" s="33">
        <v>42789</v>
      </c>
      <c r="B1683" s="36">
        <v>13350</v>
      </c>
      <c r="C1683" s="7">
        <v>13352</v>
      </c>
      <c r="D1683" s="7">
        <v>13362</v>
      </c>
      <c r="E1683" s="7">
        <v>13343</v>
      </c>
      <c r="F1683" s="7">
        <v>13355</v>
      </c>
      <c r="G1683" s="34">
        <v>111</v>
      </c>
      <c r="H1683" s="35">
        <v>-12</v>
      </c>
      <c r="I1683" s="38">
        <f t="shared" si="25"/>
        <v>13351</v>
      </c>
    </row>
    <row r="1684" spans="1:9" x14ac:dyDescent="0.2">
      <c r="A1684" s="33">
        <v>42788</v>
      </c>
      <c r="B1684" s="36">
        <v>13362</v>
      </c>
      <c r="C1684" s="7">
        <v>13372</v>
      </c>
      <c r="D1684" s="7">
        <v>13363</v>
      </c>
      <c r="E1684" s="7">
        <v>13345</v>
      </c>
      <c r="F1684" s="7">
        <v>13355</v>
      </c>
      <c r="G1684" s="34">
        <v>72</v>
      </c>
      <c r="H1684" s="35">
        <v>-8</v>
      </c>
      <c r="I1684" s="38">
        <f t="shared" si="25"/>
        <v>13367</v>
      </c>
    </row>
    <row r="1685" spans="1:9" x14ac:dyDescent="0.2">
      <c r="A1685" s="33">
        <v>42787</v>
      </c>
      <c r="B1685" s="36">
        <v>13370</v>
      </c>
      <c r="C1685" s="7">
        <v>13375</v>
      </c>
      <c r="D1685" s="7">
        <v>13375</v>
      </c>
      <c r="E1685" s="7">
        <v>13358</v>
      </c>
      <c r="F1685" s="7">
        <v>13365</v>
      </c>
      <c r="G1685" s="34">
        <v>56</v>
      </c>
      <c r="H1685" s="35">
        <v>17</v>
      </c>
      <c r="I1685" s="38">
        <f t="shared" si="25"/>
        <v>13372.5</v>
      </c>
    </row>
    <row r="1686" spans="1:9" x14ac:dyDescent="0.2">
      <c r="A1686" s="33">
        <v>42786</v>
      </c>
      <c r="B1686" s="36">
        <v>13353</v>
      </c>
      <c r="C1686" s="7">
        <v>13355</v>
      </c>
      <c r="D1686" s="7">
        <v>13358</v>
      </c>
      <c r="E1686" s="7">
        <v>13325</v>
      </c>
      <c r="F1686" s="7">
        <v>13330</v>
      </c>
      <c r="G1686" s="34">
        <v>62</v>
      </c>
      <c r="H1686" s="35">
        <v>23</v>
      </c>
      <c r="I1686" s="38">
        <f t="shared" si="25"/>
        <v>13354</v>
      </c>
    </row>
    <row r="1687" spans="1:9" x14ac:dyDescent="0.2">
      <c r="A1687" s="33">
        <v>42783</v>
      </c>
      <c r="B1687" s="36">
        <v>13330</v>
      </c>
      <c r="C1687" s="7">
        <v>13335</v>
      </c>
      <c r="D1687" s="7">
        <v>13335</v>
      </c>
      <c r="E1687" s="7">
        <v>13320</v>
      </c>
      <c r="F1687" s="7">
        <v>13325</v>
      </c>
      <c r="G1687" s="34">
        <v>54</v>
      </c>
      <c r="H1687" s="35">
        <v>15</v>
      </c>
      <c r="I1687" s="38">
        <f t="shared" si="25"/>
        <v>13332.5</v>
      </c>
    </row>
    <row r="1688" spans="1:9" x14ac:dyDescent="0.2">
      <c r="A1688" s="33">
        <v>42782</v>
      </c>
      <c r="B1688" s="36">
        <v>13315</v>
      </c>
      <c r="C1688" s="7">
        <v>13325</v>
      </c>
      <c r="D1688" s="7">
        <v>13331</v>
      </c>
      <c r="E1688" s="7">
        <v>13310</v>
      </c>
      <c r="F1688" s="7">
        <v>13310</v>
      </c>
      <c r="G1688" s="34">
        <v>90</v>
      </c>
      <c r="H1688" s="35">
        <v>-13</v>
      </c>
      <c r="I1688" s="38">
        <f t="shared" si="25"/>
        <v>13320</v>
      </c>
    </row>
    <row r="1689" spans="1:9" x14ac:dyDescent="0.2">
      <c r="A1689" s="33">
        <v>42781</v>
      </c>
      <c r="B1689" s="36">
        <v>13328</v>
      </c>
      <c r="C1689" s="7">
        <v>13333</v>
      </c>
      <c r="D1689" s="7"/>
      <c r="E1689" s="7"/>
      <c r="F1689" s="7"/>
      <c r="G1689" s="34"/>
      <c r="H1689" s="35">
        <v>0</v>
      </c>
      <c r="I1689" s="38">
        <f t="shared" si="25"/>
        <v>13330.5</v>
      </c>
    </row>
    <row r="1690" spans="1:9" x14ac:dyDescent="0.2">
      <c r="A1690" s="33">
        <v>42780</v>
      </c>
      <c r="B1690" s="36">
        <v>13328</v>
      </c>
      <c r="C1690" s="7">
        <v>13333</v>
      </c>
      <c r="D1690" s="7">
        <v>13332</v>
      </c>
      <c r="E1690" s="7">
        <v>13313</v>
      </c>
      <c r="F1690" s="7">
        <v>13320</v>
      </c>
      <c r="G1690" s="34">
        <v>89</v>
      </c>
      <c r="H1690" s="35">
        <v>3</v>
      </c>
      <c r="I1690" s="38">
        <f t="shared" si="25"/>
        <v>13330.5</v>
      </c>
    </row>
    <row r="1691" spans="1:9" x14ac:dyDescent="0.2">
      <c r="A1691" s="33">
        <v>42779</v>
      </c>
      <c r="B1691" s="36">
        <v>13325</v>
      </c>
      <c r="C1691" s="7">
        <v>13328</v>
      </c>
      <c r="D1691" s="7">
        <v>13330</v>
      </c>
      <c r="E1691" s="7">
        <v>13315</v>
      </c>
      <c r="F1691" s="7">
        <v>13325</v>
      </c>
      <c r="G1691" s="34">
        <v>68</v>
      </c>
      <c r="H1691" s="35">
        <v>10</v>
      </c>
      <c r="I1691" s="38">
        <f t="shared" si="25"/>
        <v>13326.5</v>
      </c>
    </row>
    <row r="1692" spans="1:9" x14ac:dyDescent="0.2">
      <c r="A1692" s="33">
        <v>42776</v>
      </c>
      <c r="B1692" s="36">
        <v>13315</v>
      </c>
      <c r="C1692" s="7">
        <v>13316</v>
      </c>
      <c r="D1692" s="7">
        <v>13322</v>
      </c>
      <c r="E1692" s="7">
        <v>13303</v>
      </c>
      <c r="F1692" s="7">
        <v>13315</v>
      </c>
      <c r="G1692" s="34">
        <v>98</v>
      </c>
      <c r="H1692" s="35">
        <v>15</v>
      </c>
      <c r="I1692" s="38">
        <f t="shared" si="25"/>
        <v>13315.5</v>
      </c>
    </row>
    <row r="1693" spans="1:9" x14ac:dyDescent="0.2">
      <c r="A1693" s="33">
        <v>42775</v>
      </c>
      <c r="B1693" s="36">
        <v>13300</v>
      </c>
      <c r="C1693" s="7">
        <v>13305</v>
      </c>
      <c r="D1693" s="7">
        <v>13315</v>
      </c>
      <c r="E1693" s="7">
        <v>13280</v>
      </c>
      <c r="F1693" s="7">
        <v>13310</v>
      </c>
      <c r="G1693" s="34">
        <v>113</v>
      </c>
      <c r="H1693" s="35">
        <v>-20</v>
      </c>
      <c r="I1693" s="38">
        <f t="shared" si="25"/>
        <v>13302.5</v>
      </c>
    </row>
    <row r="1694" spans="1:9" x14ac:dyDescent="0.2">
      <c r="A1694" s="33">
        <v>42774</v>
      </c>
      <c r="B1694" s="36">
        <v>13320</v>
      </c>
      <c r="C1694" s="7">
        <v>13330</v>
      </c>
      <c r="D1694" s="7">
        <v>13340</v>
      </c>
      <c r="E1694" s="7">
        <v>13319</v>
      </c>
      <c r="F1694" s="7">
        <v>13333</v>
      </c>
      <c r="G1694" s="34">
        <v>112</v>
      </c>
      <c r="H1694" s="35">
        <v>-4</v>
      </c>
      <c r="I1694" s="38">
        <f t="shared" si="25"/>
        <v>13325</v>
      </c>
    </row>
    <row r="1695" spans="1:9" x14ac:dyDescent="0.2">
      <c r="A1695" s="33">
        <v>42773</v>
      </c>
      <c r="B1695" s="36">
        <v>13324</v>
      </c>
      <c r="C1695" s="7">
        <v>13333</v>
      </c>
      <c r="D1695" s="7">
        <v>13335</v>
      </c>
      <c r="E1695" s="7">
        <v>13315</v>
      </c>
      <c r="F1695" s="7">
        <v>13320</v>
      </c>
      <c r="G1695" s="34">
        <v>77</v>
      </c>
      <c r="H1695" s="35">
        <v>4</v>
      </c>
      <c r="I1695" s="38">
        <f t="shared" si="25"/>
        <v>13328.5</v>
      </c>
    </row>
    <row r="1696" spans="1:9" x14ac:dyDescent="0.2">
      <c r="A1696" s="33">
        <v>42772</v>
      </c>
      <c r="B1696" s="36">
        <v>13320</v>
      </c>
      <c r="C1696" s="7">
        <v>13325</v>
      </c>
      <c r="D1696" s="7">
        <v>13332</v>
      </c>
      <c r="E1696" s="7">
        <v>13314</v>
      </c>
      <c r="F1696" s="7">
        <v>13315</v>
      </c>
      <c r="G1696" s="34">
        <v>72</v>
      </c>
      <c r="H1696" s="35">
        <v>-20</v>
      </c>
      <c r="I1696" s="38">
        <f t="shared" ref="I1696:I1759" si="26">+(B1696+C1696)*0.5</f>
        <v>13322.5</v>
      </c>
    </row>
    <row r="1697" spans="1:9" x14ac:dyDescent="0.2">
      <c r="A1697" s="33">
        <v>42769</v>
      </c>
      <c r="B1697" s="36">
        <v>13340</v>
      </c>
      <c r="C1697" s="7">
        <v>13350</v>
      </c>
      <c r="D1697" s="7">
        <v>13370</v>
      </c>
      <c r="E1697" s="7">
        <v>13335</v>
      </c>
      <c r="F1697" s="7">
        <v>13360</v>
      </c>
      <c r="G1697" s="34">
        <v>69</v>
      </c>
      <c r="H1697" s="35">
        <v>-10</v>
      </c>
      <c r="I1697" s="38">
        <f t="shared" si="26"/>
        <v>13345</v>
      </c>
    </row>
    <row r="1698" spans="1:9" x14ac:dyDescent="0.2">
      <c r="A1698" s="33">
        <v>42768</v>
      </c>
      <c r="B1698" s="36">
        <v>13350</v>
      </c>
      <c r="C1698" s="7">
        <v>13355</v>
      </c>
      <c r="D1698" s="7">
        <v>13375</v>
      </c>
      <c r="E1698" s="7">
        <v>13345</v>
      </c>
      <c r="F1698" s="7">
        <v>13360</v>
      </c>
      <c r="G1698" s="34">
        <v>77</v>
      </c>
      <c r="H1698" s="35">
        <v>-20</v>
      </c>
      <c r="I1698" s="38">
        <f t="shared" si="26"/>
        <v>13352.5</v>
      </c>
    </row>
    <row r="1699" spans="1:9" x14ac:dyDescent="0.2">
      <c r="A1699" s="33">
        <v>42767</v>
      </c>
      <c r="B1699" s="36">
        <v>13370</v>
      </c>
      <c r="C1699" s="7">
        <v>13375</v>
      </c>
      <c r="D1699" s="7">
        <v>13385</v>
      </c>
      <c r="E1699" s="7">
        <v>13335</v>
      </c>
      <c r="F1699" s="7">
        <v>13340</v>
      </c>
      <c r="G1699" s="34">
        <v>110</v>
      </c>
      <c r="H1699" s="35">
        <v>23</v>
      </c>
      <c r="I1699" s="38">
        <f t="shared" si="26"/>
        <v>13372.5</v>
      </c>
    </row>
    <row r="1700" spans="1:9" x14ac:dyDescent="0.2">
      <c r="A1700" s="33">
        <v>42766</v>
      </c>
      <c r="B1700" s="36">
        <v>13347</v>
      </c>
      <c r="C1700" s="7">
        <v>13357</v>
      </c>
      <c r="D1700" s="7">
        <v>13355</v>
      </c>
      <c r="E1700" s="7">
        <v>13330</v>
      </c>
      <c r="F1700" s="7">
        <v>13335</v>
      </c>
      <c r="G1700" s="34">
        <v>64</v>
      </c>
      <c r="H1700" s="35">
        <v>7</v>
      </c>
      <c r="I1700" s="38">
        <f t="shared" si="26"/>
        <v>13352</v>
      </c>
    </row>
    <row r="1701" spans="1:9" x14ac:dyDescent="0.2">
      <c r="A1701" s="33">
        <v>42765</v>
      </c>
      <c r="B1701" s="36">
        <v>13340</v>
      </c>
      <c r="C1701" s="7">
        <v>13350</v>
      </c>
      <c r="D1701" s="7">
        <v>13353</v>
      </c>
      <c r="E1701" s="7">
        <v>13330</v>
      </c>
      <c r="F1701" s="7">
        <v>13330</v>
      </c>
      <c r="G1701" s="34">
        <v>73</v>
      </c>
      <c r="H1701" s="35">
        <v>-17</v>
      </c>
      <c r="I1701" s="38">
        <f t="shared" si="26"/>
        <v>13345</v>
      </c>
    </row>
    <row r="1702" spans="1:9" x14ac:dyDescent="0.2">
      <c r="A1702" s="33">
        <v>42762</v>
      </c>
      <c r="B1702" s="36">
        <v>13357</v>
      </c>
      <c r="C1702" s="7">
        <v>13360</v>
      </c>
      <c r="D1702" s="7">
        <v>13365</v>
      </c>
      <c r="E1702" s="7">
        <v>13345</v>
      </c>
      <c r="F1702" s="7">
        <v>13355</v>
      </c>
      <c r="G1702" s="34">
        <v>91</v>
      </c>
      <c r="H1702" s="35">
        <v>22</v>
      </c>
      <c r="I1702" s="38">
        <f t="shared" si="26"/>
        <v>13358.5</v>
      </c>
    </row>
    <row r="1703" spans="1:9" x14ac:dyDescent="0.2">
      <c r="A1703" s="33">
        <v>42761</v>
      </c>
      <c r="B1703" s="36">
        <v>13335</v>
      </c>
      <c r="C1703" s="7">
        <v>13337</v>
      </c>
      <c r="D1703" s="7">
        <v>13341</v>
      </c>
      <c r="E1703" s="7">
        <v>13310</v>
      </c>
      <c r="F1703" s="7">
        <v>13310</v>
      </c>
      <c r="G1703" s="34">
        <v>87</v>
      </c>
      <c r="H1703" s="35">
        <v>-21</v>
      </c>
      <c r="I1703" s="38">
        <f t="shared" si="26"/>
        <v>13336</v>
      </c>
    </row>
    <row r="1704" spans="1:9" x14ac:dyDescent="0.2">
      <c r="A1704" s="33">
        <v>42760</v>
      </c>
      <c r="B1704" s="36">
        <v>13356</v>
      </c>
      <c r="C1704" s="7">
        <v>13365</v>
      </c>
      <c r="D1704" s="7">
        <v>13360</v>
      </c>
      <c r="E1704" s="7">
        <v>13330</v>
      </c>
      <c r="F1704" s="7">
        <v>13335</v>
      </c>
      <c r="G1704" s="34">
        <v>115</v>
      </c>
      <c r="H1704" s="35">
        <v>26</v>
      </c>
      <c r="I1704" s="38">
        <f t="shared" si="26"/>
        <v>13360.5</v>
      </c>
    </row>
    <row r="1705" spans="1:9" x14ac:dyDescent="0.2">
      <c r="A1705" s="33">
        <v>42759</v>
      </c>
      <c r="B1705" s="36">
        <v>13330</v>
      </c>
      <c r="C1705" s="7">
        <v>13332</v>
      </c>
      <c r="D1705" s="7">
        <v>13340</v>
      </c>
      <c r="E1705" s="7">
        <v>13303</v>
      </c>
      <c r="F1705" s="7">
        <v>13338</v>
      </c>
      <c r="G1705" s="34">
        <v>117</v>
      </c>
      <c r="H1705" s="35">
        <v>-25</v>
      </c>
      <c r="I1705" s="38">
        <f t="shared" si="26"/>
        <v>13331</v>
      </c>
    </row>
    <row r="1706" spans="1:9" x14ac:dyDescent="0.2">
      <c r="A1706" s="33">
        <v>42758</v>
      </c>
      <c r="B1706" s="36">
        <v>13355</v>
      </c>
      <c r="C1706" s="7">
        <v>13365</v>
      </c>
      <c r="D1706" s="7">
        <v>13380</v>
      </c>
      <c r="E1706" s="7">
        <v>13340</v>
      </c>
      <c r="F1706" s="7">
        <v>13375</v>
      </c>
      <c r="G1706" s="34">
        <v>92</v>
      </c>
      <c r="H1706" s="35">
        <v>-50</v>
      </c>
      <c r="I1706" s="38">
        <f t="shared" si="26"/>
        <v>13360</v>
      </c>
    </row>
    <row r="1707" spans="1:9" x14ac:dyDescent="0.2">
      <c r="A1707" s="33">
        <v>42755</v>
      </c>
      <c r="B1707" s="36">
        <v>13405</v>
      </c>
      <c r="C1707" s="7">
        <v>13415</v>
      </c>
      <c r="D1707" s="7">
        <v>13405</v>
      </c>
      <c r="E1707" s="7">
        <v>13370</v>
      </c>
      <c r="F1707" s="7">
        <v>13390</v>
      </c>
      <c r="G1707" s="34">
        <v>74</v>
      </c>
      <c r="H1707" s="35">
        <v>37</v>
      </c>
      <c r="I1707" s="38">
        <f t="shared" si="26"/>
        <v>13410</v>
      </c>
    </row>
    <row r="1708" spans="1:9" x14ac:dyDescent="0.2">
      <c r="A1708" s="33">
        <v>42754</v>
      </c>
      <c r="B1708" s="36">
        <v>13368</v>
      </c>
      <c r="C1708" s="7">
        <v>13378</v>
      </c>
      <c r="D1708" s="7">
        <v>13380</v>
      </c>
      <c r="E1708" s="7">
        <v>13350</v>
      </c>
      <c r="F1708" s="7">
        <v>13370</v>
      </c>
      <c r="G1708" s="34">
        <v>134</v>
      </c>
      <c r="H1708" s="35">
        <v>28</v>
      </c>
      <c r="I1708" s="38">
        <f t="shared" si="26"/>
        <v>13373</v>
      </c>
    </row>
    <row r="1709" spans="1:9" x14ac:dyDescent="0.2">
      <c r="A1709" s="33">
        <v>42753</v>
      </c>
      <c r="B1709" s="36">
        <v>13340</v>
      </c>
      <c r="C1709" s="7">
        <v>13345</v>
      </c>
      <c r="D1709" s="7">
        <v>13340</v>
      </c>
      <c r="E1709" s="7">
        <v>13315</v>
      </c>
      <c r="F1709" s="7">
        <v>13320</v>
      </c>
      <c r="G1709" s="34">
        <v>112</v>
      </c>
      <c r="H1709" s="35">
        <v>-10</v>
      </c>
      <c r="I1709" s="38">
        <f t="shared" si="26"/>
        <v>13342.5</v>
      </c>
    </row>
    <row r="1710" spans="1:9" x14ac:dyDescent="0.2">
      <c r="A1710" s="33">
        <v>42752</v>
      </c>
      <c r="B1710" s="36">
        <v>13350</v>
      </c>
      <c r="C1710" s="7">
        <v>13353</v>
      </c>
      <c r="D1710" s="7">
        <v>13380</v>
      </c>
      <c r="E1710" s="7">
        <v>13330</v>
      </c>
      <c r="F1710" s="7">
        <v>13350</v>
      </c>
      <c r="G1710" s="34">
        <v>137</v>
      </c>
      <c r="H1710" s="35">
        <v>-13</v>
      </c>
      <c r="I1710" s="38">
        <f t="shared" si="26"/>
        <v>13351.5</v>
      </c>
    </row>
    <row r="1711" spans="1:9" x14ac:dyDescent="0.2">
      <c r="A1711" s="33">
        <v>42751</v>
      </c>
      <c r="B1711" s="36">
        <v>13363</v>
      </c>
      <c r="C1711" s="7">
        <v>13370</v>
      </c>
      <c r="D1711" s="7">
        <v>13365</v>
      </c>
      <c r="E1711" s="7">
        <v>13300</v>
      </c>
      <c r="F1711" s="7">
        <v>13300</v>
      </c>
      <c r="G1711" s="34">
        <v>98</v>
      </c>
      <c r="H1711" s="35">
        <v>40</v>
      </c>
      <c r="I1711" s="38">
        <f t="shared" si="26"/>
        <v>13366.5</v>
      </c>
    </row>
    <row r="1712" spans="1:9" x14ac:dyDescent="0.2">
      <c r="A1712" s="33">
        <v>42748</v>
      </c>
      <c r="B1712" s="36">
        <v>13323</v>
      </c>
      <c r="C1712" s="7">
        <v>13340</v>
      </c>
      <c r="D1712" s="7">
        <v>13325</v>
      </c>
      <c r="E1712" s="7">
        <v>13285</v>
      </c>
      <c r="F1712" s="7">
        <v>13287</v>
      </c>
      <c r="G1712" s="34">
        <v>87</v>
      </c>
      <c r="H1712" s="35">
        <v>38</v>
      </c>
      <c r="I1712" s="38">
        <f t="shared" si="26"/>
        <v>13331.5</v>
      </c>
    </row>
    <row r="1713" spans="1:9" x14ac:dyDescent="0.2">
      <c r="A1713" s="33">
        <v>42747</v>
      </c>
      <c r="B1713" s="36">
        <v>13285</v>
      </c>
      <c r="C1713" s="7">
        <v>13295</v>
      </c>
      <c r="D1713" s="7">
        <v>13305</v>
      </c>
      <c r="E1713" s="7">
        <v>13260</v>
      </c>
      <c r="F1713" s="7">
        <v>13280</v>
      </c>
      <c r="G1713" s="34">
        <v>123</v>
      </c>
      <c r="H1713" s="35">
        <v>-43</v>
      </c>
      <c r="I1713" s="38">
        <f t="shared" si="26"/>
        <v>13290</v>
      </c>
    </row>
    <row r="1714" spans="1:9" x14ac:dyDescent="0.2">
      <c r="A1714" s="33">
        <v>42746</v>
      </c>
      <c r="B1714" s="36">
        <v>13328</v>
      </c>
      <c r="C1714" s="7">
        <v>13330</v>
      </c>
      <c r="D1714" s="7">
        <v>13330</v>
      </c>
      <c r="E1714" s="7">
        <v>13300</v>
      </c>
      <c r="F1714" s="7">
        <v>13310</v>
      </c>
      <c r="G1714" s="34">
        <v>110</v>
      </c>
      <c r="H1714" s="35">
        <v>18</v>
      </c>
      <c r="I1714" s="38">
        <f t="shared" si="26"/>
        <v>13329</v>
      </c>
    </row>
    <row r="1715" spans="1:9" x14ac:dyDescent="0.2">
      <c r="A1715" s="33">
        <v>42745</v>
      </c>
      <c r="B1715" s="36">
        <v>13310</v>
      </c>
      <c r="C1715" s="7">
        <v>13320</v>
      </c>
      <c r="D1715" s="7">
        <v>13330</v>
      </c>
      <c r="E1715" s="7">
        <v>13280</v>
      </c>
      <c r="F1715" s="7">
        <v>13320</v>
      </c>
      <c r="G1715" s="34">
        <v>150</v>
      </c>
      <c r="H1715" s="35">
        <v>-50</v>
      </c>
      <c r="I1715" s="38">
        <f t="shared" si="26"/>
        <v>13315</v>
      </c>
    </row>
    <row r="1716" spans="1:9" x14ac:dyDescent="0.2">
      <c r="A1716" s="33">
        <v>42744</v>
      </c>
      <c r="B1716" s="36">
        <v>13360</v>
      </c>
      <c r="C1716" s="7">
        <v>13370</v>
      </c>
      <c r="D1716" s="7">
        <v>13393</v>
      </c>
      <c r="E1716" s="7">
        <v>13360</v>
      </c>
      <c r="F1716" s="7">
        <v>13385</v>
      </c>
      <c r="G1716" s="34">
        <v>89</v>
      </c>
      <c r="H1716" s="35">
        <v>0</v>
      </c>
      <c r="I1716" s="38">
        <f t="shared" si="26"/>
        <v>13365</v>
      </c>
    </row>
    <row r="1717" spans="1:9" x14ac:dyDescent="0.2">
      <c r="A1717" s="33">
        <v>42741</v>
      </c>
      <c r="B1717" s="36">
        <v>13360</v>
      </c>
      <c r="C1717" s="7">
        <v>13370</v>
      </c>
      <c r="D1717" s="7">
        <v>13360</v>
      </c>
      <c r="E1717" s="7">
        <v>13329</v>
      </c>
      <c r="F1717" s="7">
        <v>13335</v>
      </c>
      <c r="G1717" s="34">
        <v>91</v>
      </c>
      <c r="H1717" s="35">
        <v>-10</v>
      </c>
      <c r="I1717" s="38">
        <f t="shared" si="26"/>
        <v>13365</v>
      </c>
    </row>
    <row r="1718" spans="1:9" x14ac:dyDescent="0.2">
      <c r="A1718" s="33">
        <v>42740</v>
      </c>
      <c r="B1718" s="36">
        <v>13370</v>
      </c>
      <c r="C1718" s="7">
        <v>13380</v>
      </c>
      <c r="D1718" s="7">
        <v>13400</v>
      </c>
      <c r="E1718" s="7">
        <v>13310</v>
      </c>
      <c r="F1718" s="7">
        <v>13400</v>
      </c>
      <c r="G1718" s="34">
        <v>144</v>
      </c>
      <c r="H1718" s="35">
        <v>-65</v>
      </c>
      <c r="I1718" s="38">
        <f t="shared" si="26"/>
        <v>13375</v>
      </c>
    </row>
    <row r="1719" spans="1:9" x14ac:dyDescent="0.2">
      <c r="A1719" s="33">
        <v>42739</v>
      </c>
      <c r="B1719" s="36">
        <v>13435</v>
      </c>
      <c r="C1719" s="7">
        <v>13445</v>
      </c>
      <c r="D1719" s="7">
        <v>13480</v>
      </c>
      <c r="E1719" s="7">
        <v>13430</v>
      </c>
      <c r="F1719" s="7">
        <v>13465</v>
      </c>
      <c r="G1719" s="34">
        <v>109</v>
      </c>
      <c r="H1719" s="35">
        <v>-43</v>
      </c>
      <c r="I1719" s="38">
        <f t="shared" si="26"/>
        <v>13440</v>
      </c>
    </row>
    <row r="1720" spans="1:9" x14ac:dyDescent="0.2">
      <c r="A1720" s="33">
        <v>42738</v>
      </c>
      <c r="B1720" s="36">
        <v>13478</v>
      </c>
      <c r="C1720" s="7">
        <v>13481</v>
      </c>
      <c r="D1720" s="7">
        <v>13485</v>
      </c>
      <c r="E1720" s="7">
        <v>13460</v>
      </c>
      <c r="F1720" s="7">
        <v>13460</v>
      </c>
      <c r="G1720" s="34">
        <v>68</v>
      </c>
      <c r="H1720" s="35">
        <v>8</v>
      </c>
      <c r="I1720" s="38">
        <f t="shared" si="26"/>
        <v>13479.5</v>
      </c>
    </row>
    <row r="1721" spans="1:9" x14ac:dyDescent="0.2">
      <c r="A1721" s="33">
        <v>42737</v>
      </c>
      <c r="B1721" s="36">
        <v>13470</v>
      </c>
      <c r="C1721" s="7">
        <v>13475</v>
      </c>
      <c r="D1721" s="7"/>
      <c r="E1721" s="7"/>
      <c r="F1721" s="7"/>
      <c r="G1721" s="34"/>
      <c r="H1721" s="35">
        <v>0</v>
      </c>
      <c r="I1721" s="38">
        <f t="shared" si="26"/>
        <v>13472.5</v>
      </c>
    </row>
    <row r="1722" spans="1:9" x14ac:dyDescent="0.2">
      <c r="A1722" s="33">
        <v>42734</v>
      </c>
      <c r="B1722" s="36">
        <v>13470</v>
      </c>
      <c r="C1722" s="7">
        <v>13475</v>
      </c>
      <c r="D1722" s="7">
        <v>13470</v>
      </c>
      <c r="E1722" s="7">
        <v>13420</v>
      </c>
      <c r="F1722" s="7">
        <v>13445</v>
      </c>
      <c r="G1722" s="34">
        <v>70</v>
      </c>
      <c r="H1722" s="35">
        <v>10</v>
      </c>
      <c r="I1722" s="38">
        <f t="shared" si="26"/>
        <v>13472.5</v>
      </c>
    </row>
    <row r="1723" spans="1:9" x14ac:dyDescent="0.2">
      <c r="A1723" s="33">
        <v>42733</v>
      </c>
      <c r="B1723" s="36">
        <v>13460</v>
      </c>
      <c r="C1723" s="7">
        <v>13465</v>
      </c>
      <c r="D1723" s="7">
        <v>13480</v>
      </c>
      <c r="E1723" s="7">
        <v>13445</v>
      </c>
      <c r="F1723" s="7">
        <v>13445</v>
      </c>
      <c r="G1723" s="34">
        <v>128</v>
      </c>
      <c r="H1723" s="35">
        <v>20</v>
      </c>
      <c r="I1723" s="38">
        <f t="shared" si="26"/>
        <v>13462.5</v>
      </c>
    </row>
    <row r="1724" spans="1:9" x14ac:dyDescent="0.2">
      <c r="A1724" s="33">
        <v>42732</v>
      </c>
      <c r="B1724" s="36">
        <v>13440</v>
      </c>
      <c r="C1724" s="7">
        <v>13445</v>
      </c>
      <c r="D1724" s="7">
        <v>13460</v>
      </c>
      <c r="E1724" s="7">
        <v>13410</v>
      </c>
      <c r="F1724" s="7">
        <v>13410</v>
      </c>
      <c r="G1724" s="34">
        <v>68</v>
      </c>
      <c r="H1724" s="35">
        <v>-5</v>
      </c>
      <c r="I1724" s="38">
        <f t="shared" si="26"/>
        <v>13442.5</v>
      </c>
    </row>
    <row r="1725" spans="1:9" x14ac:dyDescent="0.2">
      <c r="A1725" s="33">
        <v>42731</v>
      </c>
      <c r="B1725" s="36">
        <v>13445</v>
      </c>
      <c r="C1725" s="7">
        <v>13450</v>
      </c>
      <c r="D1725" s="7">
        <v>13445</v>
      </c>
      <c r="E1725" s="7">
        <v>13420</v>
      </c>
      <c r="F1725" s="7">
        <v>13430</v>
      </c>
      <c r="G1725" s="34">
        <v>76</v>
      </c>
      <c r="H1725" s="35">
        <v>0</v>
      </c>
      <c r="I1725" s="38">
        <f t="shared" si="26"/>
        <v>13447.5</v>
      </c>
    </row>
    <row r="1726" spans="1:9" x14ac:dyDescent="0.2">
      <c r="A1726" s="33">
        <v>42730</v>
      </c>
      <c r="B1726" s="36">
        <v>13445</v>
      </c>
      <c r="C1726" s="7">
        <v>13455</v>
      </c>
      <c r="D1726" s="7"/>
      <c r="E1726" s="7"/>
      <c r="F1726" s="7"/>
      <c r="G1726" s="34"/>
      <c r="H1726" s="35">
        <v>0</v>
      </c>
      <c r="I1726" s="38">
        <f t="shared" si="26"/>
        <v>13450</v>
      </c>
    </row>
    <row r="1727" spans="1:9" x14ac:dyDescent="0.2">
      <c r="A1727" s="33">
        <v>42727</v>
      </c>
      <c r="B1727" s="36">
        <v>13445</v>
      </c>
      <c r="C1727" s="7">
        <v>13455</v>
      </c>
      <c r="D1727" s="7">
        <v>13474</v>
      </c>
      <c r="E1727" s="7">
        <v>13430</v>
      </c>
      <c r="F1727" s="7">
        <v>13450</v>
      </c>
      <c r="G1727" s="34">
        <v>128</v>
      </c>
      <c r="H1727" s="35">
        <v>-5</v>
      </c>
      <c r="I1727" s="38">
        <f t="shared" si="26"/>
        <v>13450</v>
      </c>
    </row>
    <row r="1728" spans="1:9" x14ac:dyDescent="0.2">
      <c r="A1728" s="33">
        <v>42726</v>
      </c>
      <c r="B1728" s="36">
        <v>13450</v>
      </c>
      <c r="C1728" s="7">
        <v>13455</v>
      </c>
      <c r="D1728" s="7">
        <v>13450</v>
      </c>
      <c r="E1728" s="7">
        <v>13425</v>
      </c>
      <c r="F1728" s="7">
        <v>13450</v>
      </c>
      <c r="G1728" s="34">
        <v>78</v>
      </c>
      <c r="H1728" s="35">
        <v>-18</v>
      </c>
      <c r="I1728" s="38">
        <f t="shared" si="26"/>
        <v>13452.5</v>
      </c>
    </row>
    <row r="1729" spans="1:9" x14ac:dyDescent="0.2">
      <c r="A1729" s="33">
        <v>42725</v>
      </c>
      <c r="B1729" s="36">
        <v>13468</v>
      </c>
      <c r="C1729" s="7">
        <v>13470</v>
      </c>
      <c r="D1729" s="7">
        <v>13485</v>
      </c>
      <c r="E1729" s="7">
        <v>13430</v>
      </c>
      <c r="F1729" s="7">
        <v>13430</v>
      </c>
      <c r="G1729" s="34">
        <v>91</v>
      </c>
      <c r="H1729" s="35">
        <v>43</v>
      </c>
      <c r="I1729" s="38">
        <f t="shared" si="26"/>
        <v>13469</v>
      </c>
    </row>
    <row r="1730" spans="1:9" x14ac:dyDescent="0.2">
      <c r="A1730" s="33">
        <v>42724</v>
      </c>
      <c r="B1730" s="36">
        <v>13425</v>
      </c>
      <c r="C1730" s="7">
        <v>13430</v>
      </c>
      <c r="D1730" s="7">
        <v>13425</v>
      </c>
      <c r="E1730" s="7">
        <v>13370</v>
      </c>
      <c r="F1730" s="7">
        <v>13370</v>
      </c>
      <c r="G1730" s="34">
        <v>73</v>
      </c>
      <c r="H1730" s="35">
        <v>45</v>
      </c>
      <c r="I1730" s="38">
        <f t="shared" si="26"/>
        <v>13427.5</v>
      </c>
    </row>
    <row r="1731" spans="1:9" x14ac:dyDescent="0.2">
      <c r="A1731" s="33">
        <v>42723</v>
      </c>
      <c r="B1731" s="36">
        <v>13380</v>
      </c>
      <c r="C1731" s="7">
        <v>13388</v>
      </c>
      <c r="D1731" s="7">
        <v>13385</v>
      </c>
      <c r="E1731" s="7">
        <v>13370</v>
      </c>
      <c r="F1731" s="7">
        <v>13380</v>
      </c>
      <c r="G1731" s="34">
        <v>80</v>
      </c>
      <c r="H1731" s="35">
        <v>-5</v>
      </c>
      <c r="I1731" s="38">
        <f t="shared" si="26"/>
        <v>13384</v>
      </c>
    </row>
    <row r="1732" spans="1:9" x14ac:dyDescent="0.2">
      <c r="A1732" s="33">
        <v>42720</v>
      </c>
      <c r="B1732" s="36">
        <v>13385</v>
      </c>
      <c r="C1732" s="7">
        <v>13395</v>
      </c>
      <c r="D1732" s="7">
        <v>13430</v>
      </c>
      <c r="E1732" s="7">
        <v>13360</v>
      </c>
      <c r="F1732" s="7">
        <v>13400</v>
      </c>
      <c r="G1732" s="34">
        <v>94</v>
      </c>
      <c r="H1732" s="35">
        <v>-10</v>
      </c>
      <c r="I1732" s="38">
        <f t="shared" si="26"/>
        <v>13390</v>
      </c>
    </row>
    <row r="1733" spans="1:9" x14ac:dyDescent="0.2">
      <c r="A1733" s="33">
        <v>42719</v>
      </c>
      <c r="B1733" s="36">
        <v>13395</v>
      </c>
      <c r="C1733" s="7">
        <v>13400</v>
      </c>
      <c r="D1733" s="7">
        <v>13395</v>
      </c>
      <c r="E1733" s="7">
        <v>13300</v>
      </c>
      <c r="F1733" s="7">
        <v>13300</v>
      </c>
      <c r="G1733" s="34">
        <v>116</v>
      </c>
      <c r="H1733" s="35">
        <v>103</v>
      </c>
      <c r="I1733" s="38">
        <f t="shared" si="26"/>
        <v>13397.5</v>
      </c>
    </row>
    <row r="1734" spans="1:9" x14ac:dyDescent="0.2">
      <c r="A1734" s="33">
        <v>42718</v>
      </c>
      <c r="B1734" s="36">
        <v>13292</v>
      </c>
      <c r="C1734" s="7">
        <v>13300</v>
      </c>
      <c r="D1734" s="7">
        <v>13292</v>
      </c>
      <c r="E1734" s="7">
        <v>13270</v>
      </c>
      <c r="F1734" s="7">
        <v>13280</v>
      </c>
      <c r="G1734" s="34">
        <v>120</v>
      </c>
      <c r="H1734" s="35">
        <v>-13</v>
      </c>
      <c r="I1734" s="38">
        <f t="shared" si="26"/>
        <v>13296</v>
      </c>
    </row>
    <row r="1735" spans="1:9" x14ac:dyDescent="0.2">
      <c r="A1735" s="33">
        <v>42717</v>
      </c>
      <c r="B1735" s="36">
        <v>13305</v>
      </c>
      <c r="C1735" s="7">
        <v>13310</v>
      </c>
      <c r="D1735" s="7">
        <v>13313</v>
      </c>
      <c r="E1735" s="7">
        <v>13295</v>
      </c>
      <c r="F1735" s="7">
        <v>13300</v>
      </c>
      <c r="G1735" s="34">
        <v>87</v>
      </c>
      <c r="H1735" s="35">
        <v>-20</v>
      </c>
      <c r="I1735" s="38">
        <f t="shared" si="26"/>
        <v>13307.5</v>
      </c>
    </row>
    <row r="1736" spans="1:9" x14ac:dyDescent="0.2">
      <c r="A1736" s="33">
        <v>42716</v>
      </c>
      <c r="B1736" s="36">
        <v>13325</v>
      </c>
      <c r="C1736" s="7">
        <v>13330</v>
      </c>
      <c r="D1736" s="7"/>
      <c r="E1736" s="7"/>
      <c r="F1736" s="7"/>
      <c r="G1736" s="34"/>
      <c r="H1736" s="35">
        <v>0</v>
      </c>
      <c r="I1736" s="38">
        <f t="shared" si="26"/>
        <v>13327.5</v>
      </c>
    </row>
    <row r="1737" spans="1:9" x14ac:dyDescent="0.2">
      <c r="A1737" s="33">
        <v>42713</v>
      </c>
      <c r="B1737" s="36">
        <v>13325</v>
      </c>
      <c r="C1737" s="7">
        <v>13330</v>
      </c>
      <c r="D1737" s="7">
        <v>13340</v>
      </c>
      <c r="E1737" s="7">
        <v>13315</v>
      </c>
      <c r="F1737" s="7">
        <v>13320</v>
      </c>
      <c r="G1737" s="34">
        <v>86</v>
      </c>
      <c r="H1737" s="35">
        <v>40</v>
      </c>
      <c r="I1737" s="38">
        <f t="shared" si="26"/>
        <v>13327.5</v>
      </c>
    </row>
    <row r="1738" spans="1:9" x14ac:dyDescent="0.2">
      <c r="A1738" s="33">
        <v>42712</v>
      </c>
      <c r="B1738" s="36">
        <v>13285</v>
      </c>
      <c r="C1738" s="7">
        <v>13288</v>
      </c>
      <c r="D1738" s="7">
        <v>13310</v>
      </c>
      <c r="E1738" s="7">
        <v>13270</v>
      </c>
      <c r="F1738" s="7">
        <v>13290</v>
      </c>
      <c r="G1738" s="34">
        <v>127</v>
      </c>
      <c r="H1738" s="35">
        <v>-35</v>
      </c>
      <c r="I1738" s="38">
        <f t="shared" si="26"/>
        <v>13286.5</v>
      </c>
    </row>
    <row r="1739" spans="1:9" x14ac:dyDescent="0.2">
      <c r="A1739" s="33">
        <v>42711</v>
      </c>
      <c r="B1739" s="36">
        <v>13320</v>
      </c>
      <c r="C1739" s="7">
        <v>13330</v>
      </c>
      <c r="D1739" s="7">
        <v>13355</v>
      </c>
      <c r="E1739" s="7">
        <v>13310</v>
      </c>
      <c r="F1739" s="7">
        <v>13350</v>
      </c>
      <c r="G1739" s="34">
        <v>162</v>
      </c>
      <c r="H1739" s="35">
        <v>-55</v>
      </c>
      <c r="I1739" s="38">
        <f t="shared" si="26"/>
        <v>13325</v>
      </c>
    </row>
    <row r="1740" spans="1:9" x14ac:dyDescent="0.2">
      <c r="A1740" s="33">
        <v>42710</v>
      </c>
      <c r="B1740" s="36">
        <v>13375</v>
      </c>
      <c r="C1740" s="7">
        <v>13390</v>
      </c>
      <c r="D1740" s="7">
        <v>13412</v>
      </c>
      <c r="E1740" s="7">
        <v>13350</v>
      </c>
      <c r="F1740" s="7">
        <v>13380</v>
      </c>
      <c r="G1740" s="34">
        <v>168</v>
      </c>
      <c r="H1740" s="35">
        <v>-55</v>
      </c>
      <c r="I1740" s="38">
        <f t="shared" si="26"/>
        <v>13382.5</v>
      </c>
    </row>
    <row r="1741" spans="1:9" x14ac:dyDescent="0.2">
      <c r="A1741" s="33">
        <v>42709</v>
      </c>
      <c r="B1741" s="36">
        <v>13430</v>
      </c>
      <c r="C1741" s="7">
        <v>13435</v>
      </c>
      <c r="D1741" s="7">
        <v>13520</v>
      </c>
      <c r="E1741" s="7">
        <v>13400</v>
      </c>
      <c r="F1741" s="7">
        <v>13510</v>
      </c>
      <c r="G1741" s="34">
        <v>113</v>
      </c>
      <c r="H1741" s="35">
        <v>-90</v>
      </c>
      <c r="I1741" s="38">
        <f t="shared" si="26"/>
        <v>13432.5</v>
      </c>
    </row>
    <row r="1742" spans="1:9" x14ac:dyDescent="0.2">
      <c r="A1742" s="33">
        <v>42706</v>
      </c>
      <c r="B1742" s="36">
        <v>13520</v>
      </c>
      <c r="C1742" s="7">
        <v>13530</v>
      </c>
      <c r="D1742" s="7">
        <v>13530</v>
      </c>
      <c r="E1742" s="7">
        <v>13460</v>
      </c>
      <c r="F1742" s="7">
        <v>13500</v>
      </c>
      <c r="G1742" s="34">
        <v>100</v>
      </c>
      <c r="H1742" s="35">
        <v>-20</v>
      </c>
      <c r="I1742" s="38">
        <f t="shared" si="26"/>
        <v>13525</v>
      </c>
    </row>
    <row r="1743" spans="1:9" x14ac:dyDescent="0.2">
      <c r="A1743" s="33">
        <v>42705</v>
      </c>
      <c r="B1743" s="36">
        <v>13540</v>
      </c>
      <c r="C1743" s="7">
        <v>13550</v>
      </c>
      <c r="D1743" s="7">
        <v>13585</v>
      </c>
      <c r="E1743" s="7">
        <v>13540</v>
      </c>
      <c r="F1743" s="7">
        <v>13570</v>
      </c>
      <c r="G1743" s="34">
        <v>131</v>
      </c>
      <c r="H1743" s="35">
        <v>-10</v>
      </c>
      <c r="I1743" s="38">
        <f t="shared" si="26"/>
        <v>13545</v>
      </c>
    </row>
    <row r="1744" spans="1:9" x14ac:dyDescent="0.2">
      <c r="A1744" s="33">
        <v>42704</v>
      </c>
      <c r="B1744" s="36">
        <v>13550</v>
      </c>
      <c r="C1744" s="7">
        <v>13555</v>
      </c>
      <c r="D1744" s="7">
        <v>13570</v>
      </c>
      <c r="E1744" s="7">
        <v>13513</v>
      </c>
      <c r="F1744" s="7">
        <v>13530</v>
      </c>
      <c r="G1744" s="34">
        <v>129</v>
      </c>
      <c r="H1744" s="35">
        <v>-20</v>
      </c>
      <c r="I1744" s="38">
        <f t="shared" si="26"/>
        <v>13552.5</v>
      </c>
    </row>
    <row r="1745" spans="1:9" x14ac:dyDescent="0.2">
      <c r="A1745" s="33">
        <v>42703</v>
      </c>
      <c r="B1745" s="36">
        <v>13570</v>
      </c>
      <c r="C1745" s="7">
        <v>13575</v>
      </c>
      <c r="D1745" s="7">
        <v>13574</v>
      </c>
      <c r="E1745" s="7">
        <v>13500</v>
      </c>
      <c r="F1745" s="7">
        <v>13500</v>
      </c>
      <c r="G1745" s="34">
        <v>105</v>
      </c>
      <c r="H1745" s="35">
        <v>50</v>
      </c>
      <c r="I1745" s="38">
        <f t="shared" si="26"/>
        <v>13572.5</v>
      </c>
    </row>
    <row r="1746" spans="1:9" x14ac:dyDescent="0.2">
      <c r="A1746" s="33">
        <v>42702</v>
      </c>
      <c r="B1746" s="36">
        <v>13520</v>
      </c>
      <c r="C1746" s="7">
        <v>13540</v>
      </c>
      <c r="D1746" s="7">
        <v>13535</v>
      </c>
      <c r="E1746" s="7">
        <v>13448</v>
      </c>
      <c r="F1746" s="7">
        <v>13470</v>
      </c>
      <c r="G1746" s="34">
        <v>87</v>
      </c>
      <c r="H1746" s="35">
        <v>5</v>
      </c>
      <c r="I1746" s="38">
        <f t="shared" si="26"/>
        <v>13530</v>
      </c>
    </row>
    <row r="1747" spans="1:9" x14ac:dyDescent="0.2">
      <c r="A1747" s="33">
        <v>42699</v>
      </c>
      <c r="B1747" s="36">
        <v>13515</v>
      </c>
      <c r="C1747" s="7">
        <v>13520</v>
      </c>
      <c r="D1747" s="7">
        <v>13575</v>
      </c>
      <c r="E1747" s="7">
        <v>13490</v>
      </c>
      <c r="F1747" s="7">
        <v>13560</v>
      </c>
      <c r="G1747" s="34">
        <v>112</v>
      </c>
      <c r="H1747" s="35">
        <v>-40</v>
      </c>
      <c r="I1747" s="38">
        <f t="shared" si="26"/>
        <v>13517.5</v>
      </c>
    </row>
    <row r="1748" spans="1:9" x14ac:dyDescent="0.2">
      <c r="A1748" s="33">
        <v>42698</v>
      </c>
      <c r="B1748" s="36">
        <v>13555</v>
      </c>
      <c r="C1748" s="7">
        <v>13560</v>
      </c>
      <c r="D1748" s="7">
        <v>13557</v>
      </c>
      <c r="E1748" s="7">
        <v>13499</v>
      </c>
      <c r="F1748" s="7">
        <v>13500</v>
      </c>
      <c r="G1748" s="34">
        <v>152</v>
      </c>
      <c r="H1748" s="35">
        <v>75</v>
      </c>
      <c r="I1748" s="38">
        <f t="shared" si="26"/>
        <v>13557.5</v>
      </c>
    </row>
    <row r="1749" spans="1:9" x14ac:dyDescent="0.2">
      <c r="A1749" s="33">
        <v>42697</v>
      </c>
      <c r="B1749" s="36">
        <v>13480</v>
      </c>
      <c r="C1749" s="7">
        <v>13485</v>
      </c>
      <c r="D1749" s="7">
        <v>13485</v>
      </c>
      <c r="E1749" s="7">
        <v>13445</v>
      </c>
      <c r="F1749" s="7">
        <v>13445</v>
      </c>
      <c r="G1749" s="34">
        <v>152</v>
      </c>
      <c r="H1749" s="35">
        <v>40</v>
      </c>
      <c r="I1749" s="38">
        <f t="shared" si="26"/>
        <v>13482.5</v>
      </c>
    </row>
    <row r="1750" spans="1:9" x14ac:dyDescent="0.2">
      <c r="A1750" s="33">
        <v>42696</v>
      </c>
      <c r="B1750" s="36">
        <v>13440</v>
      </c>
      <c r="C1750" s="7">
        <v>13445</v>
      </c>
      <c r="D1750" s="7">
        <v>13448</v>
      </c>
      <c r="E1750" s="7">
        <v>13400</v>
      </c>
      <c r="F1750" s="7">
        <v>13400</v>
      </c>
      <c r="G1750" s="34">
        <v>138</v>
      </c>
      <c r="H1750" s="35">
        <v>20</v>
      </c>
      <c r="I1750" s="38">
        <f t="shared" si="26"/>
        <v>13442.5</v>
      </c>
    </row>
    <row r="1751" spans="1:9" x14ac:dyDescent="0.2">
      <c r="A1751" s="33">
        <v>42695</v>
      </c>
      <c r="B1751" s="36">
        <v>13420</v>
      </c>
      <c r="C1751" s="7">
        <v>13430</v>
      </c>
      <c r="D1751" s="7">
        <v>13445</v>
      </c>
      <c r="E1751" s="7">
        <v>13420</v>
      </c>
      <c r="F1751" s="7">
        <v>13425</v>
      </c>
      <c r="G1751" s="34">
        <v>83</v>
      </c>
      <c r="H1751" s="35">
        <v>-5</v>
      </c>
      <c r="I1751" s="38">
        <f t="shared" si="26"/>
        <v>13425</v>
      </c>
    </row>
    <row r="1752" spans="1:9" x14ac:dyDescent="0.2">
      <c r="A1752" s="33">
        <v>42692</v>
      </c>
      <c r="B1752" s="36">
        <v>13425</v>
      </c>
      <c r="C1752" s="7">
        <v>13430</v>
      </c>
      <c r="D1752" s="7">
        <v>13429</v>
      </c>
      <c r="E1752" s="7">
        <v>13370</v>
      </c>
      <c r="F1752" s="7">
        <v>13375</v>
      </c>
      <c r="G1752" s="34">
        <v>148</v>
      </c>
      <c r="H1752" s="35">
        <v>55</v>
      </c>
      <c r="I1752" s="38">
        <f t="shared" si="26"/>
        <v>13427.5</v>
      </c>
    </row>
    <row r="1753" spans="1:9" x14ac:dyDescent="0.2">
      <c r="A1753" s="33">
        <v>42691</v>
      </c>
      <c r="B1753" s="36">
        <v>13370</v>
      </c>
      <c r="C1753" s="7">
        <v>13375</v>
      </c>
      <c r="D1753" s="7">
        <v>13397</v>
      </c>
      <c r="E1753" s="7">
        <v>13365</v>
      </c>
      <c r="F1753" s="7">
        <v>13380</v>
      </c>
      <c r="G1753" s="34">
        <v>142</v>
      </c>
      <c r="H1753" s="35">
        <v>-5</v>
      </c>
      <c r="I1753" s="38">
        <f t="shared" si="26"/>
        <v>13372.5</v>
      </c>
    </row>
    <row r="1754" spans="1:9" x14ac:dyDescent="0.2">
      <c r="A1754" s="33">
        <v>42690</v>
      </c>
      <c r="B1754" s="36">
        <v>13375</v>
      </c>
      <c r="C1754" s="7">
        <v>13380</v>
      </c>
      <c r="D1754" s="7">
        <v>13380</v>
      </c>
      <c r="E1754" s="7">
        <v>13330</v>
      </c>
      <c r="F1754" s="7">
        <v>13350</v>
      </c>
      <c r="G1754" s="34">
        <v>155</v>
      </c>
      <c r="H1754" s="35">
        <v>15</v>
      </c>
      <c r="I1754" s="38">
        <f t="shared" si="26"/>
        <v>13377.5</v>
      </c>
    </row>
    <row r="1755" spans="1:9" x14ac:dyDescent="0.2">
      <c r="A1755" s="33">
        <v>42689</v>
      </c>
      <c r="B1755" s="36">
        <v>13360</v>
      </c>
      <c r="C1755" s="7">
        <v>13365</v>
      </c>
      <c r="D1755" s="7">
        <v>13390</v>
      </c>
      <c r="E1755" s="7">
        <v>13300</v>
      </c>
      <c r="F1755" s="7">
        <v>13330</v>
      </c>
      <c r="G1755" s="34">
        <v>192</v>
      </c>
      <c r="H1755" s="35">
        <v>5</v>
      </c>
      <c r="I1755" s="38">
        <f t="shared" si="26"/>
        <v>13362.5</v>
      </c>
    </row>
    <row r="1756" spans="1:9" x14ac:dyDescent="0.2">
      <c r="A1756" s="33">
        <v>42688</v>
      </c>
      <c r="B1756" s="36">
        <v>13355</v>
      </c>
      <c r="C1756" s="7">
        <v>13360</v>
      </c>
      <c r="D1756" s="7">
        <v>13375</v>
      </c>
      <c r="E1756" s="7">
        <v>13300</v>
      </c>
      <c r="F1756" s="7">
        <v>13300</v>
      </c>
      <c r="G1756" s="34">
        <v>147</v>
      </c>
      <c r="H1756" s="35">
        <v>70</v>
      </c>
      <c r="I1756" s="38">
        <f t="shared" si="26"/>
        <v>13357.5</v>
      </c>
    </row>
    <row r="1757" spans="1:9" x14ac:dyDescent="0.2">
      <c r="A1757" s="33">
        <v>42685</v>
      </c>
      <c r="B1757" s="36">
        <v>13285</v>
      </c>
      <c r="C1757" s="7">
        <v>13290</v>
      </c>
      <c r="D1757" s="7">
        <v>13490</v>
      </c>
      <c r="E1757" s="7">
        <v>13175</v>
      </c>
      <c r="F1757" s="7">
        <v>13175</v>
      </c>
      <c r="G1757" s="34">
        <v>197</v>
      </c>
      <c r="H1757" s="35">
        <v>150</v>
      </c>
      <c r="I1757" s="38">
        <f t="shared" si="26"/>
        <v>13287.5</v>
      </c>
    </row>
    <row r="1758" spans="1:9" x14ac:dyDescent="0.2">
      <c r="A1758" s="33">
        <v>42684</v>
      </c>
      <c r="B1758" s="36">
        <v>13135</v>
      </c>
      <c r="C1758" s="7">
        <v>13140</v>
      </c>
      <c r="D1758" s="7">
        <v>13135</v>
      </c>
      <c r="E1758" s="7">
        <v>13105</v>
      </c>
      <c r="F1758" s="7">
        <v>13110</v>
      </c>
      <c r="G1758" s="34">
        <v>108</v>
      </c>
      <c r="H1758" s="35">
        <v>37</v>
      </c>
      <c r="I1758" s="38">
        <f t="shared" si="26"/>
        <v>13137.5</v>
      </c>
    </row>
    <row r="1759" spans="1:9" x14ac:dyDescent="0.2">
      <c r="A1759" s="33">
        <v>42683</v>
      </c>
      <c r="B1759" s="36">
        <v>13098</v>
      </c>
      <c r="C1759" s="7">
        <v>13100</v>
      </c>
      <c r="D1759" s="7">
        <v>13175</v>
      </c>
      <c r="E1759" s="7">
        <v>13049</v>
      </c>
      <c r="F1759" s="7">
        <v>13050</v>
      </c>
      <c r="G1759" s="34">
        <v>181</v>
      </c>
      <c r="H1759" s="35">
        <v>15</v>
      </c>
      <c r="I1759" s="38">
        <f t="shared" si="26"/>
        <v>13099</v>
      </c>
    </row>
    <row r="1760" spans="1:9" x14ac:dyDescent="0.2">
      <c r="A1760" s="33">
        <v>42682</v>
      </c>
      <c r="B1760" s="36">
        <v>13083</v>
      </c>
      <c r="C1760" s="7">
        <v>13085</v>
      </c>
      <c r="D1760" s="7">
        <v>13090</v>
      </c>
      <c r="E1760" s="7">
        <v>13065</v>
      </c>
      <c r="F1760" s="7">
        <v>13069</v>
      </c>
      <c r="G1760" s="34">
        <v>103</v>
      </c>
      <c r="H1760" s="35">
        <v>-3</v>
      </c>
      <c r="I1760" s="38">
        <f t="shared" ref="I1760:I1823" si="27">+(B1760+C1760)*0.5</f>
        <v>13084</v>
      </c>
    </row>
    <row r="1761" spans="1:9" x14ac:dyDescent="0.2">
      <c r="A1761" s="33">
        <v>42681</v>
      </c>
      <c r="B1761" s="36">
        <v>13086</v>
      </c>
      <c r="C1761" s="7">
        <v>13090</v>
      </c>
      <c r="D1761" s="7">
        <v>13086</v>
      </c>
      <c r="E1761" s="7">
        <v>13069</v>
      </c>
      <c r="F1761" s="7">
        <v>13070</v>
      </c>
      <c r="G1761" s="34">
        <v>77</v>
      </c>
      <c r="H1761" s="35">
        <v>21</v>
      </c>
      <c r="I1761" s="38">
        <f t="shared" si="27"/>
        <v>13088</v>
      </c>
    </row>
    <row r="1762" spans="1:9" x14ac:dyDescent="0.2">
      <c r="A1762" s="33">
        <v>42678</v>
      </c>
      <c r="B1762" s="36">
        <v>13065</v>
      </c>
      <c r="C1762" s="7">
        <v>13075</v>
      </c>
      <c r="D1762" s="7">
        <v>13110</v>
      </c>
      <c r="E1762" s="7">
        <v>13060</v>
      </c>
      <c r="F1762" s="7">
        <v>13075</v>
      </c>
      <c r="G1762" s="34">
        <v>157</v>
      </c>
      <c r="H1762" s="35">
        <v>-5</v>
      </c>
      <c r="I1762" s="38">
        <f t="shared" si="27"/>
        <v>13070</v>
      </c>
    </row>
    <row r="1763" spans="1:9" x14ac:dyDescent="0.2">
      <c r="A1763" s="33">
        <v>42677</v>
      </c>
      <c r="B1763" s="36">
        <v>13070</v>
      </c>
      <c r="C1763" s="7">
        <v>13080</v>
      </c>
      <c r="D1763" s="7">
        <v>13070</v>
      </c>
      <c r="E1763" s="7">
        <v>13040</v>
      </c>
      <c r="F1763" s="7">
        <v>13040</v>
      </c>
      <c r="G1763" s="34">
        <v>115</v>
      </c>
      <c r="H1763" s="35">
        <v>15</v>
      </c>
      <c r="I1763" s="38">
        <f t="shared" si="27"/>
        <v>13075</v>
      </c>
    </row>
    <row r="1764" spans="1:9" x14ac:dyDescent="0.2">
      <c r="A1764" s="33">
        <v>42676</v>
      </c>
      <c r="B1764" s="36">
        <v>13055</v>
      </c>
      <c r="C1764" s="7">
        <v>13057</v>
      </c>
      <c r="D1764" s="7">
        <v>13065</v>
      </c>
      <c r="E1764" s="7">
        <v>13039</v>
      </c>
      <c r="F1764" s="7">
        <v>13040</v>
      </c>
      <c r="G1764" s="34">
        <v>105</v>
      </c>
      <c r="H1764" s="35">
        <v>15</v>
      </c>
      <c r="I1764" s="38">
        <f t="shared" si="27"/>
        <v>13056</v>
      </c>
    </row>
    <row r="1765" spans="1:9" x14ac:dyDescent="0.2">
      <c r="A1765" s="33">
        <v>42675</v>
      </c>
      <c r="B1765" s="36">
        <v>13040</v>
      </c>
      <c r="C1765" s="7">
        <v>13043</v>
      </c>
      <c r="D1765" s="7">
        <v>13040</v>
      </c>
      <c r="E1765" s="7">
        <v>13025</v>
      </c>
      <c r="F1765" s="7">
        <v>13025</v>
      </c>
      <c r="G1765" s="34">
        <v>132</v>
      </c>
      <c r="H1765" s="35">
        <v>-7</v>
      </c>
      <c r="I1765" s="38">
        <f t="shared" si="27"/>
        <v>13041.5</v>
      </c>
    </row>
    <row r="1766" spans="1:9" x14ac:dyDescent="0.2">
      <c r="A1766" s="33">
        <v>42674</v>
      </c>
      <c r="B1766" s="36">
        <v>13047</v>
      </c>
      <c r="C1766" s="7">
        <v>13049</v>
      </c>
      <c r="D1766" s="7">
        <v>13052</v>
      </c>
      <c r="E1766" s="7">
        <v>13039</v>
      </c>
      <c r="F1766" s="7">
        <v>13050</v>
      </c>
      <c r="G1766" s="34">
        <v>94</v>
      </c>
      <c r="H1766" s="35">
        <v>-1</v>
      </c>
      <c r="I1766" s="38">
        <f t="shared" si="27"/>
        <v>13048</v>
      </c>
    </row>
    <row r="1767" spans="1:9" x14ac:dyDescent="0.2">
      <c r="A1767" s="33">
        <v>42671</v>
      </c>
      <c r="B1767" s="36">
        <v>13048</v>
      </c>
      <c r="C1767" s="7">
        <v>13053</v>
      </c>
      <c r="D1767" s="7">
        <v>13050</v>
      </c>
      <c r="E1767" s="7">
        <v>13025</v>
      </c>
      <c r="F1767" s="7">
        <v>13025</v>
      </c>
      <c r="G1767" s="34">
        <v>113</v>
      </c>
      <c r="H1767" s="35">
        <v>16</v>
      </c>
      <c r="I1767" s="38">
        <f t="shared" si="27"/>
        <v>13050.5</v>
      </c>
    </row>
    <row r="1768" spans="1:9" x14ac:dyDescent="0.2">
      <c r="A1768" s="33">
        <v>42670</v>
      </c>
      <c r="B1768" s="36">
        <v>13032</v>
      </c>
      <c r="C1768" s="7">
        <v>13034</v>
      </c>
      <c r="D1768" s="7">
        <v>13032</v>
      </c>
      <c r="E1768" s="7">
        <v>13010</v>
      </c>
      <c r="F1768" s="7">
        <v>13010</v>
      </c>
      <c r="G1768" s="34">
        <v>105</v>
      </c>
      <c r="H1768" s="35">
        <v>27</v>
      </c>
      <c r="I1768" s="38">
        <f t="shared" si="27"/>
        <v>13033</v>
      </c>
    </row>
    <row r="1769" spans="1:9" x14ac:dyDescent="0.2">
      <c r="A1769" s="33">
        <v>42669</v>
      </c>
      <c r="B1769" s="36">
        <v>13005</v>
      </c>
      <c r="C1769" s="7">
        <v>13010</v>
      </c>
      <c r="D1769" s="7">
        <v>13007</v>
      </c>
      <c r="E1769" s="7">
        <v>12980</v>
      </c>
      <c r="F1769" s="7">
        <v>12990</v>
      </c>
      <c r="G1769" s="34">
        <v>137</v>
      </c>
      <c r="H1769" s="35">
        <v>3</v>
      </c>
      <c r="I1769" s="38">
        <f t="shared" si="27"/>
        <v>13007.5</v>
      </c>
    </row>
    <row r="1770" spans="1:9" x14ac:dyDescent="0.2">
      <c r="A1770" s="33">
        <v>42668</v>
      </c>
      <c r="B1770" s="36">
        <v>13002</v>
      </c>
      <c r="C1770" s="7">
        <v>13010</v>
      </c>
      <c r="D1770" s="7">
        <v>13025</v>
      </c>
      <c r="E1770" s="7">
        <v>13000</v>
      </c>
      <c r="F1770" s="7">
        <v>13015</v>
      </c>
      <c r="G1770" s="34">
        <v>136</v>
      </c>
      <c r="H1770" s="35">
        <v>-10</v>
      </c>
      <c r="I1770" s="38">
        <f t="shared" si="27"/>
        <v>13006</v>
      </c>
    </row>
    <row r="1771" spans="1:9" x14ac:dyDescent="0.2">
      <c r="A1771" s="33">
        <v>42667</v>
      </c>
      <c r="B1771" s="36">
        <v>13012</v>
      </c>
      <c r="C1771" s="7">
        <v>13014</v>
      </c>
      <c r="D1771" s="7">
        <v>13050</v>
      </c>
      <c r="E1771" s="7">
        <v>13005</v>
      </c>
      <c r="F1771" s="7">
        <v>13030</v>
      </c>
      <c r="G1771" s="34">
        <v>107</v>
      </c>
      <c r="H1771" s="35">
        <v>-28</v>
      </c>
      <c r="I1771" s="38">
        <f t="shared" si="27"/>
        <v>13013</v>
      </c>
    </row>
    <row r="1772" spans="1:9" x14ac:dyDescent="0.2">
      <c r="A1772" s="33">
        <v>42664</v>
      </c>
      <c r="B1772" s="36">
        <v>13040</v>
      </c>
      <c r="C1772" s="7">
        <v>13050</v>
      </c>
      <c r="D1772" s="7">
        <v>13040</v>
      </c>
      <c r="E1772" s="7">
        <v>13005</v>
      </c>
      <c r="F1772" s="7">
        <v>13010</v>
      </c>
      <c r="G1772" s="34">
        <v>123</v>
      </c>
      <c r="H1772" s="35">
        <v>35</v>
      </c>
      <c r="I1772" s="38">
        <f t="shared" si="27"/>
        <v>13045</v>
      </c>
    </row>
    <row r="1773" spans="1:9" x14ac:dyDescent="0.2">
      <c r="A1773" s="33">
        <v>42663</v>
      </c>
      <c r="B1773" s="36">
        <v>13005</v>
      </c>
      <c r="C1773" s="7">
        <v>13010</v>
      </c>
      <c r="D1773" s="7">
        <v>13008</v>
      </c>
      <c r="E1773" s="7">
        <v>12980</v>
      </c>
      <c r="F1773" s="7">
        <v>12980</v>
      </c>
      <c r="G1773" s="34">
        <v>129</v>
      </c>
      <c r="H1773" s="35">
        <v>0</v>
      </c>
      <c r="I1773" s="38">
        <f t="shared" si="27"/>
        <v>13007.5</v>
      </c>
    </row>
    <row r="1774" spans="1:9" x14ac:dyDescent="0.2">
      <c r="A1774" s="33">
        <v>42662</v>
      </c>
      <c r="B1774" s="36">
        <v>13005</v>
      </c>
      <c r="C1774" s="7">
        <v>13010</v>
      </c>
      <c r="D1774" s="7">
        <v>13015</v>
      </c>
      <c r="E1774" s="7">
        <v>12995</v>
      </c>
      <c r="F1774" s="7">
        <v>13015</v>
      </c>
      <c r="G1774" s="34">
        <v>147</v>
      </c>
      <c r="H1774" s="35">
        <v>-25</v>
      </c>
      <c r="I1774" s="38">
        <f t="shared" si="27"/>
        <v>13007.5</v>
      </c>
    </row>
    <row r="1775" spans="1:9" x14ac:dyDescent="0.2">
      <c r="A1775" s="33">
        <v>42661</v>
      </c>
      <c r="B1775" s="36">
        <v>13030</v>
      </c>
      <c r="C1775" s="7">
        <v>13034</v>
      </c>
      <c r="D1775" s="7">
        <v>13052</v>
      </c>
      <c r="E1775" s="7">
        <v>13020</v>
      </c>
      <c r="F1775" s="7">
        <v>13020</v>
      </c>
      <c r="G1775" s="34">
        <v>141</v>
      </c>
      <c r="H1775" s="35">
        <v>-37</v>
      </c>
      <c r="I1775" s="38">
        <f t="shared" si="27"/>
        <v>13032</v>
      </c>
    </row>
    <row r="1776" spans="1:9" x14ac:dyDescent="0.2">
      <c r="A1776" s="33">
        <v>42660</v>
      </c>
      <c r="B1776" s="36">
        <v>13067</v>
      </c>
      <c r="C1776" s="7">
        <v>13070</v>
      </c>
      <c r="D1776" s="7">
        <v>13070</v>
      </c>
      <c r="E1776" s="7">
        <v>13035</v>
      </c>
      <c r="F1776" s="7">
        <v>13035</v>
      </c>
      <c r="G1776" s="34">
        <v>90</v>
      </c>
      <c r="H1776" s="35">
        <v>25</v>
      </c>
      <c r="I1776" s="38">
        <f t="shared" si="27"/>
        <v>13068.5</v>
      </c>
    </row>
    <row r="1777" spans="1:9" x14ac:dyDescent="0.2">
      <c r="A1777" s="33">
        <v>42657</v>
      </c>
      <c r="B1777" s="36">
        <v>13042</v>
      </c>
      <c r="C1777" s="7">
        <v>13047</v>
      </c>
      <c r="D1777" s="7">
        <v>13070</v>
      </c>
      <c r="E1777" s="7">
        <v>13030</v>
      </c>
      <c r="F1777" s="7">
        <v>13050</v>
      </c>
      <c r="G1777" s="34">
        <v>111</v>
      </c>
      <c r="H1777" s="35">
        <v>-33</v>
      </c>
      <c r="I1777" s="38">
        <f t="shared" si="27"/>
        <v>13044.5</v>
      </c>
    </row>
    <row r="1778" spans="1:9" x14ac:dyDescent="0.2">
      <c r="A1778" s="33">
        <v>42656</v>
      </c>
      <c r="B1778" s="36">
        <v>13075</v>
      </c>
      <c r="C1778" s="7">
        <v>13080</v>
      </c>
      <c r="D1778" s="7">
        <v>13075</v>
      </c>
      <c r="E1778" s="7">
        <v>13015</v>
      </c>
      <c r="F1778" s="7">
        <v>13020</v>
      </c>
      <c r="G1778" s="34">
        <v>134</v>
      </c>
      <c r="H1778" s="35">
        <v>58</v>
      </c>
      <c r="I1778" s="38">
        <f t="shared" si="27"/>
        <v>13077.5</v>
      </c>
    </row>
    <row r="1779" spans="1:9" x14ac:dyDescent="0.2">
      <c r="A1779" s="33">
        <v>42655</v>
      </c>
      <c r="B1779" s="36">
        <v>13017</v>
      </c>
      <c r="C1779" s="7">
        <v>13020</v>
      </c>
      <c r="D1779" s="7">
        <v>13025</v>
      </c>
      <c r="E1779" s="7">
        <v>13000</v>
      </c>
      <c r="F1779" s="7">
        <v>13000</v>
      </c>
      <c r="G1779" s="34">
        <v>137</v>
      </c>
      <c r="H1779" s="35">
        <v>7</v>
      </c>
      <c r="I1779" s="38">
        <f t="shared" si="27"/>
        <v>13018.5</v>
      </c>
    </row>
    <row r="1780" spans="1:9" x14ac:dyDescent="0.2">
      <c r="A1780" s="33">
        <v>42654</v>
      </c>
      <c r="B1780" s="36">
        <v>13010</v>
      </c>
      <c r="C1780" s="7">
        <v>13015</v>
      </c>
      <c r="D1780" s="7">
        <v>13015</v>
      </c>
      <c r="E1780" s="7">
        <v>12975</v>
      </c>
      <c r="F1780" s="7">
        <v>12975</v>
      </c>
      <c r="G1780" s="34">
        <v>120</v>
      </c>
      <c r="H1780" s="35">
        <v>35</v>
      </c>
      <c r="I1780" s="38">
        <f t="shared" si="27"/>
        <v>13012.5</v>
      </c>
    </row>
    <row r="1781" spans="1:9" x14ac:dyDescent="0.2">
      <c r="A1781" s="33">
        <v>42653</v>
      </c>
      <c r="B1781" s="36">
        <v>12975</v>
      </c>
      <c r="C1781" s="7">
        <v>12980</v>
      </c>
      <c r="D1781" s="7">
        <v>12980</v>
      </c>
      <c r="E1781" s="7">
        <v>12950</v>
      </c>
      <c r="F1781" s="7">
        <v>12950</v>
      </c>
      <c r="G1781" s="34">
        <v>84</v>
      </c>
      <c r="H1781" s="35">
        <v>-8</v>
      </c>
      <c r="I1781" s="38">
        <f t="shared" si="27"/>
        <v>12977.5</v>
      </c>
    </row>
    <row r="1782" spans="1:9" x14ac:dyDescent="0.2">
      <c r="A1782" s="33">
        <v>42650</v>
      </c>
      <c r="B1782" s="36">
        <v>12983</v>
      </c>
      <c r="C1782" s="7">
        <v>12987</v>
      </c>
      <c r="D1782" s="7">
        <v>13005</v>
      </c>
      <c r="E1782" s="7">
        <v>12978</v>
      </c>
      <c r="F1782" s="7">
        <v>13000</v>
      </c>
      <c r="G1782" s="34">
        <v>90</v>
      </c>
      <c r="H1782" s="35">
        <v>-3</v>
      </c>
      <c r="I1782" s="38">
        <f t="shared" si="27"/>
        <v>12985</v>
      </c>
    </row>
    <row r="1783" spans="1:9" x14ac:dyDescent="0.2">
      <c r="A1783" s="33">
        <v>42649</v>
      </c>
      <c r="B1783" s="36">
        <v>12986</v>
      </c>
      <c r="C1783" s="7">
        <v>12988</v>
      </c>
      <c r="D1783" s="7">
        <v>12995</v>
      </c>
      <c r="E1783" s="7">
        <v>12980</v>
      </c>
      <c r="F1783" s="7">
        <v>12990</v>
      </c>
      <c r="G1783" s="34">
        <v>110</v>
      </c>
      <c r="H1783" s="35">
        <v>-9</v>
      </c>
      <c r="I1783" s="38">
        <f t="shared" si="27"/>
        <v>12987</v>
      </c>
    </row>
    <row r="1784" spans="1:9" x14ac:dyDescent="0.2">
      <c r="A1784" s="33">
        <v>42648</v>
      </c>
      <c r="B1784" s="36">
        <v>12995</v>
      </c>
      <c r="C1784" s="7">
        <v>13000</v>
      </c>
      <c r="D1784" s="7">
        <v>13011</v>
      </c>
      <c r="E1784" s="7">
        <v>12980</v>
      </c>
      <c r="F1784" s="7">
        <v>13000</v>
      </c>
      <c r="G1784" s="34">
        <v>126</v>
      </c>
      <c r="H1784" s="35">
        <v>15</v>
      </c>
      <c r="I1784" s="38">
        <f t="shared" si="27"/>
        <v>12997.5</v>
      </c>
    </row>
    <row r="1785" spans="1:9" x14ac:dyDescent="0.2">
      <c r="A1785" s="33">
        <v>42647</v>
      </c>
      <c r="B1785" s="36">
        <v>12980</v>
      </c>
      <c r="C1785" s="7">
        <v>12983</v>
      </c>
      <c r="D1785" s="7">
        <v>12998</v>
      </c>
      <c r="E1785" s="7">
        <v>12970</v>
      </c>
      <c r="F1785" s="7">
        <v>12980</v>
      </c>
      <c r="G1785" s="34">
        <v>113</v>
      </c>
      <c r="H1785" s="35">
        <v>0</v>
      </c>
      <c r="I1785" s="38">
        <f t="shared" si="27"/>
        <v>12981.5</v>
      </c>
    </row>
    <row r="1786" spans="1:9" x14ac:dyDescent="0.2">
      <c r="A1786" s="33">
        <v>42646</v>
      </c>
      <c r="B1786" s="36">
        <v>12980</v>
      </c>
      <c r="C1786" s="7">
        <v>12985</v>
      </c>
      <c r="D1786" s="7">
        <v>13020</v>
      </c>
      <c r="E1786" s="7">
        <v>12965</v>
      </c>
      <c r="F1786" s="7">
        <v>13020</v>
      </c>
      <c r="G1786" s="34">
        <v>111</v>
      </c>
      <c r="H1786" s="35">
        <v>-67</v>
      </c>
      <c r="I1786" s="38">
        <f t="shared" si="27"/>
        <v>12982.5</v>
      </c>
    </row>
    <row r="1787" spans="1:9" x14ac:dyDescent="0.2">
      <c r="A1787" s="33">
        <v>42643</v>
      </c>
      <c r="B1787" s="36">
        <v>13047</v>
      </c>
      <c r="C1787" s="7">
        <v>13055</v>
      </c>
      <c r="D1787" s="7">
        <v>13050</v>
      </c>
      <c r="E1787" s="7">
        <v>12980</v>
      </c>
      <c r="F1787" s="7">
        <v>12980</v>
      </c>
      <c r="G1787" s="34">
        <v>171</v>
      </c>
      <c r="H1787" s="35">
        <v>77</v>
      </c>
      <c r="I1787" s="38">
        <f t="shared" si="27"/>
        <v>13051</v>
      </c>
    </row>
    <row r="1788" spans="1:9" x14ac:dyDescent="0.2">
      <c r="A1788" s="33">
        <v>42642</v>
      </c>
      <c r="B1788" s="36">
        <v>12970</v>
      </c>
      <c r="C1788" s="7">
        <v>12980</v>
      </c>
      <c r="D1788" s="7">
        <v>12980</v>
      </c>
      <c r="E1788" s="7">
        <v>12925</v>
      </c>
      <c r="F1788" s="7">
        <v>12935</v>
      </c>
      <c r="G1788" s="34">
        <v>115</v>
      </c>
      <c r="H1788" s="35">
        <v>25</v>
      </c>
      <c r="I1788" s="38">
        <f t="shared" si="27"/>
        <v>12975</v>
      </c>
    </row>
    <row r="1789" spans="1:9" x14ac:dyDescent="0.2">
      <c r="A1789" s="33">
        <v>42641</v>
      </c>
      <c r="B1789" s="36">
        <v>12945</v>
      </c>
      <c r="C1789" s="7">
        <v>12950</v>
      </c>
      <c r="D1789" s="7">
        <v>12955</v>
      </c>
      <c r="E1789" s="7">
        <v>12915</v>
      </c>
      <c r="F1789" s="7">
        <v>12930</v>
      </c>
      <c r="G1789" s="34">
        <v>157</v>
      </c>
      <c r="H1789" s="35">
        <v>-5</v>
      </c>
      <c r="I1789" s="38">
        <f t="shared" si="27"/>
        <v>12947.5</v>
      </c>
    </row>
    <row r="1790" spans="1:9" x14ac:dyDescent="0.2">
      <c r="A1790" s="33">
        <v>42640</v>
      </c>
      <c r="B1790" s="36">
        <v>12950</v>
      </c>
      <c r="C1790" s="7">
        <v>12960</v>
      </c>
      <c r="D1790" s="7">
        <v>13045</v>
      </c>
      <c r="E1790" s="7">
        <v>12930</v>
      </c>
      <c r="F1790" s="7">
        <v>13018</v>
      </c>
      <c r="G1790" s="34">
        <v>174</v>
      </c>
      <c r="H1790" s="35">
        <v>-75</v>
      </c>
      <c r="I1790" s="38">
        <f t="shared" si="27"/>
        <v>12955</v>
      </c>
    </row>
    <row r="1791" spans="1:9" x14ac:dyDescent="0.2">
      <c r="A1791" s="33">
        <v>42639</v>
      </c>
      <c r="B1791" s="36">
        <v>13025</v>
      </c>
      <c r="C1791" s="7">
        <v>13035</v>
      </c>
      <c r="D1791" s="7">
        <v>13080</v>
      </c>
      <c r="E1791" s="7">
        <v>13025</v>
      </c>
      <c r="F1791" s="7">
        <v>13070</v>
      </c>
      <c r="G1791" s="34">
        <v>99</v>
      </c>
      <c r="H1791" s="35">
        <v>-50</v>
      </c>
      <c r="I1791" s="38">
        <f t="shared" si="27"/>
        <v>13030</v>
      </c>
    </row>
    <row r="1792" spans="1:9" x14ac:dyDescent="0.2">
      <c r="A1792" s="33">
        <v>42636</v>
      </c>
      <c r="B1792" s="36">
        <v>13075</v>
      </c>
      <c r="C1792" s="7">
        <v>13078</v>
      </c>
      <c r="D1792" s="7">
        <v>13100</v>
      </c>
      <c r="E1792" s="7">
        <v>13050</v>
      </c>
      <c r="F1792" s="7">
        <v>13060</v>
      </c>
      <c r="G1792" s="34">
        <v>129</v>
      </c>
      <c r="H1792" s="35">
        <v>-10</v>
      </c>
      <c r="I1792" s="38">
        <f t="shared" si="27"/>
        <v>13076.5</v>
      </c>
    </row>
    <row r="1793" spans="1:9" x14ac:dyDescent="0.2">
      <c r="A1793" s="33">
        <v>42635</v>
      </c>
      <c r="B1793" s="36">
        <v>13085</v>
      </c>
      <c r="C1793" s="7">
        <v>13095</v>
      </c>
      <c r="D1793" s="7">
        <v>13105</v>
      </c>
      <c r="E1793" s="7">
        <v>13075</v>
      </c>
      <c r="F1793" s="7">
        <v>13085</v>
      </c>
      <c r="G1793" s="34">
        <v>116</v>
      </c>
      <c r="H1793" s="35">
        <v>-49</v>
      </c>
      <c r="I1793" s="38">
        <f t="shared" si="27"/>
        <v>13090</v>
      </c>
    </row>
    <row r="1794" spans="1:9" x14ac:dyDescent="0.2">
      <c r="A1794" s="33">
        <v>42634</v>
      </c>
      <c r="B1794" s="36">
        <v>13134</v>
      </c>
      <c r="C1794" s="7">
        <v>13137</v>
      </c>
      <c r="D1794" s="7">
        <v>13160</v>
      </c>
      <c r="E1794" s="7">
        <v>13130</v>
      </c>
      <c r="F1794" s="7">
        <v>13130</v>
      </c>
      <c r="G1794" s="34">
        <v>195</v>
      </c>
      <c r="H1794" s="35">
        <v>-16</v>
      </c>
      <c r="I1794" s="38">
        <f t="shared" si="27"/>
        <v>13135.5</v>
      </c>
    </row>
    <row r="1795" spans="1:9" x14ac:dyDescent="0.2">
      <c r="A1795" s="33">
        <v>42633</v>
      </c>
      <c r="B1795" s="36">
        <v>13150</v>
      </c>
      <c r="C1795" s="7">
        <v>13155</v>
      </c>
      <c r="D1795" s="7">
        <v>13155</v>
      </c>
      <c r="E1795" s="7">
        <v>13135</v>
      </c>
      <c r="F1795" s="7">
        <v>13140</v>
      </c>
      <c r="G1795" s="34">
        <v>102</v>
      </c>
      <c r="H1795" s="35">
        <v>-5</v>
      </c>
      <c r="I1795" s="38">
        <f t="shared" si="27"/>
        <v>13152.5</v>
      </c>
    </row>
    <row r="1796" spans="1:9" x14ac:dyDescent="0.2">
      <c r="A1796" s="33">
        <v>42632</v>
      </c>
      <c r="B1796" s="36">
        <v>13155</v>
      </c>
      <c r="C1796" s="7">
        <v>13157</v>
      </c>
      <c r="D1796" s="7">
        <v>13175</v>
      </c>
      <c r="E1796" s="7">
        <v>13150</v>
      </c>
      <c r="F1796" s="7">
        <v>13160</v>
      </c>
      <c r="G1796" s="34">
        <v>107</v>
      </c>
      <c r="H1796" s="35">
        <v>0</v>
      </c>
      <c r="I1796" s="38">
        <f t="shared" si="27"/>
        <v>13156</v>
      </c>
    </row>
    <row r="1797" spans="1:9" x14ac:dyDescent="0.2">
      <c r="A1797" s="33">
        <v>42629</v>
      </c>
      <c r="B1797" s="36">
        <v>13155</v>
      </c>
      <c r="C1797" s="7">
        <v>13160</v>
      </c>
      <c r="D1797" s="7">
        <v>13158</v>
      </c>
      <c r="E1797" s="7">
        <v>13115</v>
      </c>
      <c r="F1797" s="7">
        <v>13130</v>
      </c>
      <c r="G1797" s="34">
        <v>118</v>
      </c>
      <c r="H1797" s="35">
        <v>-15</v>
      </c>
      <c r="I1797" s="38">
        <f t="shared" si="27"/>
        <v>13157.5</v>
      </c>
    </row>
    <row r="1798" spans="1:9" x14ac:dyDescent="0.2">
      <c r="A1798" s="33">
        <v>42628</v>
      </c>
      <c r="B1798" s="36">
        <v>13170</v>
      </c>
      <c r="C1798" s="7">
        <v>13180</v>
      </c>
      <c r="D1798" s="7">
        <v>13195</v>
      </c>
      <c r="E1798" s="7">
        <v>13155</v>
      </c>
      <c r="F1798" s="7">
        <v>13180</v>
      </c>
      <c r="G1798" s="34">
        <v>158</v>
      </c>
      <c r="H1798" s="35">
        <v>-32</v>
      </c>
      <c r="I1798" s="38">
        <f t="shared" si="27"/>
        <v>13175</v>
      </c>
    </row>
    <row r="1799" spans="1:9" x14ac:dyDescent="0.2">
      <c r="A1799" s="33">
        <v>42627</v>
      </c>
      <c r="B1799" s="36">
        <v>13202</v>
      </c>
      <c r="C1799" s="7">
        <v>13207</v>
      </c>
      <c r="D1799" s="7">
        <v>13238</v>
      </c>
      <c r="E1799" s="7">
        <v>13195</v>
      </c>
      <c r="F1799" s="7">
        <v>13205</v>
      </c>
      <c r="G1799" s="34">
        <v>192</v>
      </c>
      <c r="H1799" s="35">
        <v>37</v>
      </c>
      <c r="I1799" s="38">
        <f t="shared" si="27"/>
        <v>13204.5</v>
      </c>
    </row>
    <row r="1800" spans="1:9" x14ac:dyDescent="0.2">
      <c r="A1800" s="33">
        <v>42626</v>
      </c>
      <c r="B1800" s="36">
        <v>13165</v>
      </c>
      <c r="C1800" s="7">
        <v>13175</v>
      </c>
      <c r="D1800" s="7">
        <v>13188</v>
      </c>
      <c r="E1800" s="7">
        <v>13125</v>
      </c>
      <c r="F1800" s="7">
        <v>13125</v>
      </c>
      <c r="G1800" s="34">
        <v>116</v>
      </c>
      <c r="H1800" s="35">
        <v>68</v>
      </c>
      <c r="I1800" s="38">
        <f t="shared" si="27"/>
        <v>13170</v>
      </c>
    </row>
    <row r="1801" spans="1:9" x14ac:dyDescent="0.2">
      <c r="A1801" s="33">
        <v>42625</v>
      </c>
      <c r="B1801" s="36">
        <v>13097</v>
      </c>
      <c r="C1801" s="7">
        <v>13102</v>
      </c>
      <c r="D1801" s="7"/>
      <c r="E1801" s="7"/>
      <c r="F1801" s="7"/>
      <c r="G1801" s="34"/>
      <c r="H1801" s="35">
        <v>0</v>
      </c>
      <c r="I1801" s="38">
        <f t="shared" si="27"/>
        <v>13099.5</v>
      </c>
    </row>
    <row r="1802" spans="1:9" x14ac:dyDescent="0.2">
      <c r="A1802" s="33">
        <v>42622</v>
      </c>
      <c r="B1802" s="36">
        <v>13097</v>
      </c>
      <c r="C1802" s="7">
        <v>13102</v>
      </c>
      <c r="D1802" s="7">
        <v>13105</v>
      </c>
      <c r="E1802" s="7">
        <v>13069</v>
      </c>
      <c r="F1802" s="7">
        <v>13080</v>
      </c>
      <c r="G1802" s="34">
        <v>137</v>
      </c>
      <c r="H1802" s="35">
        <v>37</v>
      </c>
      <c r="I1802" s="38">
        <f t="shared" si="27"/>
        <v>13099.5</v>
      </c>
    </row>
    <row r="1803" spans="1:9" x14ac:dyDescent="0.2">
      <c r="A1803" s="33">
        <v>42621</v>
      </c>
      <c r="B1803" s="36">
        <v>13060</v>
      </c>
      <c r="C1803" s="7">
        <v>13065</v>
      </c>
      <c r="D1803" s="7">
        <v>13103</v>
      </c>
      <c r="E1803" s="7">
        <v>13055</v>
      </c>
      <c r="F1803" s="7">
        <v>13060</v>
      </c>
      <c r="G1803" s="34">
        <v>138</v>
      </c>
      <c r="H1803" s="35">
        <v>-20</v>
      </c>
      <c r="I1803" s="38">
        <f t="shared" si="27"/>
        <v>13062.5</v>
      </c>
    </row>
    <row r="1804" spans="1:9" x14ac:dyDescent="0.2">
      <c r="A1804" s="33">
        <v>42620</v>
      </c>
      <c r="B1804" s="36">
        <v>13080</v>
      </c>
      <c r="C1804" s="7">
        <v>13090</v>
      </c>
      <c r="D1804" s="7">
        <v>13090</v>
      </c>
      <c r="E1804" s="7">
        <v>13070</v>
      </c>
      <c r="F1804" s="7">
        <v>13075</v>
      </c>
      <c r="G1804" s="34">
        <v>187</v>
      </c>
      <c r="H1804" s="35">
        <v>-45</v>
      </c>
      <c r="I1804" s="38">
        <f t="shared" si="27"/>
        <v>13085</v>
      </c>
    </row>
    <row r="1805" spans="1:9" x14ac:dyDescent="0.2">
      <c r="A1805" s="33">
        <v>42619</v>
      </c>
      <c r="B1805" s="36">
        <v>13125</v>
      </c>
      <c r="C1805" s="7">
        <v>13128</v>
      </c>
      <c r="D1805" s="7">
        <v>13165</v>
      </c>
      <c r="E1805" s="7">
        <v>13120</v>
      </c>
      <c r="F1805" s="7">
        <v>13150</v>
      </c>
      <c r="G1805" s="34">
        <v>156</v>
      </c>
      <c r="H1805" s="35">
        <v>-25</v>
      </c>
      <c r="I1805" s="38">
        <f t="shared" si="27"/>
        <v>13126.5</v>
      </c>
    </row>
    <row r="1806" spans="1:9" x14ac:dyDescent="0.2">
      <c r="A1806" s="33">
        <v>42618</v>
      </c>
      <c r="B1806" s="36">
        <v>13150</v>
      </c>
      <c r="C1806" s="7">
        <v>13155</v>
      </c>
      <c r="D1806" s="7">
        <v>13215</v>
      </c>
      <c r="E1806" s="7">
        <v>13145</v>
      </c>
      <c r="F1806" s="7">
        <v>13215</v>
      </c>
      <c r="G1806" s="34">
        <v>139</v>
      </c>
      <c r="H1806" s="35">
        <v>-95</v>
      </c>
      <c r="I1806" s="38">
        <f t="shared" si="27"/>
        <v>13152.5</v>
      </c>
    </row>
    <row r="1807" spans="1:9" x14ac:dyDescent="0.2">
      <c r="A1807" s="33">
        <v>42615</v>
      </c>
      <c r="B1807" s="36">
        <v>13245</v>
      </c>
      <c r="C1807" s="7">
        <v>13249</v>
      </c>
      <c r="D1807" s="7">
        <v>13263</v>
      </c>
      <c r="E1807" s="7">
        <v>13233</v>
      </c>
      <c r="F1807" s="7">
        <v>13245</v>
      </c>
      <c r="G1807" s="34">
        <v>127</v>
      </c>
      <c r="H1807" s="35">
        <v>-21</v>
      </c>
      <c r="I1807" s="38">
        <f t="shared" si="27"/>
        <v>13247</v>
      </c>
    </row>
    <row r="1808" spans="1:9" x14ac:dyDescent="0.2">
      <c r="A1808" s="33">
        <v>42614</v>
      </c>
      <c r="B1808" s="36">
        <v>13266</v>
      </c>
      <c r="C1808" s="7">
        <v>13270</v>
      </c>
      <c r="D1808" s="7">
        <v>13278</v>
      </c>
      <c r="E1808" s="7">
        <v>13255</v>
      </c>
      <c r="F1808" s="7">
        <v>13260</v>
      </c>
      <c r="G1808" s="34">
        <v>130</v>
      </c>
      <c r="H1808" s="35">
        <v>1</v>
      </c>
      <c r="I1808" s="38">
        <f t="shared" si="27"/>
        <v>13268</v>
      </c>
    </row>
    <row r="1809" spans="1:9" x14ac:dyDescent="0.2">
      <c r="A1809" s="33">
        <v>42613</v>
      </c>
      <c r="B1809" s="36">
        <v>13265</v>
      </c>
      <c r="C1809" s="7">
        <v>13270</v>
      </c>
      <c r="D1809" s="7">
        <v>13306</v>
      </c>
      <c r="E1809" s="7">
        <v>13254</v>
      </c>
      <c r="F1809" s="7">
        <v>13280</v>
      </c>
      <c r="G1809" s="34">
        <v>155</v>
      </c>
      <c r="H1809" s="35">
        <v>-10</v>
      </c>
      <c r="I1809" s="38">
        <f t="shared" si="27"/>
        <v>13267.5</v>
      </c>
    </row>
    <row r="1810" spans="1:9" x14ac:dyDescent="0.2">
      <c r="A1810" s="33">
        <v>42612</v>
      </c>
      <c r="B1810" s="36">
        <v>13275</v>
      </c>
      <c r="C1810" s="7">
        <v>13280</v>
      </c>
      <c r="D1810" s="7">
        <v>13275</v>
      </c>
      <c r="E1810" s="7">
        <v>13240</v>
      </c>
      <c r="F1810" s="7">
        <v>13240</v>
      </c>
      <c r="G1810" s="34">
        <v>84</v>
      </c>
      <c r="H1810" s="35">
        <v>15</v>
      </c>
      <c r="I1810" s="38">
        <f t="shared" si="27"/>
        <v>13277.5</v>
      </c>
    </row>
    <row r="1811" spans="1:9" x14ac:dyDescent="0.2">
      <c r="A1811" s="33">
        <v>42611</v>
      </c>
      <c r="B1811" s="36">
        <v>13260</v>
      </c>
      <c r="C1811" s="7">
        <v>13270</v>
      </c>
      <c r="D1811" s="7">
        <v>13280</v>
      </c>
      <c r="E1811" s="7">
        <v>13230</v>
      </c>
      <c r="F1811" s="7">
        <v>13230</v>
      </c>
      <c r="G1811" s="34">
        <v>132</v>
      </c>
      <c r="H1811" s="35">
        <v>55</v>
      </c>
      <c r="I1811" s="38">
        <f t="shared" si="27"/>
        <v>13265</v>
      </c>
    </row>
    <row r="1812" spans="1:9" x14ac:dyDescent="0.2">
      <c r="A1812" s="33">
        <v>42608</v>
      </c>
      <c r="B1812" s="36">
        <v>13205</v>
      </c>
      <c r="C1812" s="7">
        <v>13207</v>
      </c>
      <c r="D1812" s="7">
        <v>13243</v>
      </c>
      <c r="E1812" s="7">
        <v>13205</v>
      </c>
      <c r="F1812" s="7">
        <v>13225</v>
      </c>
      <c r="G1812" s="34">
        <v>147</v>
      </c>
      <c r="H1812" s="35">
        <v>-35</v>
      </c>
      <c r="I1812" s="38">
        <f t="shared" si="27"/>
        <v>13206</v>
      </c>
    </row>
    <row r="1813" spans="1:9" x14ac:dyDescent="0.2">
      <c r="A1813" s="33">
        <v>42607</v>
      </c>
      <c r="B1813" s="36">
        <v>13240</v>
      </c>
      <c r="C1813" s="7">
        <v>13243</v>
      </c>
      <c r="D1813" s="7">
        <v>13270</v>
      </c>
      <c r="E1813" s="7">
        <v>13238</v>
      </c>
      <c r="F1813" s="7">
        <v>13240</v>
      </c>
      <c r="G1813" s="34">
        <v>126</v>
      </c>
      <c r="H1813" s="35">
        <v>-5</v>
      </c>
      <c r="I1813" s="38">
        <f t="shared" si="27"/>
        <v>13241.5</v>
      </c>
    </row>
    <row r="1814" spans="1:9" x14ac:dyDescent="0.2">
      <c r="A1814" s="33">
        <v>42606</v>
      </c>
      <c r="B1814" s="36">
        <v>13245</v>
      </c>
      <c r="C1814" s="7">
        <v>13250</v>
      </c>
      <c r="D1814" s="7">
        <v>13270</v>
      </c>
      <c r="E1814" s="7">
        <v>13230</v>
      </c>
      <c r="F1814" s="7">
        <v>13230</v>
      </c>
      <c r="G1814" s="34">
        <v>152</v>
      </c>
      <c r="H1814" s="35">
        <v>27</v>
      </c>
      <c r="I1814" s="38">
        <f t="shared" si="27"/>
        <v>13247.5</v>
      </c>
    </row>
    <row r="1815" spans="1:9" x14ac:dyDescent="0.2">
      <c r="A1815" s="33">
        <v>42605</v>
      </c>
      <c r="B1815" s="36">
        <v>13218</v>
      </c>
      <c r="C1815" s="7">
        <v>13220</v>
      </c>
      <c r="D1815" s="7">
        <v>13230</v>
      </c>
      <c r="E1815" s="7">
        <v>13200</v>
      </c>
      <c r="F1815" s="7">
        <v>13200</v>
      </c>
      <c r="G1815" s="34">
        <v>85</v>
      </c>
      <c r="H1815" s="35">
        <v>8</v>
      </c>
      <c r="I1815" s="38">
        <f t="shared" si="27"/>
        <v>13219</v>
      </c>
    </row>
    <row r="1816" spans="1:9" x14ac:dyDescent="0.2">
      <c r="A1816" s="33">
        <v>42604</v>
      </c>
      <c r="B1816" s="36">
        <v>13210</v>
      </c>
      <c r="C1816" s="7">
        <v>13213</v>
      </c>
      <c r="D1816" s="7">
        <v>13235</v>
      </c>
      <c r="E1816" s="7">
        <v>13160</v>
      </c>
      <c r="F1816" s="7">
        <v>13160</v>
      </c>
      <c r="G1816" s="34">
        <v>161</v>
      </c>
      <c r="H1816" s="35">
        <v>55</v>
      </c>
      <c r="I1816" s="38">
        <f t="shared" si="27"/>
        <v>13211.5</v>
      </c>
    </row>
    <row r="1817" spans="1:9" x14ac:dyDescent="0.2">
      <c r="A1817" s="33">
        <v>42601</v>
      </c>
      <c r="B1817" s="36">
        <v>13155</v>
      </c>
      <c r="C1817" s="7">
        <v>13160</v>
      </c>
      <c r="D1817" s="7">
        <v>13155</v>
      </c>
      <c r="E1817" s="7">
        <v>13110</v>
      </c>
      <c r="F1817" s="7">
        <v>13110</v>
      </c>
      <c r="G1817" s="34">
        <v>131</v>
      </c>
      <c r="H1817" s="35">
        <v>39</v>
      </c>
      <c r="I1817" s="38">
        <f t="shared" si="27"/>
        <v>13157.5</v>
      </c>
    </row>
    <row r="1818" spans="1:9" x14ac:dyDescent="0.2">
      <c r="A1818" s="33">
        <v>42600</v>
      </c>
      <c r="B1818" s="36">
        <v>13116</v>
      </c>
      <c r="C1818" s="7">
        <v>13117</v>
      </c>
      <c r="D1818" s="7">
        <v>13116</v>
      </c>
      <c r="E1818" s="7">
        <v>13090</v>
      </c>
      <c r="F1818" s="7">
        <v>13100</v>
      </c>
      <c r="G1818" s="34">
        <v>124</v>
      </c>
      <c r="H1818" s="35">
        <v>21</v>
      </c>
      <c r="I1818" s="38">
        <f t="shared" si="27"/>
        <v>13116.5</v>
      </c>
    </row>
    <row r="1819" spans="1:9" x14ac:dyDescent="0.2">
      <c r="A1819" s="33">
        <v>42599</v>
      </c>
      <c r="B1819" s="36">
        <v>13095</v>
      </c>
      <c r="C1819" s="7">
        <v>13097</v>
      </c>
      <c r="D1819" s="7"/>
      <c r="E1819" s="7"/>
      <c r="F1819" s="7"/>
      <c r="G1819" s="34"/>
      <c r="H1819" s="35">
        <v>0</v>
      </c>
      <c r="I1819" s="38">
        <f t="shared" si="27"/>
        <v>13096</v>
      </c>
    </row>
    <row r="1820" spans="1:9" x14ac:dyDescent="0.2">
      <c r="A1820" s="33">
        <v>42598</v>
      </c>
      <c r="B1820" s="36">
        <v>13095</v>
      </c>
      <c r="C1820" s="7">
        <v>13097</v>
      </c>
      <c r="D1820" s="7">
        <v>13103</v>
      </c>
      <c r="E1820" s="7">
        <v>13080</v>
      </c>
      <c r="F1820" s="7">
        <v>13080</v>
      </c>
      <c r="G1820" s="34">
        <v>232</v>
      </c>
      <c r="H1820" s="35">
        <v>-15</v>
      </c>
      <c r="I1820" s="38">
        <f t="shared" si="27"/>
        <v>13096</v>
      </c>
    </row>
    <row r="1821" spans="1:9" x14ac:dyDescent="0.2">
      <c r="A1821" s="33">
        <v>42597</v>
      </c>
      <c r="B1821" s="36">
        <v>13110</v>
      </c>
      <c r="C1821" s="7">
        <v>13115</v>
      </c>
      <c r="D1821" s="7">
        <v>13122</v>
      </c>
      <c r="E1821" s="7">
        <v>13100</v>
      </c>
      <c r="F1821" s="7">
        <v>13115</v>
      </c>
      <c r="G1821" s="34">
        <v>149</v>
      </c>
      <c r="H1821" s="35">
        <v>-10</v>
      </c>
      <c r="I1821" s="38">
        <f t="shared" si="27"/>
        <v>13112.5</v>
      </c>
    </row>
    <row r="1822" spans="1:9" x14ac:dyDescent="0.2">
      <c r="A1822" s="33">
        <v>42594</v>
      </c>
      <c r="B1822" s="36">
        <v>13120</v>
      </c>
      <c r="C1822" s="7">
        <v>13122</v>
      </c>
      <c r="D1822" s="7">
        <v>13122</v>
      </c>
      <c r="E1822" s="7">
        <v>13110</v>
      </c>
      <c r="F1822" s="7">
        <v>13110</v>
      </c>
      <c r="G1822" s="34">
        <v>126</v>
      </c>
      <c r="H1822" s="35">
        <v>4</v>
      </c>
      <c r="I1822" s="38">
        <f t="shared" si="27"/>
        <v>13121</v>
      </c>
    </row>
    <row r="1823" spans="1:9" x14ac:dyDescent="0.2">
      <c r="A1823" s="33">
        <v>42593</v>
      </c>
      <c r="B1823" s="36">
        <v>13116</v>
      </c>
      <c r="C1823" s="7">
        <v>13118</v>
      </c>
      <c r="D1823" s="7">
        <v>13123</v>
      </c>
      <c r="E1823" s="7">
        <v>13100</v>
      </c>
      <c r="F1823" s="7">
        <v>13100</v>
      </c>
      <c r="G1823" s="34">
        <v>114</v>
      </c>
      <c r="H1823" s="35">
        <v>4</v>
      </c>
      <c r="I1823" s="38">
        <f t="shared" si="27"/>
        <v>13117</v>
      </c>
    </row>
    <row r="1824" spans="1:9" x14ac:dyDescent="0.2">
      <c r="A1824" s="33">
        <v>42592</v>
      </c>
      <c r="B1824" s="36">
        <v>13112</v>
      </c>
      <c r="C1824" s="7">
        <v>13115</v>
      </c>
      <c r="D1824" s="7">
        <v>13123</v>
      </c>
      <c r="E1824" s="7">
        <v>13110</v>
      </c>
      <c r="F1824" s="7">
        <v>13110</v>
      </c>
      <c r="G1824" s="34">
        <v>181</v>
      </c>
      <c r="H1824" s="35">
        <v>-18</v>
      </c>
      <c r="I1824" s="38">
        <f t="shared" ref="I1824:I1887" si="28">+(B1824+C1824)*0.5</f>
        <v>13113.5</v>
      </c>
    </row>
    <row r="1825" spans="1:9" x14ac:dyDescent="0.2">
      <c r="A1825" s="33">
        <v>42591</v>
      </c>
      <c r="B1825" s="36">
        <v>13130</v>
      </c>
      <c r="C1825" s="7">
        <v>13135</v>
      </c>
      <c r="D1825" s="7">
        <v>13133</v>
      </c>
      <c r="E1825" s="7">
        <v>13115</v>
      </c>
      <c r="F1825" s="7">
        <v>13120</v>
      </c>
      <c r="G1825" s="34">
        <v>112</v>
      </c>
      <c r="H1825" s="35">
        <v>1</v>
      </c>
      <c r="I1825" s="38">
        <f t="shared" si="28"/>
        <v>13132.5</v>
      </c>
    </row>
    <row r="1826" spans="1:9" x14ac:dyDescent="0.2">
      <c r="A1826" s="33">
        <v>42590</v>
      </c>
      <c r="B1826" s="36">
        <v>13129</v>
      </c>
      <c r="C1826" s="7">
        <v>13131</v>
      </c>
      <c r="D1826" s="7">
        <v>13150</v>
      </c>
      <c r="E1826" s="7">
        <v>13123</v>
      </c>
      <c r="F1826" s="7">
        <v>13130</v>
      </c>
      <c r="G1826" s="34">
        <v>140</v>
      </c>
      <c r="H1826" s="35">
        <v>4</v>
      </c>
      <c r="I1826" s="38">
        <f t="shared" si="28"/>
        <v>13130</v>
      </c>
    </row>
    <row r="1827" spans="1:9" x14ac:dyDescent="0.2">
      <c r="A1827" s="33">
        <v>42587</v>
      </c>
      <c r="B1827" s="36">
        <v>13125</v>
      </c>
      <c r="C1827" s="7">
        <v>13132</v>
      </c>
      <c r="D1827" s="7">
        <v>13128</v>
      </c>
      <c r="E1827" s="7">
        <v>13111</v>
      </c>
      <c r="F1827" s="7">
        <v>13115</v>
      </c>
      <c r="G1827" s="34">
        <v>252</v>
      </c>
      <c r="H1827" s="35">
        <v>-10</v>
      </c>
      <c r="I1827" s="38">
        <f t="shared" si="28"/>
        <v>13128.5</v>
      </c>
    </row>
    <row r="1828" spans="1:9" x14ac:dyDescent="0.2">
      <c r="A1828" s="33">
        <v>42586</v>
      </c>
      <c r="B1828" s="36">
        <v>13135</v>
      </c>
      <c r="C1828" s="7">
        <v>13140</v>
      </c>
      <c r="D1828" s="7">
        <v>13147</v>
      </c>
      <c r="E1828" s="7">
        <v>13130</v>
      </c>
      <c r="F1828" s="7">
        <v>13130</v>
      </c>
      <c r="G1828" s="34">
        <v>129</v>
      </c>
      <c r="H1828" s="35">
        <v>15</v>
      </c>
      <c r="I1828" s="38">
        <f t="shared" si="28"/>
        <v>13137.5</v>
      </c>
    </row>
    <row r="1829" spans="1:9" x14ac:dyDescent="0.2">
      <c r="A1829" s="33">
        <v>42585</v>
      </c>
      <c r="B1829" s="36">
        <v>13120</v>
      </c>
      <c r="C1829" s="7">
        <v>13130</v>
      </c>
      <c r="D1829" s="7">
        <v>13137</v>
      </c>
      <c r="E1829" s="7">
        <v>13085</v>
      </c>
      <c r="F1829" s="7">
        <v>13110</v>
      </c>
      <c r="G1829" s="34">
        <v>194</v>
      </c>
      <c r="H1829" s="35">
        <v>25</v>
      </c>
      <c r="I1829" s="38">
        <f t="shared" si="28"/>
        <v>13125</v>
      </c>
    </row>
    <row r="1830" spans="1:9" x14ac:dyDescent="0.2">
      <c r="A1830" s="33">
        <v>42584</v>
      </c>
      <c r="B1830" s="36">
        <v>13095</v>
      </c>
      <c r="C1830" s="7">
        <v>13100</v>
      </c>
      <c r="D1830" s="7">
        <v>13100</v>
      </c>
      <c r="E1830" s="7">
        <v>13060</v>
      </c>
      <c r="F1830" s="7">
        <v>13060</v>
      </c>
      <c r="G1830" s="34">
        <v>188</v>
      </c>
      <c r="H1830" s="35">
        <v>25</v>
      </c>
      <c r="I1830" s="38">
        <f t="shared" si="28"/>
        <v>13097.5</v>
      </c>
    </row>
    <row r="1831" spans="1:9" x14ac:dyDescent="0.2">
      <c r="A1831" s="33">
        <v>42583</v>
      </c>
      <c r="B1831" s="36">
        <v>13070</v>
      </c>
      <c r="C1831" s="7">
        <v>13072</v>
      </c>
      <c r="D1831" s="7">
        <v>13080</v>
      </c>
      <c r="E1831" s="7">
        <v>13065</v>
      </c>
      <c r="F1831" s="7">
        <v>13080</v>
      </c>
      <c r="G1831" s="34">
        <v>162</v>
      </c>
      <c r="H1831" s="35">
        <v>-27</v>
      </c>
      <c r="I1831" s="38">
        <f t="shared" si="28"/>
        <v>13071</v>
      </c>
    </row>
    <row r="1832" spans="1:9" x14ac:dyDescent="0.2">
      <c r="A1832" s="33">
        <v>42580</v>
      </c>
      <c r="B1832" s="36">
        <v>13097</v>
      </c>
      <c r="C1832" s="7">
        <v>13100</v>
      </c>
      <c r="D1832" s="7">
        <v>13111</v>
      </c>
      <c r="E1832" s="7">
        <v>13080</v>
      </c>
      <c r="F1832" s="7">
        <v>13090</v>
      </c>
      <c r="G1832" s="34">
        <v>146</v>
      </c>
      <c r="H1832" s="35">
        <v>-3</v>
      </c>
      <c r="I1832" s="38">
        <f t="shared" si="28"/>
        <v>13098.5</v>
      </c>
    </row>
    <row r="1833" spans="1:9" x14ac:dyDescent="0.2">
      <c r="A1833" s="33">
        <v>42579</v>
      </c>
      <c r="B1833" s="36">
        <v>13100</v>
      </c>
      <c r="C1833" s="7">
        <v>13102</v>
      </c>
      <c r="D1833" s="7">
        <v>13117</v>
      </c>
      <c r="E1833" s="7">
        <v>13092</v>
      </c>
      <c r="F1833" s="7">
        <v>13100</v>
      </c>
      <c r="G1833" s="34">
        <v>200</v>
      </c>
      <c r="H1833" s="35">
        <v>-35</v>
      </c>
      <c r="I1833" s="38">
        <f t="shared" si="28"/>
        <v>13101</v>
      </c>
    </row>
    <row r="1834" spans="1:9" x14ac:dyDescent="0.2">
      <c r="A1834" s="33">
        <v>42578</v>
      </c>
      <c r="B1834" s="36">
        <v>13135</v>
      </c>
      <c r="C1834" s="7">
        <v>13145</v>
      </c>
      <c r="D1834" s="7">
        <v>13145</v>
      </c>
      <c r="E1834" s="7">
        <v>13101</v>
      </c>
      <c r="F1834" s="7">
        <v>13140</v>
      </c>
      <c r="G1834" s="34">
        <v>135</v>
      </c>
      <c r="H1834" s="35">
        <v>-30</v>
      </c>
      <c r="I1834" s="38">
        <f t="shared" si="28"/>
        <v>13140</v>
      </c>
    </row>
    <row r="1835" spans="1:9" x14ac:dyDescent="0.2">
      <c r="A1835" s="33">
        <v>42577</v>
      </c>
      <c r="B1835" s="36">
        <v>13165</v>
      </c>
      <c r="C1835" s="7">
        <v>13170</v>
      </c>
      <c r="D1835" s="7">
        <v>13165</v>
      </c>
      <c r="E1835" s="7">
        <v>13117</v>
      </c>
      <c r="F1835" s="7">
        <v>13139</v>
      </c>
      <c r="G1835" s="34">
        <v>119</v>
      </c>
      <c r="H1835" s="35">
        <v>30</v>
      </c>
      <c r="I1835" s="38">
        <f t="shared" si="28"/>
        <v>13167.5</v>
      </c>
    </row>
    <row r="1836" spans="1:9" x14ac:dyDescent="0.2">
      <c r="A1836" s="33">
        <v>42576</v>
      </c>
      <c r="B1836" s="36">
        <v>13135</v>
      </c>
      <c r="C1836" s="7">
        <v>13145</v>
      </c>
      <c r="D1836" s="7">
        <v>13140</v>
      </c>
      <c r="E1836" s="7">
        <v>13115</v>
      </c>
      <c r="F1836" s="7">
        <v>13115</v>
      </c>
      <c r="G1836" s="34">
        <v>81</v>
      </c>
      <c r="H1836" s="35">
        <v>28</v>
      </c>
      <c r="I1836" s="38">
        <f t="shared" si="28"/>
        <v>13140</v>
      </c>
    </row>
    <row r="1837" spans="1:9" x14ac:dyDescent="0.2">
      <c r="A1837" s="33">
        <v>42573</v>
      </c>
      <c r="B1837" s="36">
        <v>13107</v>
      </c>
      <c r="C1837" s="7">
        <v>13110</v>
      </c>
      <c r="D1837" s="7">
        <v>13108</v>
      </c>
      <c r="E1837" s="7">
        <v>13080</v>
      </c>
      <c r="F1837" s="7">
        <v>13080</v>
      </c>
      <c r="G1837" s="34">
        <v>90</v>
      </c>
      <c r="H1837" s="35">
        <v>12</v>
      </c>
      <c r="I1837" s="38">
        <f t="shared" si="28"/>
        <v>13108.5</v>
      </c>
    </row>
    <row r="1838" spans="1:9" x14ac:dyDescent="0.2">
      <c r="A1838" s="33">
        <v>42572</v>
      </c>
      <c r="B1838" s="36">
        <v>13095</v>
      </c>
      <c r="C1838" s="7">
        <v>13105</v>
      </c>
      <c r="D1838" s="7">
        <v>13125</v>
      </c>
      <c r="E1838" s="7">
        <v>13085</v>
      </c>
      <c r="F1838" s="7">
        <v>13120</v>
      </c>
      <c r="G1838" s="34">
        <v>133</v>
      </c>
      <c r="H1838" s="35">
        <v>-15</v>
      </c>
      <c r="I1838" s="38">
        <f t="shared" si="28"/>
        <v>13100</v>
      </c>
    </row>
    <row r="1839" spans="1:9" x14ac:dyDescent="0.2">
      <c r="A1839" s="33">
        <v>42571</v>
      </c>
      <c r="B1839" s="36">
        <v>13110</v>
      </c>
      <c r="C1839" s="7">
        <v>13115</v>
      </c>
      <c r="D1839" s="7">
        <v>13120</v>
      </c>
      <c r="E1839" s="7">
        <v>13080</v>
      </c>
      <c r="F1839" s="7">
        <v>13090</v>
      </c>
      <c r="G1839" s="34">
        <v>140</v>
      </c>
      <c r="H1839" s="35">
        <v>22</v>
      </c>
      <c r="I1839" s="38">
        <f t="shared" si="28"/>
        <v>13112.5</v>
      </c>
    </row>
    <row r="1840" spans="1:9" x14ac:dyDescent="0.2">
      <c r="A1840" s="33">
        <v>42570</v>
      </c>
      <c r="B1840" s="36">
        <v>13088</v>
      </c>
      <c r="C1840" s="7">
        <v>13090</v>
      </c>
      <c r="D1840" s="7">
        <v>13090</v>
      </c>
      <c r="E1840" s="7">
        <v>13080</v>
      </c>
      <c r="F1840" s="7">
        <v>13080</v>
      </c>
      <c r="G1840" s="34">
        <v>76</v>
      </c>
      <c r="H1840" s="35">
        <v>3</v>
      </c>
      <c r="I1840" s="38">
        <f t="shared" si="28"/>
        <v>13089</v>
      </c>
    </row>
    <row r="1841" spans="1:9" x14ac:dyDescent="0.2">
      <c r="A1841" s="33">
        <v>42569</v>
      </c>
      <c r="B1841" s="36">
        <v>13085</v>
      </c>
      <c r="C1841" s="7">
        <v>13090</v>
      </c>
      <c r="D1841" s="7">
        <v>13115</v>
      </c>
      <c r="E1841" s="7">
        <v>13085</v>
      </c>
      <c r="F1841" s="7">
        <v>13100</v>
      </c>
      <c r="G1841" s="34">
        <v>94</v>
      </c>
      <c r="H1841" s="35">
        <v>-5</v>
      </c>
      <c r="I1841" s="38">
        <f t="shared" si="28"/>
        <v>13087.5</v>
      </c>
    </row>
    <row r="1842" spans="1:9" x14ac:dyDescent="0.2">
      <c r="A1842" s="33">
        <v>42566</v>
      </c>
      <c r="B1842" s="36">
        <v>13090</v>
      </c>
      <c r="C1842" s="7">
        <v>13093</v>
      </c>
      <c r="D1842" s="7">
        <v>13093</v>
      </c>
      <c r="E1842" s="7">
        <v>13060</v>
      </c>
      <c r="F1842" s="7">
        <v>13060</v>
      </c>
      <c r="G1842" s="34">
        <v>123</v>
      </c>
      <c r="H1842" s="35">
        <v>10</v>
      </c>
      <c r="I1842" s="38">
        <f t="shared" si="28"/>
        <v>13091.5</v>
      </c>
    </row>
    <row r="1843" spans="1:9" x14ac:dyDescent="0.2">
      <c r="A1843" s="33">
        <v>42565</v>
      </c>
      <c r="B1843" s="36">
        <v>13080</v>
      </c>
      <c r="C1843" s="7">
        <v>13085</v>
      </c>
      <c r="D1843" s="7">
        <v>13090</v>
      </c>
      <c r="E1843" s="7">
        <v>13069</v>
      </c>
      <c r="F1843" s="7">
        <v>13070</v>
      </c>
      <c r="G1843" s="34">
        <v>147</v>
      </c>
      <c r="H1843" s="35">
        <v>-10</v>
      </c>
      <c r="I1843" s="38">
        <f t="shared" si="28"/>
        <v>13082.5</v>
      </c>
    </row>
    <row r="1844" spans="1:9" x14ac:dyDescent="0.2">
      <c r="A1844" s="33">
        <v>42564</v>
      </c>
      <c r="B1844" s="36">
        <v>13090</v>
      </c>
      <c r="C1844" s="7">
        <v>13100</v>
      </c>
      <c r="D1844" s="7">
        <v>13115</v>
      </c>
      <c r="E1844" s="7">
        <v>13079</v>
      </c>
      <c r="F1844" s="7">
        <v>13090</v>
      </c>
      <c r="G1844" s="34">
        <v>103</v>
      </c>
      <c r="H1844" s="35">
        <v>-25</v>
      </c>
      <c r="I1844" s="38">
        <f t="shared" si="28"/>
        <v>13095</v>
      </c>
    </row>
    <row r="1845" spans="1:9" x14ac:dyDescent="0.2">
      <c r="A1845" s="33">
        <v>42563</v>
      </c>
      <c r="B1845" s="36">
        <v>13115</v>
      </c>
      <c r="C1845" s="7">
        <v>13125</v>
      </c>
      <c r="D1845" s="7">
        <v>13160</v>
      </c>
      <c r="E1845" s="7">
        <v>13100</v>
      </c>
      <c r="F1845" s="7">
        <v>13120</v>
      </c>
      <c r="G1845" s="34">
        <v>93</v>
      </c>
      <c r="H1845" s="35">
        <v>35</v>
      </c>
      <c r="I1845" s="38">
        <f t="shared" si="28"/>
        <v>13120</v>
      </c>
    </row>
    <row r="1846" spans="1:9" x14ac:dyDescent="0.2">
      <c r="A1846" s="33">
        <v>42562</v>
      </c>
      <c r="B1846" s="36">
        <v>13080</v>
      </c>
      <c r="C1846" s="7">
        <v>13100</v>
      </c>
      <c r="D1846" s="7">
        <v>13115</v>
      </c>
      <c r="E1846" s="7">
        <v>13080</v>
      </c>
      <c r="F1846" s="7">
        <v>13105</v>
      </c>
      <c r="G1846" s="34">
        <v>79</v>
      </c>
      <c r="H1846" s="35">
        <v>-20</v>
      </c>
      <c r="I1846" s="38">
        <f t="shared" si="28"/>
        <v>13090</v>
      </c>
    </row>
    <row r="1847" spans="1:9" x14ac:dyDescent="0.2">
      <c r="A1847" s="33">
        <v>42559</v>
      </c>
      <c r="B1847" s="36">
        <v>13100</v>
      </c>
      <c r="C1847" s="7">
        <v>13155</v>
      </c>
      <c r="D1847" s="7"/>
      <c r="E1847" s="7"/>
      <c r="F1847" s="7"/>
      <c r="G1847" s="34"/>
      <c r="H1847" s="35">
        <v>0</v>
      </c>
      <c r="I1847" s="38">
        <f t="shared" si="28"/>
        <v>13127.5</v>
      </c>
    </row>
    <row r="1848" spans="1:9" x14ac:dyDescent="0.2">
      <c r="A1848" s="33">
        <v>42558</v>
      </c>
      <c r="B1848" s="36">
        <v>13100</v>
      </c>
      <c r="C1848" s="7">
        <v>13155</v>
      </c>
      <c r="D1848" s="7"/>
      <c r="E1848" s="7"/>
      <c r="F1848" s="7"/>
      <c r="G1848" s="34"/>
      <c r="H1848" s="35">
        <v>0</v>
      </c>
      <c r="I1848" s="38">
        <f t="shared" si="28"/>
        <v>13127.5</v>
      </c>
    </row>
    <row r="1849" spans="1:9" x14ac:dyDescent="0.2">
      <c r="A1849" s="33">
        <v>42557</v>
      </c>
      <c r="B1849" s="36">
        <v>13100</v>
      </c>
      <c r="C1849" s="7">
        <v>13155</v>
      </c>
      <c r="D1849" s="7"/>
      <c r="E1849" s="7"/>
      <c r="F1849" s="7"/>
      <c r="G1849" s="34"/>
      <c r="H1849" s="35">
        <v>0</v>
      </c>
      <c r="I1849" s="38">
        <f t="shared" si="28"/>
        <v>13127.5</v>
      </c>
    </row>
    <row r="1850" spans="1:9" x14ac:dyDescent="0.2">
      <c r="A1850" s="33">
        <v>42556</v>
      </c>
      <c r="B1850" s="36">
        <v>13100</v>
      </c>
      <c r="C1850" s="7">
        <v>13155</v>
      </c>
      <c r="D1850" s="7"/>
      <c r="E1850" s="7"/>
      <c r="F1850" s="7"/>
      <c r="G1850" s="34"/>
      <c r="H1850" s="35">
        <v>0</v>
      </c>
      <c r="I1850" s="38">
        <f t="shared" si="28"/>
        <v>13127.5</v>
      </c>
    </row>
    <row r="1851" spans="1:9" x14ac:dyDescent="0.2">
      <c r="A1851" s="33">
        <v>42555</v>
      </c>
      <c r="B1851" s="36">
        <v>13100</v>
      </c>
      <c r="C1851" s="7">
        <v>13155</v>
      </c>
      <c r="D1851" s="7">
        <v>13100</v>
      </c>
      <c r="E1851" s="7">
        <v>13100</v>
      </c>
      <c r="F1851" s="7">
        <v>13100</v>
      </c>
      <c r="G1851" s="34">
        <v>1</v>
      </c>
      <c r="H1851" s="35">
        <v>-35</v>
      </c>
      <c r="I1851" s="38">
        <f t="shared" si="28"/>
        <v>13127.5</v>
      </c>
    </row>
    <row r="1852" spans="1:9" x14ac:dyDescent="0.2">
      <c r="A1852" s="33">
        <v>42552</v>
      </c>
      <c r="B1852" s="36">
        <v>13135</v>
      </c>
      <c r="C1852" s="7">
        <v>13145</v>
      </c>
      <c r="D1852" s="7">
        <v>13180</v>
      </c>
      <c r="E1852" s="7">
        <v>13120</v>
      </c>
      <c r="F1852" s="7">
        <v>13155</v>
      </c>
      <c r="G1852" s="34">
        <v>102</v>
      </c>
      <c r="H1852" s="35">
        <v>-75</v>
      </c>
      <c r="I1852" s="38">
        <f t="shared" si="28"/>
        <v>13140</v>
      </c>
    </row>
    <row r="1853" spans="1:9" x14ac:dyDescent="0.2">
      <c r="A1853" s="33">
        <v>42551</v>
      </c>
      <c r="B1853" s="36">
        <v>13210</v>
      </c>
      <c r="C1853" s="7">
        <v>13215</v>
      </c>
      <c r="D1853" s="7">
        <v>13215</v>
      </c>
      <c r="E1853" s="7">
        <v>13155</v>
      </c>
      <c r="F1853" s="7">
        <v>13170</v>
      </c>
      <c r="G1853" s="34">
        <v>129</v>
      </c>
      <c r="H1853" s="35">
        <v>50</v>
      </c>
      <c r="I1853" s="38">
        <f t="shared" si="28"/>
        <v>13212.5</v>
      </c>
    </row>
    <row r="1854" spans="1:9" x14ac:dyDescent="0.2">
      <c r="A1854" s="33">
        <v>42550</v>
      </c>
      <c r="B1854" s="36">
        <v>13160</v>
      </c>
      <c r="C1854" s="7">
        <v>13163</v>
      </c>
      <c r="D1854" s="7">
        <v>13200</v>
      </c>
      <c r="E1854" s="7">
        <v>13130</v>
      </c>
      <c r="F1854" s="7">
        <v>13160</v>
      </c>
      <c r="G1854" s="34">
        <v>139</v>
      </c>
      <c r="H1854" s="35">
        <v>-10</v>
      </c>
      <c r="I1854" s="38">
        <f t="shared" si="28"/>
        <v>13161.5</v>
      </c>
    </row>
    <row r="1855" spans="1:9" x14ac:dyDescent="0.2">
      <c r="A1855" s="33">
        <v>42549</v>
      </c>
      <c r="B1855" s="36">
        <v>13170</v>
      </c>
      <c r="C1855" s="7">
        <v>13185</v>
      </c>
      <c r="D1855" s="7">
        <v>13300</v>
      </c>
      <c r="E1855" s="7">
        <v>13150</v>
      </c>
      <c r="F1855" s="7">
        <v>13300</v>
      </c>
      <c r="G1855" s="34">
        <v>170</v>
      </c>
      <c r="H1855" s="35">
        <v>-165</v>
      </c>
      <c r="I1855" s="38">
        <f t="shared" si="28"/>
        <v>13177.5</v>
      </c>
    </row>
    <row r="1856" spans="1:9" x14ac:dyDescent="0.2">
      <c r="A1856" s="33">
        <v>42548</v>
      </c>
      <c r="B1856" s="36">
        <v>13335</v>
      </c>
      <c r="C1856" s="7">
        <v>13345</v>
      </c>
      <c r="D1856" s="7">
        <v>13515</v>
      </c>
      <c r="E1856" s="7">
        <v>13288</v>
      </c>
      <c r="F1856" s="7">
        <v>13380</v>
      </c>
      <c r="G1856" s="34">
        <v>162</v>
      </c>
      <c r="H1856" s="35">
        <v>-40</v>
      </c>
      <c r="I1856" s="38">
        <f t="shared" si="28"/>
        <v>13340</v>
      </c>
    </row>
    <row r="1857" spans="1:9" x14ac:dyDescent="0.2">
      <c r="A1857" s="33">
        <v>42545</v>
      </c>
      <c r="B1857" s="36">
        <v>13375</v>
      </c>
      <c r="C1857" s="7">
        <v>13385</v>
      </c>
      <c r="D1857" s="7">
        <v>13430</v>
      </c>
      <c r="E1857" s="7">
        <v>13239</v>
      </c>
      <c r="F1857" s="7">
        <v>13239</v>
      </c>
      <c r="G1857" s="34">
        <v>162</v>
      </c>
      <c r="H1857" s="35">
        <v>120</v>
      </c>
      <c r="I1857" s="38">
        <f t="shared" si="28"/>
        <v>13380</v>
      </c>
    </row>
    <row r="1858" spans="1:9" x14ac:dyDescent="0.2">
      <c r="A1858" s="33">
        <v>42544</v>
      </c>
      <c r="B1858" s="36">
        <v>13255</v>
      </c>
      <c r="C1858" s="7">
        <v>13260</v>
      </c>
      <c r="D1858" s="7">
        <v>13268</v>
      </c>
      <c r="E1858" s="7">
        <v>13240</v>
      </c>
      <c r="F1858" s="7">
        <v>13265</v>
      </c>
      <c r="G1858" s="34">
        <v>110</v>
      </c>
      <c r="H1858" s="35">
        <v>-25</v>
      </c>
      <c r="I1858" s="38">
        <f t="shared" si="28"/>
        <v>13257.5</v>
      </c>
    </row>
    <row r="1859" spans="1:9" x14ac:dyDescent="0.2">
      <c r="A1859" s="33">
        <v>42543</v>
      </c>
      <c r="B1859" s="36">
        <v>13280</v>
      </c>
      <c r="C1859" s="7">
        <v>13288</v>
      </c>
      <c r="D1859" s="7">
        <v>13305</v>
      </c>
      <c r="E1859" s="7">
        <v>13270</v>
      </c>
      <c r="F1859" s="7">
        <v>13270</v>
      </c>
      <c r="G1859" s="34">
        <v>108</v>
      </c>
      <c r="H1859" s="35">
        <v>20</v>
      </c>
      <c r="I1859" s="38">
        <f t="shared" si="28"/>
        <v>13284</v>
      </c>
    </row>
    <row r="1860" spans="1:9" x14ac:dyDescent="0.2">
      <c r="A1860" s="33">
        <v>42542</v>
      </c>
      <c r="B1860" s="36">
        <v>13260</v>
      </c>
      <c r="C1860" s="7">
        <v>13265</v>
      </c>
      <c r="D1860" s="7">
        <v>13300</v>
      </c>
      <c r="E1860" s="7">
        <v>13250</v>
      </c>
      <c r="F1860" s="7">
        <v>13250</v>
      </c>
      <c r="G1860" s="34">
        <v>105</v>
      </c>
      <c r="H1860" s="35">
        <v>0</v>
      </c>
      <c r="I1860" s="38">
        <f t="shared" si="28"/>
        <v>13262.5</v>
      </c>
    </row>
    <row r="1861" spans="1:9" x14ac:dyDescent="0.2">
      <c r="A1861" s="33">
        <v>42541</v>
      </c>
      <c r="B1861" s="36">
        <v>13260</v>
      </c>
      <c r="C1861" s="7">
        <v>13270</v>
      </c>
      <c r="D1861" s="7">
        <v>13280</v>
      </c>
      <c r="E1861" s="7">
        <v>13240</v>
      </c>
      <c r="F1861" s="7">
        <v>13280</v>
      </c>
      <c r="G1861" s="34">
        <v>78</v>
      </c>
      <c r="H1861" s="35">
        <v>-75</v>
      </c>
      <c r="I1861" s="38">
        <f t="shared" si="28"/>
        <v>13265</v>
      </c>
    </row>
    <row r="1862" spans="1:9" x14ac:dyDescent="0.2">
      <c r="A1862" s="33">
        <v>42538</v>
      </c>
      <c r="B1862" s="36">
        <v>13335</v>
      </c>
      <c r="C1862" s="7">
        <v>13340</v>
      </c>
      <c r="D1862" s="7">
        <v>13367</v>
      </c>
      <c r="E1862" s="7">
        <v>13330</v>
      </c>
      <c r="F1862" s="7">
        <v>13350</v>
      </c>
      <c r="G1862" s="34">
        <v>121</v>
      </c>
      <c r="H1862" s="35">
        <v>-30</v>
      </c>
      <c r="I1862" s="38">
        <f t="shared" si="28"/>
        <v>13337.5</v>
      </c>
    </row>
    <row r="1863" spans="1:9" x14ac:dyDescent="0.2">
      <c r="A1863" s="33">
        <v>42537</v>
      </c>
      <c r="B1863" s="36">
        <v>13365</v>
      </c>
      <c r="C1863" s="7">
        <v>13370</v>
      </c>
      <c r="D1863" s="7">
        <v>13365</v>
      </c>
      <c r="E1863" s="7">
        <v>13300</v>
      </c>
      <c r="F1863" s="7">
        <v>13320</v>
      </c>
      <c r="G1863" s="34">
        <v>126</v>
      </c>
      <c r="H1863" s="35">
        <v>-5</v>
      </c>
      <c r="I1863" s="38">
        <f t="shared" si="28"/>
        <v>13367.5</v>
      </c>
    </row>
    <row r="1864" spans="1:9" x14ac:dyDescent="0.2">
      <c r="A1864" s="33">
        <v>42536</v>
      </c>
      <c r="B1864" s="36">
        <v>13370</v>
      </c>
      <c r="C1864" s="7">
        <v>13375</v>
      </c>
      <c r="D1864" s="7">
        <v>13415</v>
      </c>
      <c r="E1864" s="7">
        <v>13355</v>
      </c>
      <c r="F1864" s="7">
        <v>13380</v>
      </c>
      <c r="G1864" s="34">
        <v>158</v>
      </c>
      <c r="H1864" s="35">
        <v>15</v>
      </c>
      <c r="I1864" s="38">
        <f t="shared" si="28"/>
        <v>13372.5</v>
      </c>
    </row>
    <row r="1865" spans="1:9" x14ac:dyDescent="0.2">
      <c r="A1865" s="33">
        <v>42535</v>
      </c>
      <c r="B1865" s="36">
        <v>13355</v>
      </c>
      <c r="C1865" s="7">
        <v>13375</v>
      </c>
      <c r="D1865" s="7">
        <v>13380</v>
      </c>
      <c r="E1865" s="7">
        <v>13255</v>
      </c>
      <c r="F1865" s="7">
        <v>13260</v>
      </c>
      <c r="G1865" s="34">
        <v>145</v>
      </c>
      <c r="H1865" s="35">
        <v>78</v>
      </c>
      <c r="I1865" s="38">
        <f t="shared" si="28"/>
        <v>13365</v>
      </c>
    </row>
    <row r="1866" spans="1:9" x14ac:dyDescent="0.2">
      <c r="A1866" s="33">
        <v>42534</v>
      </c>
      <c r="B1866" s="36">
        <v>13277</v>
      </c>
      <c r="C1866" s="7">
        <v>13280</v>
      </c>
      <c r="D1866" s="7">
        <v>13340</v>
      </c>
      <c r="E1866" s="7">
        <v>13265</v>
      </c>
      <c r="F1866" s="7">
        <v>13325</v>
      </c>
      <c r="G1866" s="34">
        <v>90</v>
      </c>
      <c r="H1866" s="35">
        <v>-18</v>
      </c>
      <c r="I1866" s="38">
        <f t="shared" si="28"/>
        <v>13278.5</v>
      </c>
    </row>
    <row r="1867" spans="1:9" x14ac:dyDescent="0.2">
      <c r="A1867" s="33">
        <v>42531</v>
      </c>
      <c r="B1867" s="36">
        <v>13295</v>
      </c>
      <c r="C1867" s="7">
        <v>13300</v>
      </c>
      <c r="D1867" s="7">
        <v>13315</v>
      </c>
      <c r="E1867" s="7">
        <v>13280</v>
      </c>
      <c r="F1867" s="7">
        <v>13280</v>
      </c>
      <c r="G1867" s="34">
        <v>108</v>
      </c>
      <c r="H1867" s="35">
        <v>35</v>
      </c>
      <c r="I1867" s="38">
        <f t="shared" si="28"/>
        <v>13297.5</v>
      </c>
    </row>
    <row r="1868" spans="1:9" x14ac:dyDescent="0.2">
      <c r="A1868" s="33">
        <v>42530</v>
      </c>
      <c r="B1868" s="36">
        <v>13260</v>
      </c>
      <c r="C1868" s="7">
        <v>13270</v>
      </c>
      <c r="D1868" s="7">
        <v>13265</v>
      </c>
      <c r="E1868" s="7">
        <v>13200</v>
      </c>
      <c r="F1868" s="7">
        <v>13210</v>
      </c>
      <c r="G1868" s="34">
        <v>143</v>
      </c>
      <c r="H1868" s="35">
        <v>0</v>
      </c>
      <c r="I1868" s="38">
        <f t="shared" si="28"/>
        <v>13265</v>
      </c>
    </row>
    <row r="1869" spans="1:9" x14ac:dyDescent="0.2">
      <c r="A1869" s="33">
        <v>42529</v>
      </c>
      <c r="B1869" s="36">
        <v>13260</v>
      </c>
      <c r="C1869" s="7">
        <v>13270</v>
      </c>
      <c r="D1869" s="7">
        <v>13270</v>
      </c>
      <c r="E1869" s="7">
        <v>13200</v>
      </c>
      <c r="F1869" s="7">
        <v>13240</v>
      </c>
      <c r="G1869" s="34">
        <v>120</v>
      </c>
      <c r="H1869" s="35">
        <v>-5</v>
      </c>
      <c r="I1869" s="38">
        <f t="shared" si="28"/>
        <v>13265</v>
      </c>
    </row>
    <row r="1870" spans="1:9" x14ac:dyDescent="0.2">
      <c r="A1870" s="33">
        <v>42528</v>
      </c>
      <c r="B1870" s="36">
        <v>13265</v>
      </c>
      <c r="C1870" s="7">
        <v>13275</v>
      </c>
      <c r="D1870" s="7">
        <v>13380</v>
      </c>
      <c r="E1870" s="7">
        <v>13255</v>
      </c>
      <c r="F1870" s="7">
        <v>13370</v>
      </c>
      <c r="G1870" s="34">
        <v>195</v>
      </c>
      <c r="H1870" s="35">
        <v>-110</v>
      </c>
      <c r="I1870" s="38">
        <f t="shared" si="28"/>
        <v>13270</v>
      </c>
    </row>
    <row r="1871" spans="1:9" x14ac:dyDescent="0.2">
      <c r="A1871" s="33">
        <v>42527</v>
      </c>
      <c r="B1871" s="36">
        <v>13375</v>
      </c>
      <c r="C1871" s="7">
        <v>13380</v>
      </c>
      <c r="D1871" s="7">
        <v>13500</v>
      </c>
      <c r="E1871" s="7">
        <v>13365</v>
      </c>
      <c r="F1871" s="7">
        <v>13500</v>
      </c>
      <c r="G1871" s="34">
        <v>111</v>
      </c>
      <c r="H1871" s="35">
        <v>-215</v>
      </c>
      <c r="I1871" s="38">
        <f t="shared" si="28"/>
        <v>13377.5</v>
      </c>
    </row>
    <row r="1872" spans="1:9" x14ac:dyDescent="0.2">
      <c r="A1872" s="33">
        <v>42524</v>
      </c>
      <c r="B1872" s="36">
        <v>13590</v>
      </c>
      <c r="C1872" s="7">
        <v>13593</v>
      </c>
      <c r="D1872" s="7">
        <v>13640</v>
      </c>
      <c r="E1872" s="7">
        <v>13585</v>
      </c>
      <c r="F1872" s="7">
        <v>13620</v>
      </c>
      <c r="G1872" s="34">
        <v>142</v>
      </c>
      <c r="H1872" s="35">
        <v>-55</v>
      </c>
      <c r="I1872" s="38">
        <f t="shared" si="28"/>
        <v>13591.5</v>
      </c>
    </row>
    <row r="1873" spans="1:9" x14ac:dyDescent="0.2">
      <c r="A1873" s="33">
        <v>42523</v>
      </c>
      <c r="B1873" s="36">
        <v>13645</v>
      </c>
      <c r="C1873" s="7">
        <v>13650</v>
      </c>
      <c r="D1873" s="7">
        <v>13698</v>
      </c>
      <c r="E1873" s="7">
        <v>13640</v>
      </c>
      <c r="F1873" s="7">
        <v>13669</v>
      </c>
      <c r="G1873" s="34">
        <v>227</v>
      </c>
      <c r="H1873" s="35">
        <v>-10</v>
      </c>
      <c r="I1873" s="38">
        <f t="shared" si="28"/>
        <v>13647.5</v>
      </c>
    </row>
    <row r="1874" spans="1:9" x14ac:dyDescent="0.2">
      <c r="A1874" s="33">
        <v>42522</v>
      </c>
      <c r="B1874" s="36">
        <v>13655</v>
      </c>
      <c r="C1874" s="7">
        <v>13665</v>
      </c>
      <c r="D1874" s="7">
        <v>13690</v>
      </c>
      <c r="E1874" s="7">
        <v>13640</v>
      </c>
      <c r="F1874" s="7">
        <v>13650</v>
      </c>
      <c r="G1874" s="34">
        <v>132</v>
      </c>
      <c r="H1874" s="35">
        <v>0</v>
      </c>
      <c r="I1874" s="38">
        <f t="shared" si="28"/>
        <v>13660</v>
      </c>
    </row>
    <row r="1875" spans="1:9" x14ac:dyDescent="0.2">
      <c r="A1875" s="33">
        <v>42521</v>
      </c>
      <c r="B1875" s="36">
        <v>13655</v>
      </c>
      <c r="C1875" s="7">
        <v>13665</v>
      </c>
      <c r="D1875" s="7">
        <v>13655</v>
      </c>
      <c r="E1875" s="7">
        <v>13590</v>
      </c>
      <c r="F1875" s="7">
        <v>13620</v>
      </c>
      <c r="G1875" s="34">
        <v>127</v>
      </c>
      <c r="H1875" s="35">
        <v>15</v>
      </c>
      <c r="I1875" s="38">
        <f t="shared" si="28"/>
        <v>13660</v>
      </c>
    </row>
    <row r="1876" spans="1:9" x14ac:dyDescent="0.2">
      <c r="A1876" s="33">
        <v>42520</v>
      </c>
      <c r="B1876" s="36">
        <v>13640</v>
      </c>
      <c r="C1876" s="7">
        <v>13650</v>
      </c>
      <c r="D1876" s="7">
        <v>13650</v>
      </c>
      <c r="E1876" s="7">
        <v>13605</v>
      </c>
      <c r="F1876" s="7">
        <v>13605</v>
      </c>
      <c r="G1876" s="34">
        <v>90</v>
      </c>
      <c r="H1876" s="35">
        <v>59</v>
      </c>
      <c r="I1876" s="38">
        <f t="shared" si="28"/>
        <v>13645</v>
      </c>
    </row>
    <row r="1877" spans="1:9" x14ac:dyDescent="0.2">
      <c r="A1877" s="33">
        <v>42517</v>
      </c>
      <c r="B1877" s="36">
        <v>13581</v>
      </c>
      <c r="C1877" s="7">
        <v>13585</v>
      </c>
      <c r="D1877" s="7">
        <v>13585</v>
      </c>
      <c r="E1877" s="7">
        <v>13555</v>
      </c>
      <c r="F1877" s="7">
        <v>13555</v>
      </c>
      <c r="G1877" s="34">
        <v>107</v>
      </c>
      <c r="H1877" s="35">
        <v>-21</v>
      </c>
      <c r="I1877" s="38">
        <f t="shared" si="28"/>
        <v>13583</v>
      </c>
    </row>
    <row r="1878" spans="1:9" x14ac:dyDescent="0.2">
      <c r="A1878" s="33">
        <v>42516</v>
      </c>
      <c r="B1878" s="36">
        <v>13602</v>
      </c>
      <c r="C1878" s="7">
        <v>13605</v>
      </c>
      <c r="D1878" s="7">
        <v>13635</v>
      </c>
      <c r="E1878" s="7">
        <v>13590</v>
      </c>
      <c r="F1878" s="7">
        <v>13615</v>
      </c>
      <c r="G1878" s="34">
        <v>119</v>
      </c>
      <c r="H1878" s="35">
        <v>-48</v>
      </c>
      <c r="I1878" s="38">
        <f t="shared" si="28"/>
        <v>13603.5</v>
      </c>
    </row>
    <row r="1879" spans="1:9" x14ac:dyDescent="0.2">
      <c r="A1879" s="33">
        <v>42515</v>
      </c>
      <c r="B1879" s="36">
        <v>13650</v>
      </c>
      <c r="C1879" s="7">
        <v>13660</v>
      </c>
      <c r="D1879" s="7">
        <v>13680</v>
      </c>
      <c r="E1879" s="7">
        <v>13610</v>
      </c>
      <c r="F1879" s="7">
        <v>13650</v>
      </c>
      <c r="G1879" s="34">
        <v>130</v>
      </c>
      <c r="H1879" s="35">
        <v>-35</v>
      </c>
      <c r="I1879" s="38">
        <f t="shared" si="28"/>
        <v>13655</v>
      </c>
    </row>
    <row r="1880" spans="1:9" x14ac:dyDescent="0.2">
      <c r="A1880" s="33">
        <v>42514</v>
      </c>
      <c r="B1880" s="36">
        <v>13685</v>
      </c>
      <c r="C1880" s="7">
        <v>13695</v>
      </c>
      <c r="D1880" s="7">
        <v>13690</v>
      </c>
      <c r="E1880" s="7">
        <v>13560</v>
      </c>
      <c r="F1880" s="7">
        <v>13560</v>
      </c>
      <c r="G1880" s="34">
        <v>143</v>
      </c>
      <c r="H1880" s="35">
        <v>105</v>
      </c>
      <c r="I1880" s="38">
        <f t="shared" si="28"/>
        <v>13690</v>
      </c>
    </row>
    <row r="1881" spans="1:9" x14ac:dyDescent="0.2">
      <c r="A1881" s="33">
        <v>42513</v>
      </c>
      <c r="B1881" s="36">
        <v>13580</v>
      </c>
      <c r="C1881" s="7">
        <v>13585</v>
      </c>
      <c r="D1881" s="7">
        <v>13615</v>
      </c>
      <c r="E1881" s="7">
        <v>13555</v>
      </c>
      <c r="F1881" s="7">
        <v>13585</v>
      </c>
      <c r="G1881" s="34">
        <v>82</v>
      </c>
      <c r="H1881" s="35">
        <v>-25</v>
      </c>
      <c r="I1881" s="38">
        <f t="shared" si="28"/>
        <v>13582.5</v>
      </c>
    </row>
    <row r="1882" spans="1:9" x14ac:dyDescent="0.2">
      <c r="A1882" s="33">
        <v>42510</v>
      </c>
      <c r="B1882" s="36">
        <v>13605</v>
      </c>
      <c r="C1882" s="7">
        <v>13610</v>
      </c>
      <c r="D1882" s="7">
        <v>13650</v>
      </c>
      <c r="E1882" s="7">
        <v>13530</v>
      </c>
      <c r="F1882" s="7">
        <v>13540</v>
      </c>
      <c r="G1882" s="34">
        <v>172</v>
      </c>
      <c r="H1882" s="35">
        <v>55</v>
      </c>
      <c r="I1882" s="38">
        <f t="shared" si="28"/>
        <v>13607.5</v>
      </c>
    </row>
    <row r="1883" spans="1:9" x14ac:dyDescent="0.2">
      <c r="A1883" s="33">
        <v>42509</v>
      </c>
      <c r="B1883" s="36">
        <v>13550</v>
      </c>
      <c r="C1883" s="7">
        <v>13560</v>
      </c>
      <c r="D1883" s="7">
        <v>13555</v>
      </c>
      <c r="E1883" s="7">
        <v>13425</v>
      </c>
      <c r="F1883" s="7">
        <v>13440</v>
      </c>
      <c r="G1883" s="34">
        <v>139</v>
      </c>
      <c r="H1883" s="35">
        <v>166</v>
      </c>
      <c r="I1883" s="38">
        <f t="shared" si="28"/>
        <v>13555</v>
      </c>
    </row>
    <row r="1884" spans="1:9" x14ac:dyDescent="0.2">
      <c r="A1884" s="33">
        <v>42508</v>
      </c>
      <c r="B1884" s="36">
        <v>13384</v>
      </c>
      <c r="C1884" s="7">
        <v>13394</v>
      </c>
      <c r="D1884" s="7">
        <v>13384</v>
      </c>
      <c r="E1884" s="7">
        <v>13305</v>
      </c>
      <c r="F1884" s="7">
        <v>13310</v>
      </c>
      <c r="G1884" s="34">
        <v>148</v>
      </c>
      <c r="H1884" s="35">
        <v>89</v>
      </c>
      <c r="I1884" s="38">
        <f t="shared" si="28"/>
        <v>13389</v>
      </c>
    </row>
    <row r="1885" spans="1:9" x14ac:dyDescent="0.2">
      <c r="A1885" s="33">
        <v>42507</v>
      </c>
      <c r="B1885" s="36">
        <v>13295</v>
      </c>
      <c r="C1885" s="7">
        <v>13302</v>
      </c>
      <c r="D1885" s="7">
        <v>13305</v>
      </c>
      <c r="E1885" s="7">
        <v>13264</v>
      </c>
      <c r="F1885" s="7">
        <v>13290</v>
      </c>
      <c r="G1885" s="34">
        <v>159</v>
      </c>
      <c r="H1885" s="35">
        <v>-5</v>
      </c>
      <c r="I1885" s="38">
        <f t="shared" si="28"/>
        <v>13298.5</v>
      </c>
    </row>
    <row r="1886" spans="1:9" x14ac:dyDescent="0.2">
      <c r="A1886" s="33">
        <v>42506</v>
      </c>
      <c r="B1886" s="36">
        <v>13300</v>
      </c>
      <c r="C1886" s="7">
        <v>13305</v>
      </c>
      <c r="D1886" s="7">
        <v>13330</v>
      </c>
      <c r="E1886" s="7">
        <v>13300</v>
      </c>
      <c r="F1886" s="7">
        <v>13315</v>
      </c>
      <c r="G1886" s="34">
        <v>92</v>
      </c>
      <c r="H1886" s="35">
        <v>-15</v>
      </c>
      <c r="I1886" s="38">
        <f t="shared" si="28"/>
        <v>13302.5</v>
      </c>
    </row>
    <row r="1887" spans="1:9" x14ac:dyDescent="0.2">
      <c r="A1887" s="33">
        <v>42503</v>
      </c>
      <c r="B1887" s="36">
        <v>13315</v>
      </c>
      <c r="C1887" s="7">
        <v>13320</v>
      </c>
      <c r="D1887" s="7">
        <v>13322</v>
      </c>
      <c r="E1887" s="7">
        <v>13295</v>
      </c>
      <c r="F1887" s="7">
        <v>13300</v>
      </c>
      <c r="G1887" s="34">
        <v>121</v>
      </c>
      <c r="H1887" s="35">
        <v>20</v>
      </c>
      <c r="I1887" s="38">
        <f t="shared" si="28"/>
        <v>13317.5</v>
      </c>
    </row>
    <row r="1888" spans="1:9" x14ac:dyDescent="0.2">
      <c r="A1888" s="33">
        <v>42502</v>
      </c>
      <c r="B1888" s="36">
        <v>13295</v>
      </c>
      <c r="C1888" s="7">
        <v>13300</v>
      </c>
      <c r="D1888" s="7">
        <v>13310</v>
      </c>
      <c r="E1888" s="7">
        <v>13280</v>
      </c>
      <c r="F1888" s="7">
        <v>13300</v>
      </c>
      <c r="G1888" s="34">
        <v>119</v>
      </c>
      <c r="H1888" s="35">
        <v>-5</v>
      </c>
      <c r="I1888" s="38">
        <f t="shared" ref="I1888:I1951" si="29">+(B1888+C1888)*0.5</f>
        <v>13297.5</v>
      </c>
    </row>
    <row r="1889" spans="1:9" x14ac:dyDescent="0.2">
      <c r="A1889" s="33">
        <v>42501</v>
      </c>
      <c r="B1889" s="36">
        <v>13300</v>
      </c>
      <c r="C1889" s="7">
        <v>13310</v>
      </c>
      <c r="D1889" s="7">
        <v>13300</v>
      </c>
      <c r="E1889" s="7">
        <v>13250</v>
      </c>
      <c r="F1889" s="7">
        <v>13260</v>
      </c>
      <c r="G1889" s="34">
        <v>120</v>
      </c>
      <c r="H1889" s="35">
        <v>15</v>
      </c>
      <c r="I1889" s="38">
        <f t="shared" si="29"/>
        <v>13305</v>
      </c>
    </row>
    <row r="1890" spans="1:9" x14ac:dyDescent="0.2">
      <c r="A1890" s="33">
        <v>42500</v>
      </c>
      <c r="B1890" s="36">
        <v>13285</v>
      </c>
      <c r="C1890" s="7">
        <v>13290</v>
      </c>
      <c r="D1890" s="7">
        <v>13335</v>
      </c>
      <c r="E1890" s="7">
        <v>13260</v>
      </c>
      <c r="F1890" s="7">
        <v>13320</v>
      </c>
      <c r="G1890" s="34">
        <v>162</v>
      </c>
      <c r="H1890" s="35">
        <v>0</v>
      </c>
      <c r="I1890" s="38">
        <f t="shared" si="29"/>
        <v>13287.5</v>
      </c>
    </row>
    <row r="1891" spans="1:9" x14ac:dyDescent="0.2">
      <c r="A1891" s="33">
        <v>42499</v>
      </c>
      <c r="B1891" s="36">
        <v>13285</v>
      </c>
      <c r="C1891" s="7">
        <v>13295</v>
      </c>
      <c r="D1891" s="7">
        <v>13300</v>
      </c>
      <c r="E1891" s="7">
        <v>13270</v>
      </c>
      <c r="F1891" s="7">
        <v>13300</v>
      </c>
      <c r="G1891" s="34">
        <v>101</v>
      </c>
      <c r="H1891" s="35">
        <v>45</v>
      </c>
      <c r="I1891" s="38">
        <f t="shared" si="29"/>
        <v>13290</v>
      </c>
    </row>
    <row r="1892" spans="1:9" x14ac:dyDescent="0.2">
      <c r="A1892" s="33">
        <v>42496</v>
      </c>
      <c r="B1892" s="36">
        <v>13240</v>
      </c>
      <c r="C1892" s="7">
        <v>13243</v>
      </c>
      <c r="D1892" s="7"/>
      <c r="E1892" s="7"/>
      <c r="F1892" s="7"/>
      <c r="G1892" s="34"/>
      <c r="H1892" s="35">
        <v>0</v>
      </c>
      <c r="I1892" s="38">
        <f t="shared" si="29"/>
        <v>13241.5</v>
      </c>
    </row>
    <row r="1893" spans="1:9" x14ac:dyDescent="0.2">
      <c r="A1893" s="33">
        <v>42495</v>
      </c>
      <c r="B1893" s="36">
        <v>13240</v>
      </c>
      <c r="C1893" s="7">
        <v>13243</v>
      </c>
      <c r="D1893" s="7"/>
      <c r="E1893" s="7"/>
      <c r="F1893" s="7"/>
      <c r="G1893" s="34"/>
      <c r="H1893" s="35">
        <v>0</v>
      </c>
      <c r="I1893" s="38">
        <f t="shared" si="29"/>
        <v>13241.5</v>
      </c>
    </row>
    <row r="1894" spans="1:9" x14ac:dyDescent="0.2">
      <c r="A1894" s="33">
        <v>42494</v>
      </c>
      <c r="B1894" s="36">
        <v>13240</v>
      </c>
      <c r="C1894" s="7">
        <v>13243</v>
      </c>
      <c r="D1894" s="7">
        <v>13250</v>
      </c>
      <c r="E1894" s="7">
        <v>13140</v>
      </c>
      <c r="F1894" s="7">
        <v>13210</v>
      </c>
      <c r="G1894" s="34">
        <v>120</v>
      </c>
      <c r="H1894" s="35">
        <v>50</v>
      </c>
      <c r="I1894" s="38">
        <f t="shared" si="29"/>
        <v>13241.5</v>
      </c>
    </row>
    <row r="1895" spans="1:9" x14ac:dyDescent="0.2">
      <c r="A1895" s="33">
        <v>42493</v>
      </c>
      <c r="B1895" s="36">
        <v>13190</v>
      </c>
      <c r="C1895" s="7">
        <v>13199</v>
      </c>
      <c r="D1895" s="7">
        <v>13192</v>
      </c>
      <c r="E1895" s="7">
        <v>13130</v>
      </c>
      <c r="F1895" s="7">
        <v>13140</v>
      </c>
      <c r="G1895" s="34">
        <v>89</v>
      </c>
      <c r="H1895" s="35">
        <v>15</v>
      </c>
      <c r="I1895" s="38">
        <f t="shared" si="29"/>
        <v>13194.5</v>
      </c>
    </row>
    <row r="1896" spans="1:9" x14ac:dyDescent="0.2">
      <c r="A1896" s="33">
        <v>42492</v>
      </c>
      <c r="B1896" s="36">
        <v>13175</v>
      </c>
      <c r="C1896" s="7">
        <v>13185</v>
      </c>
      <c r="D1896" s="7">
        <v>13190</v>
      </c>
      <c r="E1896" s="7">
        <v>13170</v>
      </c>
      <c r="F1896" s="7">
        <v>13170</v>
      </c>
      <c r="G1896" s="34">
        <v>109</v>
      </c>
      <c r="H1896" s="35">
        <v>-5</v>
      </c>
      <c r="I1896" s="38">
        <f t="shared" si="29"/>
        <v>13180</v>
      </c>
    </row>
    <row r="1897" spans="1:9" x14ac:dyDescent="0.2">
      <c r="A1897" s="33">
        <v>42489</v>
      </c>
      <c r="B1897" s="36">
        <v>13180</v>
      </c>
      <c r="C1897" s="7">
        <v>13190</v>
      </c>
      <c r="D1897" s="7">
        <v>13225</v>
      </c>
      <c r="E1897" s="7">
        <v>13113</v>
      </c>
      <c r="F1897" s="7">
        <v>13169</v>
      </c>
      <c r="G1897" s="34">
        <v>97</v>
      </c>
      <c r="H1897" s="35">
        <v>-5</v>
      </c>
      <c r="I1897" s="38">
        <f t="shared" si="29"/>
        <v>13185</v>
      </c>
    </row>
    <row r="1898" spans="1:9" x14ac:dyDescent="0.2">
      <c r="A1898" s="33">
        <v>42488</v>
      </c>
      <c r="B1898" s="36">
        <v>13185</v>
      </c>
      <c r="C1898" s="7">
        <v>13188</v>
      </c>
      <c r="D1898" s="7">
        <v>13210</v>
      </c>
      <c r="E1898" s="7">
        <v>13150</v>
      </c>
      <c r="F1898" s="7">
        <v>13160</v>
      </c>
      <c r="G1898" s="34">
        <v>133</v>
      </c>
      <c r="H1898" s="35">
        <v>-7</v>
      </c>
      <c r="I1898" s="38">
        <f t="shared" si="29"/>
        <v>13186.5</v>
      </c>
    </row>
    <row r="1899" spans="1:9" x14ac:dyDescent="0.2">
      <c r="A1899" s="33">
        <v>42487</v>
      </c>
      <c r="B1899" s="36">
        <v>13192</v>
      </c>
      <c r="C1899" s="7">
        <v>13197</v>
      </c>
      <c r="D1899" s="7">
        <v>13205</v>
      </c>
      <c r="E1899" s="7">
        <v>13150</v>
      </c>
      <c r="F1899" s="7">
        <v>13180</v>
      </c>
      <c r="G1899" s="34">
        <v>131</v>
      </c>
      <c r="H1899" s="35">
        <v>-3</v>
      </c>
      <c r="I1899" s="38">
        <f t="shared" si="29"/>
        <v>13194.5</v>
      </c>
    </row>
    <row r="1900" spans="1:9" x14ac:dyDescent="0.2">
      <c r="A1900" s="33">
        <v>42486</v>
      </c>
      <c r="B1900" s="36">
        <v>13195</v>
      </c>
      <c r="C1900" s="7">
        <v>13205</v>
      </c>
      <c r="D1900" s="7">
        <v>13225</v>
      </c>
      <c r="E1900" s="7">
        <v>13185</v>
      </c>
      <c r="F1900" s="7">
        <v>13200</v>
      </c>
      <c r="G1900" s="34">
        <v>142</v>
      </c>
      <c r="H1900" s="35">
        <v>0</v>
      </c>
      <c r="I1900" s="38">
        <f t="shared" si="29"/>
        <v>13200</v>
      </c>
    </row>
    <row r="1901" spans="1:9" x14ac:dyDescent="0.2">
      <c r="A1901" s="33">
        <v>42485</v>
      </c>
      <c r="B1901" s="36">
        <v>13195</v>
      </c>
      <c r="C1901" s="7">
        <v>13200</v>
      </c>
      <c r="D1901" s="7">
        <v>13240</v>
      </c>
      <c r="E1901" s="7">
        <v>13190</v>
      </c>
      <c r="F1901" s="7">
        <v>13200</v>
      </c>
      <c r="G1901" s="34">
        <v>100</v>
      </c>
      <c r="H1901" s="35">
        <v>0</v>
      </c>
      <c r="I1901" s="38">
        <f t="shared" si="29"/>
        <v>13197.5</v>
      </c>
    </row>
    <row r="1902" spans="1:9" x14ac:dyDescent="0.2">
      <c r="A1902" s="33">
        <v>42482</v>
      </c>
      <c r="B1902" s="36">
        <v>13195</v>
      </c>
      <c r="C1902" s="7">
        <v>13200</v>
      </c>
      <c r="D1902" s="7">
        <v>13205</v>
      </c>
      <c r="E1902" s="7">
        <v>13150</v>
      </c>
      <c r="F1902" s="7">
        <v>13150</v>
      </c>
      <c r="G1902" s="34">
        <v>146</v>
      </c>
      <c r="H1902" s="35">
        <v>40</v>
      </c>
      <c r="I1902" s="38">
        <f t="shared" si="29"/>
        <v>13197.5</v>
      </c>
    </row>
    <row r="1903" spans="1:9" x14ac:dyDescent="0.2">
      <c r="A1903" s="33">
        <v>42481</v>
      </c>
      <c r="B1903" s="36">
        <v>13155</v>
      </c>
      <c r="C1903" s="7">
        <v>13160</v>
      </c>
      <c r="D1903" s="7">
        <v>13185</v>
      </c>
      <c r="E1903" s="7">
        <v>13145</v>
      </c>
      <c r="F1903" s="7">
        <v>13150</v>
      </c>
      <c r="G1903" s="34">
        <v>182</v>
      </c>
      <c r="H1903" s="35">
        <v>19</v>
      </c>
      <c r="I1903" s="38">
        <f t="shared" si="29"/>
        <v>13157.5</v>
      </c>
    </row>
    <row r="1904" spans="1:9" x14ac:dyDescent="0.2">
      <c r="A1904" s="33">
        <v>42480</v>
      </c>
      <c r="B1904" s="36">
        <v>13136</v>
      </c>
      <c r="C1904" s="7">
        <v>13146</v>
      </c>
      <c r="D1904" s="7">
        <v>13146</v>
      </c>
      <c r="E1904" s="7">
        <v>13100</v>
      </c>
      <c r="F1904" s="7">
        <v>13100</v>
      </c>
      <c r="G1904" s="34">
        <v>110</v>
      </c>
      <c r="H1904" s="35">
        <v>-9</v>
      </c>
      <c r="I1904" s="38">
        <f t="shared" si="29"/>
        <v>13141</v>
      </c>
    </row>
    <row r="1905" spans="1:9" x14ac:dyDescent="0.2">
      <c r="A1905" s="33">
        <v>42479</v>
      </c>
      <c r="B1905" s="36">
        <v>13145</v>
      </c>
      <c r="C1905" s="7">
        <v>13150</v>
      </c>
      <c r="D1905" s="7">
        <v>13155</v>
      </c>
      <c r="E1905" s="7">
        <v>13130</v>
      </c>
      <c r="F1905" s="7">
        <v>13130</v>
      </c>
      <c r="G1905" s="34">
        <v>131</v>
      </c>
      <c r="H1905" s="35">
        <v>-25</v>
      </c>
      <c r="I1905" s="38">
        <f t="shared" si="29"/>
        <v>13147.5</v>
      </c>
    </row>
    <row r="1906" spans="1:9" x14ac:dyDescent="0.2">
      <c r="A1906" s="33">
        <v>42478</v>
      </c>
      <c r="B1906" s="36">
        <v>13170</v>
      </c>
      <c r="C1906" s="7">
        <v>13180</v>
      </c>
      <c r="D1906" s="7">
        <v>13215</v>
      </c>
      <c r="E1906" s="7">
        <v>13170</v>
      </c>
      <c r="F1906" s="7">
        <v>13180</v>
      </c>
      <c r="G1906" s="34">
        <v>130</v>
      </c>
      <c r="H1906" s="35">
        <v>0</v>
      </c>
      <c r="I1906" s="38">
        <f t="shared" si="29"/>
        <v>13175</v>
      </c>
    </row>
    <row r="1907" spans="1:9" x14ac:dyDescent="0.2">
      <c r="A1907" s="33">
        <v>42475</v>
      </c>
      <c r="B1907" s="36">
        <v>13170</v>
      </c>
      <c r="C1907" s="7">
        <v>13180</v>
      </c>
      <c r="D1907" s="7">
        <v>13175</v>
      </c>
      <c r="E1907" s="7">
        <v>13140</v>
      </c>
      <c r="F1907" s="7">
        <v>13170</v>
      </c>
      <c r="G1907" s="34">
        <v>121</v>
      </c>
      <c r="H1907" s="35">
        <v>0</v>
      </c>
      <c r="I1907" s="38">
        <f t="shared" si="29"/>
        <v>13175</v>
      </c>
    </row>
    <row r="1908" spans="1:9" x14ac:dyDescent="0.2">
      <c r="A1908" s="33">
        <v>42474</v>
      </c>
      <c r="B1908" s="36">
        <v>13170</v>
      </c>
      <c r="C1908" s="7">
        <v>13185</v>
      </c>
      <c r="D1908" s="7">
        <v>13245</v>
      </c>
      <c r="E1908" s="7">
        <v>13170</v>
      </c>
      <c r="F1908" s="7">
        <v>13210</v>
      </c>
      <c r="G1908" s="34">
        <v>170</v>
      </c>
      <c r="H1908" s="35">
        <v>15</v>
      </c>
      <c r="I1908" s="38">
        <f t="shared" si="29"/>
        <v>13177.5</v>
      </c>
    </row>
    <row r="1909" spans="1:9" x14ac:dyDescent="0.2">
      <c r="A1909" s="33">
        <v>42473</v>
      </c>
      <c r="B1909" s="36">
        <v>13155</v>
      </c>
      <c r="C1909" s="7">
        <v>13165</v>
      </c>
      <c r="D1909" s="7">
        <v>13185</v>
      </c>
      <c r="E1909" s="7">
        <v>13080</v>
      </c>
      <c r="F1909" s="7">
        <v>13080</v>
      </c>
      <c r="G1909" s="34">
        <v>159</v>
      </c>
      <c r="H1909" s="35">
        <v>43</v>
      </c>
      <c r="I1909" s="38">
        <f t="shared" si="29"/>
        <v>13160</v>
      </c>
    </row>
    <row r="1910" spans="1:9" x14ac:dyDescent="0.2">
      <c r="A1910" s="33">
        <v>42472</v>
      </c>
      <c r="B1910" s="36">
        <v>13112</v>
      </c>
      <c r="C1910" s="7">
        <v>13115</v>
      </c>
      <c r="D1910" s="7">
        <v>13125</v>
      </c>
      <c r="E1910" s="7">
        <v>13105</v>
      </c>
      <c r="F1910" s="7">
        <v>13115</v>
      </c>
      <c r="G1910" s="34">
        <v>132</v>
      </c>
      <c r="H1910" s="35">
        <v>-13</v>
      </c>
      <c r="I1910" s="38">
        <f t="shared" si="29"/>
        <v>13113.5</v>
      </c>
    </row>
    <row r="1911" spans="1:9" x14ac:dyDescent="0.2">
      <c r="A1911" s="33">
        <v>42471</v>
      </c>
      <c r="B1911" s="36">
        <v>13125</v>
      </c>
      <c r="C1911" s="7">
        <v>13130</v>
      </c>
      <c r="D1911" s="7">
        <v>13137</v>
      </c>
      <c r="E1911" s="7">
        <v>13100</v>
      </c>
      <c r="F1911" s="7">
        <v>13100</v>
      </c>
      <c r="G1911" s="34">
        <v>100</v>
      </c>
      <c r="H1911" s="35">
        <v>-15</v>
      </c>
      <c r="I1911" s="38">
        <f t="shared" si="29"/>
        <v>13127.5</v>
      </c>
    </row>
    <row r="1912" spans="1:9" x14ac:dyDescent="0.2">
      <c r="A1912" s="33">
        <v>42468</v>
      </c>
      <c r="B1912" s="36">
        <v>13140</v>
      </c>
      <c r="C1912" s="7">
        <v>13145</v>
      </c>
      <c r="D1912" s="7">
        <v>13185</v>
      </c>
      <c r="E1912" s="7">
        <v>13135</v>
      </c>
      <c r="F1912" s="7">
        <v>13160</v>
      </c>
      <c r="G1912" s="34">
        <v>135</v>
      </c>
      <c r="H1912" s="35">
        <v>-15</v>
      </c>
      <c r="I1912" s="38">
        <f t="shared" si="29"/>
        <v>13142.5</v>
      </c>
    </row>
    <row r="1913" spans="1:9" x14ac:dyDescent="0.2">
      <c r="A1913" s="33">
        <v>42467</v>
      </c>
      <c r="B1913" s="36">
        <v>13155</v>
      </c>
      <c r="C1913" s="7">
        <v>13165</v>
      </c>
      <c r="D1913" s="7">
        <v>13207</v>
      </c>
      <c r="E1913" s="7">
        <v>13150</v>
      </c>
      <c r="F1913" s="7">
        <v>13170</v>
      </c>
      <c r="G1913" s="34">
        <v>127</v>
      </c>
      <c r="H1913" s="35">
        <v>-65</v>
      </c>
      <c r="I1913" s="38">
        <f t="shared" si="29"/>
        <v>13160</v>
      </c>
    </row>
    <row r="1914" spans="1:9" x14ac:dyDescent="0.2">
      <c r="A1914" s="33">
        <v>42466</v>
      </c>
      <c r="B1914" s="36">
        <v>13220</v>
      </c>
      <c r="C1914" s="7">
        <v>13225</v>
      </c>
      <c r="D1914" s="7">
        <v>13230</v>
      </c>
      <c r="E1914" s="7">
        <v>13170</v>
      </c>
      <c r="F1914" s="7">
        <v>13210</v>
      </c>
      <c r="G1914" s="34">
        <v>156</v>
      </c>
      <c r="H1914" s="35">
        <v>5</v>
      </c>
      <c r="I1914" s="38">
        <f t="shared" si="29"/>
        <v>13222.5</v>
      </c>
    </row>
    <row r="1915" spans="1:9" x14ac:dyDescent="0.2">
      <c r="A1915" s="33">
        <v>42465</v>
      </c>
      <c r="B1915" s="36">
        <v>13215</v>
      </c>
      <c r="C1915" s="7">
        <v>13223</v>
      </c>
      <c r="D1915" s="7">
        <v>13230</v>
      </c>
      <c r="E1915" s="7">
        <v>13175</v>
      </c>
      <c r="F1915" s="7">
        <v>13190</v>
      </c>
      <c r="G1915" s="34">
        <v>121</v>
      </c>
      <c r="H1915" s="35">
        <v>50</v>
      </c>
      <c r="I1915" s="38">
        <f t="shared" si="29"/>
        <v>13219</v>
      </c>
    </row>
    <row r="1916" spans="1:9" x14ac:dyDescent="0.2">
      <c r="A1916" s="33">
        <v>42464</v>
      </c>
      <c r="B1916" s="36">
        <v>13165</v>
      </c>
      <c r="C1916" s="7">
        <v>13168</v>
      </c>
      <c r="D1916" s="7">
        <v>13175</v>
      </c>
      <c r="E1916" s="7">
        <v>13120</v>
      </c>
      <c r="F1916" s="7">
        <v>13120</v>
      </c>
      <c r="G1916" s="34">
        <v>137</v>
      </c>
      <c r="H1916" s="35">
        <v>10</v>
      </c>
      <c r="I1916" s="38">
        <f t="shared" si="29"/>
        <v>13166.5</v>
      </c>
    </row>
    <row r="1917" spans="1:9" x14ac:dyDescent="0.2">
      <c r="A1917" s="33">
        <v>42461</v>
      </c>
      <c r="B1917" s="36">
        <v>13155</v>
      </c>
      <c r="C1917" s="7">
        <v>13165</v>
      </c>
      <c r="D1917" s="7">
        <v>13205</v>
      </c>
      <c r="E1917" s="7">
        <v>13150</v>
      </c>
      <c r="F1917" s="7">
        <v>13170</v>
      </c>
      <c r="G1917" s="34">
        <v>132</v>
      </c>
      <c r="H1917" s="35">
        <v>-100</v>
      </c>
      <c r="I1917" s="38">
        <f t="shared" si="29"/>
        <v>13160</v>
      </c>
    </row>
    <row r="1918" spans="1:9" x14ac:dyDescent="0.2">
      <c r="A1918" s="33">
        <v>42460</v>
      </c>
      <c r="B1918" s="36">
        <v>13255</v>
      </c>
      <c r="C1918" s="7">
        <v>13265</v>
      </c>
      <c r="D1918" s="7">
        <v>13291</v>
      </c>
      <c r="E1918" s="7">
        <v>13235</v>
      </c>
      <c r="F1918" s="7">
        <v>13250</v>
      </c>
      <c r="G1918" s="34">
        <v>160</v>
      </c>
      <c r="H1918" s="35">
        <v>-10</v>
      </c>
      <c r="I1918" s="38">
        <f t="shared" si="29"/>
        <v>13260</v>
      </c>
    </row>
    <row r="1919" spans="1:9" x14ac:dyDescent="0.2">
      <c r="A1919" s="33">
        <v>42459</v>
      </c>
      <c r="B1919" s="36">
        <v>13265</v>
      </c>
      <c r="C1919" s="7">
        <v>13270</v>
      </c>
      <c r="D1919" s="7">
        <v>13375</v>
      </c>
      <c r="E1919" s="7">
        <v>13253</v>
      </c>
      <c r="F1919" s="7">
        <v>13300</v>
      </c>
      <c r="G1919" s="34">
        <v>179</v>
      </c>
      <c r="H1919" s="35">
        <v>-130</v>
      </c>
      <c r="I1919" s="38">
        <f t="shared" si="29"/>
        <v>13267.5</v>
      </c>
    </row>
    <row r="1920" spans="1:9" x14ac:dyDescent="0.2">
      <c r="A1920" s="33">
        <v>42458</v>
      </c>
      <c r="B1920" s="36">
        <v>13395</v>
      </c>
      <c r="C1920" s="7">
        <v>13400</v>
      </c>
      <c r="D1920" s="7">
        <v>13430</v>
      </c>
      <c r="E1920" s="7">
        <v>13315</v>
      </c>
      <c r="F1920" s="7">
        <v>13325</v>
      </c>
      <c r="G1920" s="34">
        <v>100</v>
      </c>
      <c r="H1920" s="35">
        <v>30</v>
      </c>
      <c r="I1920" s="38">
        <f t="shared" si="29"/>
        <v>13397.5</v>
      </c>
    </row>
    <row r="1921" spans="1:9" x14ac:dyDescent="0.2">
      <c r="A1921" s="33">
        <v>42457</v>
      </c>
      <c r="B1921" s="36">
        <v>13365</v>
      </c>
      <c r="C1921" s="7">
        <v>13370</v>
      </c>
      <c r="D1921" s="7">
        <v>13365</v>
      </c>
      <c r="E1921" s="7">
        <v>13275</v>
      </c>
      <c r="F1921" s="7">
        <v>13275</v>
      </c>
      <c r="G1921" s="34">
        <v>117</v>
      </c>
      <c r="H1921" s="35">
        <v>115</v>
      </c>
      <c r="I1921" s="38">
        <f t="shared" si="29"/>
        <v>13367.5</v>
      </c>
    </row>
    <row r="1922" spans="1:9" x14ac:dyDescent="0.2">
      <c r="A1922" s="33">
        <v>42454</v>
      </c>
      <c r="B1922" s="36">
        <v>13250</v>
      </c>
      <c r="C1922" s="7">
        <v>13255</v>
      </c>
      <c r="D1922" s="7"/>
      <c r="E1922" s="7"/>
      <c r="F1922" s="7"/>
      <c r="G1922" s="34"/>
      <c r="H1922" s="35">
        <v>0</v>
      </c>
      <c r="I1922" s="38">
        <f t="shared" si="29"/>
        <v>13252.5</v>
      </c>
    </row>
    <row r="1923" spans="1:9" x14ac:dyDescent="0.2">
      <c r="A1923" s="33">
        <v>42453</v>
      </c>
      <c r="B1923" s="36">
        <v>13250</v>
      </c>
      <c r="C1923" s="7">
        <v>13255</v>
      </c>
      <c r="D1923" s="7">
        <v>13260</v>
      </c>
      <c r="E1923" s="7">
        <v>13150</v>
      </c>
      <c r="F1923" s="7">
        <v>13200</v>
      </c>
      <c r="G1923" s="34">
        <v>117</v>
      </c>
      <c r="H1923" s="35">
        <v>75</v>
      </c>
      <c r="I1923" s="38">
        <f t="shared" si="29"/>
        <v>13252.5</v>
      </c>
    </row>
    <row r="1924" spans="1:9" x14ac:dyDescent="0.2">
      <c r="A1924" s="33">
        <v>42452</v>
      </c>
      <c r="B1924" s="36">
        <v>13175</v>
      </c>
      <c r="C1924" s="7">
        <v>13180</v>
      </c>
      <c r="D1924" s="7">
        <v>13200</v>
      </c>
      <c r="E1924" s="7">
        <v>13139</v>
      </c>
      <c r="F1924" s="7">
        <v>13150</v>
      </c>
      <c r="G1924" s="34">
        <v>123</v>
      </c>
      <c r="H1924" s="35">
        <v>0</v>
      </c>
      <c r="I1924" s="38">
        <f t="shared" si="29"/>
        <v>13177.5</v>
      </c>
    </row>
    <row r="1925" spans="1:9" x14ac:dyDescent="0.2">
      <c r="A1925" s="33">
        <v>42451</v>
      </c>
      <c r="B1925" s="36">
        <v>13175</v>
      </c>
      <c r="C1925" s="7">
        <v>13185</v>
      </c>
      <c r="D1925" s="7">
        <v>13185</v>
      </c>
      <c r="E1925" s="7">
        <v>13130</v>
      </c>
      <c r="F1925" s="7">
        <v>13150</v>
      </c>
      <c r="G1925" s="34">
        <v>117</v>
      </c>
      <c r="H1925" s="35">
        <v>45</v>
      </c>
      <c r="I1925" s="38">
        <f t="shared" si="29"/>
        <v>13180</v>
      </c>
    </row>
    <row r="1926" spans="1:9" x14ac:dyDescent="0.2">
      <c r="A1926" s="33">
        <v>42450</v>
      </c>
      <c r="B1926" s="36">
        <v>13130</v>
      </c>
      <c r="C1926" s="7">
        <v>13140</v>
      </c>
      <c r="D1926" s="7">
        <v>13175</v>
      </c>
      <c r="E1926" s="7">
        <v>13120</v>
      </c>
      <c r="F1926" s="7">
        <v>13120</v>
      </c>
      <c r="G1926" s="34">
        <v>115</v>
      </c>
      <c r="H1926" s="35">
        <v>15</v>
      </c>
      <c r="I1926" s="38">
        <f t="shared" si="29"/>
        <v>13135</v>
      </c>
    </row>
    <row r="1927" spans="1:9" x14ac:dyDescent="0.2">
      <c r="A1927" s="33">
        <v>42447</v>
      </c>
      <c r="B1927" s="36">
        <v>13115</v>
      </c>
      <c r="C1927" s="7">
        <v>13120</v>
      </c>
      <c r="D1927" s="7">
        <v>13125</v>
      </c>
      <c r="E1927" s="7">
        <v>13000</v>
      </c>
      <c r="F1927" s="7">
        <v>13025</v>
      </c>
      <c r="G1927" s="34">
        <v>102</v>
      </c>
      <c r="H1927" s="35">
        <v>25</v>
      </c>
      <c r="I1927" s="38">
        <f t="shared" si="29"/>
        <v>13117.5</v>
      </c>
    </row>
    <row r="1928" spans="1:9" x14ac:dyDescent="0.2">
      <c r="A1928" s="33">
        <v>42446</v>
      </c>
      <c r="B1928" s="36">
        <v>13090</v>
      </c>
      <c r="C1928" s="7">
        <v>13100</v>
      </c>
      <c r="D1928" s="7">
        <v>13200</v>
      </c>
      <c r="E1928" s="7">
        <v>13075</v>
      </c>
      <c r="F1928" s="7">
        <v>13200</v>
      </c>
      <c r="G1928" s="34">
        <v>208</v>
      </c>
      <c r="H1928" s="35">
        <v>-175</v>
      </c>
      <c r="I1928" s="38">
        <f t="shared" si="29"/>
        <v>13095</v>
      </c>
    </row>
    <row r="1929" spans="1:9" x14ac:dyDescent="0.2">
      <c r="A1929" s="33">
        <v>42445</v>
      </c>
      <c r="B1929" s="36">
        <v>13265</v>
      </c>
      <c r="C1929" s="7">
        <v>13270</v>
      </c>
      <c r="D1929" s="7">
        <v>13280</v>
      </c>
      <c r="E1929" s="7">
        <v>13130</v>
      </c>
      <c r="F1929" s="7">
        <v>13160</v>
      </c>
      <c r="G1929" s="34">
        <v>117</v>
      </c>
      <c r="H1929" s="35">
        <v>90</v>
      </c>
      <c r="I1929" s="38">
        <f t="shared" si="29"/>
        <v>13267.5</v>
      </c>
    </row>
    <row r="1930" spans="1:9" x14ac:dyDescent="0.2">
      <c r="A1930" s="33">
        <v>42444</v>
      </c>
      <c r="B1930" s="36">
        <v>13175</v>
      </c>
      <c r="C1930" s="7">
        <v>13180</v>
      </c>
      <c r="D1930" s="7">
        <v>13175</v>
      </c>
      <c r="E1930" s="7">
        <v>13054</v>
      </c>
      <c r="F1930" s="7">
        <v>13055</v>
      </c>
      <c r="G1930" s="34">
        <v>150</v>
      </c>
      <c r="H1930" s="35">
        <v>120</v>
      </c>
      <c r="I1930" s="38">
        <f t="shared" si="29"/>
        <v>13177.5</v>
      </c>
    </row>
    <row r="1931" spans="1:9" x14ac:dyDescent="0.2">
      <c r="A1931" s="33">
        <v>42443</v>
      </c>
      <c r="B1931" s="36">
        <v>13055</v>
      </c>
      <c r="C1931" s="7">
        <v>13065</v>
      </c>
      <c r="D1931" s="7">
        <v>13055</v>
      </c>
      <c r="E1931" s="7">
        <v>12970</v>
      </c>
      <c r="F1931" s="7">
        <v>12970</v>
      </c>
      <c r="G1931" s="34">
        <v>167</v>
      </c>
      <c r="H1931" s="35">
        <v>-10</v>
      </c>
      <c r="I1931" s="38">
        <f t="shared" si="29"/>
        <v>13060</v>
      </c>
    </row>
    <row r="1932" spans="1:9" x14ac:dyDescent="0.2">
      <c r="A1932" s="33">
        <v>42440</v>
      </c>
      <c r="B1932" s="36">
        <v>13065</v>
      </c>
      <c r="C1932" s="7">
        <v>13075</v>
      </c>
      <c r="D1932" s="7">
        <v>13100</v>
      </c>
      <c r="E1932" s="7">
        <v>13060</v>
      </c>
      <c r="F1932" s="7">
        <v>13100</v>
      </c>
      <c r="G1932" s="34">
        <v>174</v>
      </c>
      <c r="H1932" s="35">
        <v>-5</v>
      </c>
      <c r="I1932" s="38">
        <f t="shared" si="29"/>
        <v>13070</v>
      </c>
    </row>
    <row r="1933" spans="1:9" x14ac:dyDescent="0.2">
      <c r="A1933" s="33">
        <v>42439</v>
      </c>
      <c r="B1933" s="36">
        <v>13070</v>
      </c>
      <c r="C1933" s="7">
        <v>13075</v>
      </c>
      <c r="D1933" s="7">
        <v>13160</v>
      </c>
      <c r="E1933" s="7">
        <v>13060</v>
      </c>
      <c r="F1933" s="7">
        <v>13125</v>
      </c>
      <c r="G1933" s="34">
        <v>188</v>
      </c>
      <c r="H1933" s="35">
        <v>-68</v>
      </c>
      <c r="I1933" s="38">
        <f t="shared" si="29"/>
        <v>13072.5</v>
      </c>
    </row>
    <row r="1934" spans="1:9" x14ac:dyDescent="0.2">
      <c r="A1934" s="33">
        <v>42438</v>
      </c>
      <c r="B1934" s="36">
        <v>13138</v>
      </c>
      <c r="C1934" s="7">
        <v>13148</v>
      </c>
      <c r="D1934" s="7"/>
      <c r="E1934" s="7"/>
      <c r="F1934" s="7"/>
      <c r="G1934" s="34"/>
      <c r="H1934" s="35">
        <v>0</v>
      </c>
      <c r="I1934" s="38">
        <f t="shared" si="29"/>
        <v>13143</v>
      </c>
    </row>
    <row r="1935" spans="1:9" x14ac:dyDescent="0.2">
      <c r="A1935" s="33">
        <v>42437</v>
      </c>
      <c r="B1935" s="36">
        <v>13138</v>
      </c>
      <c r="C1935" s="7">
        <v>13148</v>
      </c>
      <c r="D1935" s="7">
        <v>13155</v>
      </c>
      <c r="E1935" s="7">
        <v>13080</v>
      </c>
      <c r="F1935" s="7">
        <v>13090</v>
      </c>
      <c r="G1935" s="34">
        <v>144</v>
      </c>
      <c r="H1935" s="35">
        <v>53</v>
      </c>
      <c r="I1935" s="38">
        <f t="shared" si="29"/>
        <v>13143</v>
      </c>
    </row>
    <row r="1936" spans="1:9" x14ac:dyDescent="0.2">
      <c r="A1936" s="33">
        <v>42436</v>
      </c>
      <c r="B1936" s="36">
        <v>13085</v>
      </c>
      <c r="C1936" s="7">
        <v>13095</v>
      </c>
      <c r="D1936" s="7">
        <v>13085</v>
      </c>
      <c r="E1936" s="7">
        <v>12950</v>
      </c>
      <c r="F1936" s="7">
        <v>13000</v>
      </c>
      <c r="G1936" s="34">
        <v>178</v>
      </c>
      <c r="H1936" s="35">
        <v>-45</v>
      </c>
      <c r="I1936" s="38">
        <f t="shared" si="29"/>
        <v>13090</v>
      </c>
    </row>
    <row r="1937" spans="1:9" x14ac:dyDescent="0.2">
      <c r="A1937" s="33">
        <v>42433</v>
      </c>
      <c r="B1937" s="36">
        <v>13130</v>
      </c>
      <c r="C1937" s="7">
        <v>13140</v>
      </c>
      <c r="D1937" s="7">
        <v>13170</v>
      </c>
      <c r="E1937" s="7">
        <v>13105</v>
      </c>
      <c r="F1937" s="7">
        <v>13150</v>
      </c>
      <c r="G1937" s="34">
        <v>223</v>
      </c>
      <c r="H1937" s="35">
        <v>-100</v>
      </c>
      <c r="I1937" s="38">
        <f t="shared" si="29"/>
        <v>13135</v>
      </c>
    </row>
    <row r="1938" spans="1:9" x14ac:dyDescent="0.2">
      <c r="A1938" s="33">
        <v>42432</v>
      </c>
      <c r="B1938" s="36">
        <v>13230</v>
      </c>
      <c r="C1938" s="7">
        <v>13240</v>
      </c>
      <c r="D1938" s="7">
        <v>13285</v>
      </c>
      <c r="E1938" s="7">
        <v>13230</v>
      </c>
      <c r="F1938" s="7">
        <v>13285</v>
      </c>
      <c r="G1938" s="34">
        <v>178</v>
      </c>
      <c r="H1938" s="35">
        <v>-55</v>
      </c>
      <c r="I1938" s="38">
        <f t="shared" si="29"/>
        <v>13235</v>
      </c>
    </row>
    <row r="1939" spans="1:9" x14ac:dyDescent="0.2">
      <c r="A1939" s="33">
        <v>42431</v>
      </c>
      <c r="B1939" s="36">
        <v>13285</v>
      </c>
      <c r="C1939" s="7">
        <v>13295</v>
      </c>
      <c r="D1939" s="7">
        <v>13320</v>
      </c>
      <c r="E1939" s="7">
        <v>13250</v>
      </c>
      <c r="F1939" s="7">
        <v>13290</v>
      </c>
      <c r="G1939" s="34">
        <v>139</v>
      </c>
      <c r="H1939" s="35">
        <v>-60</v>
      </c>
      <c r="I1939" s="38">
        <f t="shared" si="29"/>
        <v>13290</v>
      </c>
    </row>
    <row r="1940" spans="1:9" x14ac:dyDescent="0.2">
      <c r="A1940" s="33">
        <v>42430</v>
      </c>
      <c r="B1940" s="36">
        <v>13345</v>
      </c>
      <c r="C1940" s="7">
        <v>13355</v>
      </c>
      <c r="D1940" s="7">
        <v>13375</v>
      </c>
      <c r="E1940" s="7">
        <v>13325</v>
      </c>
      <c r="F1940" s="7">
        <v>13325</v>
      </c>
      <c r="G1940" s="34">
        <v>109</v>
      </c>
      <c r="H1940" s="35">
        <v>-22</v>
      </c>
      <c r="I1940" s="38">
        <f t="shared" si="29"/>
        <v>13350</v>
      </c>
    </row>
    <row r="1941" spans="1:9" x14ac:dyDescent="0.2">
      <c r="A1941" s="33">
        <v>42429</v>
      </c>
      <c r="B1941" s="36">
        <v>13367</v>
      </c>
      <c r="C1941" s="7">
        <v>13377</v>
      </c>
      <c r="D1941" s="7">
        <v>13405</v>
      </c>
      <c r="E1941" s="7">
        <v>13366</v>
      </c>
      <c r="F1941" s="7">
        <v>13375</v>
      </c>
      <c r="G1941" s="34">
        <v>130</v>
      </c>
      <c r="H1941" s="35">
        <v>2</v>
      </c>
      <c r="I1941" s="38">
        <f t="shared" si="29"/>
        <v>13372</v>
      </c>
    </row>
    <row r="1942" spans="1:9" x14ac:dyDescent="0.2">
      <c r="A1942" s="33">
        <v>42426</v>
      </c>
      <c r="B1942" s="36">
        <v>13365</v>
      </c>
      <c r="C1942" s="7">
        <v>13375</v>
      </c>
      <c r="D1942" s="7">
        <v>13401</v>
      </c>
      <c r="E1942" s="7">
        <v>13355</v>
      </c>
      <c r="F1942" s="7">
        <v>13375</v>
      </c>
      <c r="G1942" s="34">
        <v>119</v>
      </c>
      <c r="H1942" s="35">
        <v>-41</v>
      </c>
      <c r="I1942" s="38">
        <f t="shared" si="29"/>
        <v>13370</v>
      </c>
    </row>
    <row r="1943" spans="1:9" x14ac:dyDescent="0.2">
      <c r="A1943" s="33">
        <v>42425</v>
      </c>
      <c r="B1943" s="36">
        <v>13406</v>
      </c>
      <c r="C1943" s="7">
        <v>13415</v>
      </c>
      <c r="D1943" s="7">
        <v>13430</v>
      </c>
      <c r="E1943" s="7">
        <v>13380</v>
      </c>
      <c r="F1943" s="7">
        <v>13380</v>
      </c>
      <c r="G1943" s="34">
        <v>171</v>
      </c>
      <c r="H1943" s="35">
        <v>1</v>
      </c>
      <c r="I1943" s="38">
        <f t="shared" si="29"/>
        <v>13410.5</v>
      </c>
    </row>
    <row r="1944" spans="1:9" x14ac:dyDescent="0.2">
      <c r="A1944" s="33">
        <v>42424</v>
      </c>
      <c r="B1944" s="36">
        <v>13405</v>
      </c>
      <c r="C1944" s="7">
        <v>13420</v>
      </c>
      <c r="D1944" s="7">
        <v>13450</v>
      </c>
      <c r="E1944" s="7">
        <v>13400</v>
      </c>
      <c r="F1944" s="7">
        <v>13420</v>
      </c>
      <c r="G1944" s="34">
        <v>117</v>
      </c>
      <c r="H1944" s="35">
        <v>-15</v>
      </c>
      <c r="I1944" s="38">
        <f t="shared" si="29"/>
        <v>13412.5</v>
      </c>
    </row>
    <row r="1945" spans="1:9" x14ac:dyDescent="0.2">
      <c r="A1945" s="33">
        <v>42423</v>
      </c>
      <c r="B1945" s="36">
        <v>13420</v>
      </c>
      <c r="C1945" s="7">
        <v>13430</v>
      </c>
      <c r="D1945" s="7">
        <v>13430</v>
      </c>
      <c r="E1945" s="7">
        <v>13375</v>
      </c>
      <c r="F1945" s="7">
        <v>13400</v>
      </c>
      <c r="G1945" s="34">
        <v>151</v>
      </c>
      <c r="H1945" s="35">
        <v>-15</v>
      </c>
      <c r="I1945" s="38">
        <f t="shared" si="29"/>
        <v>13425</v>
      </c>
    </row>
    <row r="1946" spans="1:9" x14ac:dyDescent="0.2">
      <c r="A1946" s="33">
        <v>42422</v>
      </c>
      <c r="B1946" s="36">
        <v>13435</v>
      </c>
      <c r="C1946" s="7">
        <v>13440</v>
      </c>
      <c r="D1946" s="7">
        <v>13488</v>
      </c>
      <c r="E1946" s="7">
        <v>13420</v>
      </c>
      <c r="F1946" s="7">
        <v>13480</v>
      </c>
      <c r="G1946" s="34">
        <v>118</v>
      </c>
      <c r="H1946" s="35">
        <v>-55</v>
      </c>
      <c r="I1946" s="38">
        <f t="shared" si="29"/>
        <v>13437.5</v>
      </c>
    </row>
    <row r="1947" spans="1:9" x14ac:dyDescent="0.2">
      <c r="A1947" s="33">
        <v>42419</v>
      </c>
      <c r="B1947" s="36">
        <v>13490</v>
      </c>
      <c r="C1947" s="7">
        <v>13500</v>
      </c>
      <c r="D1947" s="7">
        <v>13560</v>
      </c>
      <c r="E1947" s="7">
        <v>13490</v>
      </c>
      <c r="F1947" s="7">
        <v>13500</v>
      </c>
      <c r="G1947" s="34">
        <v>137</v>
      </c>
      <c r="H1947" s="35">
        <v>0</v>
      </c>
      <c r="I1947" s="38">
        <f t="shared" si="29"/>
        <v>13495</v>
      </c>
    </row>
    <row r="1948" spans="1:9" x14ac:dyDescent="0.2">
      <c r="A1948" s="33">
        <v>42418</v>
      </c>
      <c r="B1948" s="36">
        <v>13490</v>
      </c>
      <c r="C1948" s="7">
        <v>13500</v>
      </c>
      <c r="D1948" s="7">
        <v>13500</v>
      </c>
      <c r="E1948" s="7">
        <v>13430</v>
      </c>
      <c r="F1948" s="7">
        <v>13450</v>
      </c>
      <c r="G1948" s="34">
        <v>151</v>
      </c>
      <c r="H1948" s="35">
        <v>-15</v>
      </c>
      <c r="I1948" s="38">
        <f t="shared" si="29"/>
        <v>13495</v>
      </c>
    </row>
    <row r="1949" spans="1:9" x14ac:dyDescent="0.2">
      <c r="A1949" s="33">
        <v>42417</v>
      </c>
      <c r="B1949" s="36">
        <v>13505</v>
      </c>
      <c r="C1949" s="7">
        <v>13515</v>
      </c>
      <c r="D1949" s="7">
        <v>13510</v>
      </c>
      <c r="E1949" s="7">
        <v>13440</v>
      </c>
      <c r="F1949" s="7">
        <v>13440</v>
      </c>
      <c r="G1949" s="34">
        <v>150</v>
      </c>
      <c r="H1949" s="35">
        <v>110</v>
      </c>
      <c r="I1949" s="38">
        <f t="shared" si="29"/>
        <v>13510</v>
      </c>
    </row>
    <row r="1950" spans="1:9" x14ac:dyDescent="0.2">
      <c r="A1950" s="33">
        <v>42416</v>
      </c>
      <c r="B1950" s="36">
        <v>13395</v>
      </c>
      <c r="C1950" s="7">
        <v>13405</v>
      </c>
      <c r="D1950" s="7">
        <v>13410</v>
      </c>
      <c r="E1950" s="7">
        <v>13290</v>
      </c>
      <c r="F1950" s="7">
        <v>13300</v>
      </c>
      <c r="G1950" s="34">
        <v>193</v>
      </c>
      <c r="H1950" s="35">
        <v>25</v>
      </c>
      <c r="I1950" s="38">
        <f t="shared" si="29"/>
        <v>13400</v>
      </c>
    </row>
    <row r="1951" spans="1:9" x14ac:dyDescent="0.2">
      <c r="A1951" s="33">
        <v>42415</v>
      </c>
      <c r="B1951" s="36">
        <v>13370</v>
      </c>
      <c r="C1951" s="7">
        <v>13380</v>
      </c>
      <c r="D1951" s="7">
        <v>13485</v>
      </c>
      <c r="E1951" s="7">
        <v>13370</v>
      </c>
      <c r="F1951" s="7">
        <v>13455</v>
      </c>
      <c r="G1951" s="34">
        <v>144</v>
      </c>
      <c r="H1951" s="35">
        <v>-115</v>
      </c>
      <c r="I1951" s="38">
        <f t="shared" si="29"/>
        <v>13375</v>
      </c>
    </row>
    <row r="1952" spans="1:9" x14ac:dyDescent="0.2">
      <c r="A1952" s="33">
        <v>42412</v>
      </c>
      <c r="B1952" s="36">
        <v>13485</v>
      </c>
      <c r="C1952" s="7">
        <v>13495</v>
      </c>
      <c r="D1952" s="7">
        <v>13520</v>
      </c>
      <c r="E1952" s="7">
        <v>13419</v>
      </c>
      <c r="F1952" s="7">
        <v>13450</v>
      </c>
      <c r="G1952" s="34">
        <v>158</v>
      </c>
      <c r="H1952" s="35">
        <v>25</v>
      </c>
      <c r="I1952" s="38">
        <f t="shared" ref="I1952:I2015" si="30">+(B1952+C1952)*0.5</f>
        <v>13490</v>
      </c>
    </row>
    <row r="1953" spans="1:9" x14ac:dyDescent="0.2">
      <c r="A1953" s="33">
        <v>42411</v>
      </c>
      <c r="B1953" s="36">
        <v>13460</v>
      </c>
      <c r="C1953" s="7">
        <v>13465</v>
      </c>
      <c r="D1953" s="7">
        <v>13460</v>
      </c>
      <c r="E1953" s="7">
        <v>13325</v>
      </c>
      <c r="F1953" s="7">
        <v>13370</v>
      </c>
      <c r="G1953" s="34">
        <v>197</v>
      </c>
      <c r="H1953" s="35">
        <v>0</v>
      </c>
      <c r="I1953" s="38">
        <f t="shared" si="30"/>
        <v>13462.5</v>
      </c>
    </row>
    <row r="1954" spans="1:9" x14ac:dyDescent="0.2">
      <c r="A1954" s="33">
        <v>42410</v>
      </c>
      <c r="B1954" s="36">
        <v>13460</v>
      </c>
      <c r="C1954" s="7">
        <v>13465</v>
      </c>
      <c r="D1954" s="7">
        <v>13600</v>
      </c>
      <c r="E1954" s="7">
        <v>13400</v>
      </c>
      <c r="F1954" s="7">
        <v>13580</v>
      </c>
      <c r="G1954" s="34">
        <v>145</v>
      </c>
      <c r="H1954" s="35">
        <v>-142</v>
      </c>
      <c r="I1954" s="38">
        <f t="shared" si="30"/>
        <v>13462.5</v>
      </c>
    </row>
    <row r="1955" spans="1:9" x14ac:dyDescent="0.2">
      <c r="A1955" s="33">
        <v>42409</v>
      </c>
      <c r="B1955" s="36">
        <v>13602</v>
      </c>
      <c r="C1955" s="7">
        <v>13608</v>
      </c>
      <c r="D1955" s="7">
        <v>13710</v>
      </c>
      <c r="E1955" s="7">
        <v>13600</v>
      </c>
      <c r="F1955" s="7">
        <v>13660</v>
      </c>
      <c r="G1955" s="34">
        <v>122</v>
      </c>
      <c r="H1955" s="35">
        <v>-18</v>
      </c>
      <c r="I1955" s="38">
        <f t="shared" si="30"/>
        <v>13605</v>
      </c>
    </row>
    <row r="1956" spans="1:9" x14ac:dyDescent="0.2">
      <c r="A1956" s="33">
        <v>42408</v>
      </c>
      <c r="B1956" s="36">
        <v>13620</v>
      </c>
      <c r="C1956" s="7">
        <v>13630</v>
      </c>
      <c r="D1956" s="7"/>
      <c r="E1956" s="7"/>
      <c r="F1956" s="7"/>
      <c r="G1956" s="34"/>
      <c r="H1956" s="35">
        <v>0</v>
      </c>
      <c r="I1956" s="38">
        <f t="shared" si="30"/>
        <v>13625</v>
      </c>
    </row>
    <row r="1957" spans="1:9" x14ac:dyDescent="0.2">
      <c r="A1957" s="33">
        <v>42405</v>
      </c>
      <c r="B1957" s="36">
        <v>13620</v>
      </c>
      <c r="C1957" s="7">
        <v>13630</v>
      </c>
      <c r="D1957" s="7">
        <v>13665</v>
      </c>
      <c r="E1957" s="7">
        <v>13590</v>
      </c>
      <c r="F1957" s="7">
        <v>13620</v>
      </c>
      <c r="G1957" s="34">
        <v>180</v>
      </c>
      <c r="H1957" s="35">
        <v>-15</v>
      </c>
      <c r="I1957" s="38">
        <f t="shared" si="30"/>
        <v>13625</v>
      </c>
    </row>
    <row r="1958" spans="1:9" x14ac:dyDescent="0.2">
      <c r="A1958" s="33">
        <v>42404</v>
      </c>
      <c r="B1958" s="36">
        <v>13635</v>
      </c>
      <c r="C1958" s="7">
        <v>13640</v>
      </c>
      <c r="D1958" s="7">
        <v>13680</v>
      </c>
      <c r="E1958" s="7">
        <v>13630</v>
      </c>
      <c r="F1958" s="7">
        <v>13670</v>
      </c>
      <c r="G1958" s="34">
        <v>135</v>
      </c>
      <c r="H1958" s="35">
        <v>-115</v>
      </c>
      <c r="I1958" s="38">
        <f t="shared" si="30"/>
        <v>13637.5</v>
      </c>
    </row>
    <row r="1959" spans="1:9" x14ac:dyDescent="0.2">
      <c r="A1959" s="33">
        <v>42403</v>
      </c>
      <c r="B1959" s="36">
        <v>13750</v>
      </c>
      <c r="C1959" s="7">
        <v>13780</v>
      </c>
      <c r="D1959" s="7">
        <v>13820</v>
      </c>
      <c r="E1959" s="7">
        <v>13680</v>
      </c>
      <c r="F1959" s="7">
        <v>13700</v>
      </c>
      <c r="G1959" s="34">
        <v>152</v>
      </c>
      <c r="H1959" s="35">
        <v>70</v>
      </c>
      <c r="I1959" s="38">
        <f t="shared" si="30"/>
        <v>13765</v>
      </c>
    </row>
    <row r="1960" spans="1:9" x14ac:dyDescent="0.2">
      <c r="A1960" s="33">
        <v>42402</v>
      </c>
      <c r="B1960" s="36">
        <v>13680</v>
      </c>
      <c r="C1960" s="7">
        <v>13695</v>
      </c>
      <c r="D1960" s="7">
        <v>13695</v>
      </c>
      <c r="E1960" s="7">
        <v>13600</v>
      </c>
      <c r="F1960" s="7">
        <v>13615</v>
      </c>
      <c r="G1960" s="34">
        <v>164</v>
      </c>
      <c r="H1960" s="35">
        <v>45</v>
      </c>
      <c r="I1960" s="38">
        <f t="shared" si="30"/>
        <v>13687.5</v>
      </c>
    </row>
    <row r="1961" spans="1:9" x14ac:dyDescent="0.2">
      <c r="A1961" s="33">
        <v>42401</v>
      </c>
      <c r="B1961" s="36">
        <v>13635</v>
      </c>
      <c r="C1961" s="7">
        <v>13640</v>
      </c>
      <c r="D1961" s="7">
        <v>13775</v>
      </c>
      <c r="E1961" s="7">
        <v>13570</v>
      </c>
      <c r="F1961" s="7">
        <v>13750</v>
      </c>
      <c r="G1961" s="34">
        <v>186</v>
      </c>
      <c r="H1961" s="35">
        <v>-135</v>
      </c>
      <c r="I1961" s="38">
        <f t="shared" si="30"/>
        <v>13637.5</v>
      </c>
    </row>
    <row r="1962" spans="1:9" x14ac:dyDescent="0.2">
      <c r="A1962" s="33">
        <v>42398</v>
      </c>
      <c r="B1962" s="36">
        <v>13770</v>
      </c>
      <c r="C1962" s="7">
        <v>13780</v>
      </c>
      <c r="D1962" s="7">
        <v>13850</v>
      </c>
      <c r="E1962" s="7">
        <v>13750</v>
      </c>
      <c r="F1962" s="7">
        <v>13800</v>
      </c>
      <c r="G1962" s="34">
        <v>196</v>
      </c>
      <c r="H1962" s="35">
        <v>-100</v>
      </c>
      <c r="I1962" s="38">
        <f t="shared" si="30"/>
        <v>13775</v>
      </c>
    </row>
    <row r="1963" spans="1:9" x14ac:dyDescent="0.2">
      <c r="A1963" s="33">
        <v>42397</v>
      </c>
      <c r="B1963" s="36">
        <v>13870</v>
      </c>
      <c r="C1963" s="7">
        <v>13879</v>
      </c>
      <c r="D1963" s="7">
        <v>13905</v>
      </c>
      <c r="E1963" s="7">
        <v>13860</v>
      </c>
      <c r="F1963" s="7">
        <v>13885</v>
      </c>
      <c r="G1963" s="34">
        <v>162</v>
      </c>
      <c r="H1963" s="35">
        <v>-7</v>
      </c>
      <c r="I1963" s="38">
        <f t="shared" si="30"/>
        <v>13874.5</v>
      </c>
    </row>
    <row r="1964" spans="1:9" x14ac:dyDescent="0.2">
      <c r="A1964" s="33">
        <v>42396</v>
      </c>
      <c r="B1964" s="36">
        <v>13877</v>
      </c>
      <c r="C1964" s="7">
        <v>13880</v>
      </c>
      <c r="D1964" s="7">
        <v>13890</v>
      </c>
      <c r="E1964" s="7">
        <v>13845</v>
      </c>
      <c r="F1964" s="7">
        <v>13850</v>
      </c>
      <c r="G1964" s="34">
        <v>167</v>
      </c>
      <c r="H1964" s="35">
        <v>-18</v>
      </c>
      <c r="I1964" s="38">
        <f t="shared" si="30"/>
        <v>13878.5</v>
      </c>
    </row>
    <row r="1965" spans="1:9" x14ac:dyDescent="0.2">
      <c r="A1965" s="33">
        <v>42395</v>
      </c>
      <c r="B1965" s="36">
        <v>13895</v>
      </c>
      <c r="C1965" s="7">
        <v>13905</v>
      </c>
      <c r="D1965" s="7">
        <v>13920</v>
      </c>
      <c r="E1965" s="7">
        <v>13875</v>
      </c>
      <c r="F1965" s="7">
        <v>13875</v>
      </c>
      <c r="G1965" s="34">
        <v>113</v>
      </c>
      <c r="H1965" s="35">
        <v>25</v>
      </c>
      <c r="I1965" s="38">
        <f t="shared" si="30"/>
        <v>13900</v>
      </c>
    </row>
    <row r="1966" spans="1:9" x14ac:dyDescent="0.2">
      <c r="A1966" s="33">
        <v>42394</v>
      </c>
      <c r="B1966" s="36">
        <v>13870</v>
      </c>
      <c r="C1966" s="7">
        <v>13875</v>
      </c>
      <c r="D1966" s="7">
        <v>13870</v>
      </c>
      <c r="E1966" s="7">
        <v>13810</v>
      </c>
      <c r="F1966" s="7">
        <v>13810</v>
      </c>
      <c r="G1966" s="34">
        <v>127</v>
      </c>
      <c r="H1966" s="35">
        <v>25</v>
      </c>
      <c r="I1966" s="38">
        <f t="shared" si="30"/>
        <v>13872.5</v>
      </c>
    </row>
    <row r="1967" spans="1:9" x14ac:dyDescent="0.2">
      <c r="A1967" s="33">
        <v>42391</v>
      </c>
      <c r="B1967" s="36">
        <v>13845</v>
      </c>
      <c r="C1967" s="7">
        <v>13855</v>
      </c>
      <c r="D1967" s="7">
        <v>13883</v>
      </c>
      <c r="E1967" s="7">
        <v>13839</v>
      </c>
      <c r="F1967" s="7">
        <v>13850</v>
      </c>
      <c r="G1967" s="34">
        <v>170</v>
      </c>
      <c r="H1967" s="35">
        <v>-62</v>
      </c>
      <c r="I1967" s="38">
        <f t="shared" si="30"/>
        <v>13850</v>
      </c>
    </row>
    <row r="1968" spans="1:9" x14ac:dyDescent="0.2">
      <c r="A1968" s="33">
        <v>42390</v>
      </c>
      <c r="B1968" s="36">
        <v>13907</v>
      </c>
      <c r="C1968" s="7">
        <v>13913</v>
      </c>
      <c r="D1968" s="7">
        <v>13925</v>
      </c>
      <c r="E1968" s="7">
        <v>13860</v>
      </c>
      <c r="F1968" s="7">
        <v>13905</v>
      </c>
      <c r="G1968" s="34">
        <v>163</v>
      </c>
      <c r="H1968" s="35">
        <v>-48</v>
      </c>
      <c r="I1968" s="38">
        <f t="shared" si="30"/>
        <v>13910</v>
      </c>
    </row>
    <row r="1969" spans="1:9" x14ac:dyDescent="0.2">
      <c r="A1969" s="33">
        <v>42389</v>
      </c>
      <c r="B1969" s="36">
        <v>13955</v>
      </c>
      <c r="C1969" s="7">
        <v>13965</v>
      </c>
      <c r="D1969" s="7">
        <v>13955</v>
      </c>
      <c r="E1969" s="7">
        <v>13865</v>
      </c>
      <c r="F1969" s="7">
        <v>13865</v>
      </c>
      <c r="G1969" s="34">
        <v>190</v>
      </c>
      <c r="H1969" s="35">
        <v>80</v>
      </c>
      <c r="I1969" s="38">
        <f t="shared" si="30"/>
        <v>13960</v>
      </c>
    </row>
    <row r="1970" spans="1:9" x14ac:dyDescent="0.2">
      <c r="A1970" s="33">
        <v>42388</v>
      </c>
      <c r="B1970" s="36">
        <v>13875</v>
      </c>
      <c r="C1970" s="7">
        <v>13885</v>
      </c>
      <c r="D1970" s="7">
        <v>13922</v>
      </c>
      <c r="E1970" s="7">
        <v>13840</v>
      </c>
      <c r="F1970" s="7">
        <v>13900</v>
      </c>
      <c r="G1970" s="34">
        <v>144</v>
      </c>
      <c r="H1970" s="35">
        <v>-55</v>
      </c>
      <c r="I1970" s="38">
        <f t="shared" si="30"/>
        <v>13880</v>
      </c>
    </row>
    <row r="1971" spans="1:9" x14ac:dyDescent="0.2">
      <c r="A1971" s="33">
        <v>42387</v>
      </c>
      <c r="B1971" s="36">
        <v>13930</v>
      </c>
      <c r="C1971" s="7">
        <v>13935</v>
      </c>
      <c r="D1971" s="7">
        <v>13950</v>
      </c>
      <c r="E1971" s="7">
        <v>13900</v>
      </c>
      <c r="F1971" s="7">
        <v>13900</v>
      </c>
      <c r="G1971" s="34">
        <v>110</v>
      </c>
      <c r="H1971" s="35">
        <v>40</v>
      </c>
      <c r="I1971" s="38">
        <f t="shared" si="30"/>
        <v>13932.5</v>
      </c>
    </row>
    <row r="1972" spans="1:9" x14ac:dyDescent="0.2">
      <c r="A1972" s="33">
        <v>42384</v>
      </c>
      <c r="B1972" s="36">
        <v>13890</v>
      </c>
      <c r="C1972" s="7">
        <v>13899</v>
      </c>
      <c r="D1972" s="7">
        <v>13910</v>
      </c>
      <c r="E1972" s="7">
        <v>13810</v>
      </c>
      <c r="F1972" s="7">
        <v>13810</v>
      </c>
      <c r="G1972" s="34">
        <v>105</v>
      </c>
      <c r="H1972" s="35">
        <v>-15</v>
      </c>
      <c r="I1972" s="38">
        <f t="shared" si="30"/>
        <v>13894.5</v>
      </c>
    </row>
    <row r="1973" spans="1:9" x14ac:dyDescent="0.2">
      <c r="A1973" s="33">
        <v>42383</v>
      </c>
      <c r="B1973" s="36">
        <v>13905</v>
      </c>
      <c r="C1973" s="7">
        <v>13915</v>
      </c>
      <c r="D1973" s="7">
        <v>13960</v>
      </c>
      <c r="E1973" s="7">
        <v>13810</v>
      </c>
      <c r="F1973" s="7">
        <v>13830</v>
      </c>
      <c r="G1973" s="34">
        <v>160</v>
      </c>
      <c r="H1973" s="35">
        <v>85</v>
      </c>
      <c r="I1973" s="38">
        <f t="shared" si="30"/>
        <v>13910</v>
      </c>
    </row>
    <row r="1974" spans="1:9" x14ac:dyDescent="0.2">
      <c r="A1974" s="33">
        <v>42382</v>
      </c>
      <c r="B1974" s="36">
        <v>13820</v>
      </c>
      <c r="C1974" s="7">
        <v>13835</v>
      </c>
      <c r="D1974" s="7">
        <v>13875</v>
      </c>
      <c r="E1974" s="7">
        <v>13820</v>
      </c>
      <c r="F1974" s="7">
        <v>13855</v>
      </c>
      <c r="G1974" s="34">
        <v>126</v>
      </c>
      <c r="H1974" s="35">
        <v>-85</v>
      </c>
      <c r="I1974" s="38">
        <f t="shared" si="30"/>
        <v>13827.5</v>
      </c>
    </row>
    <row r="1975" spans="1:9" x14ac:dyDescent="0.2">
      <c r="A1975" s="33">
        <v>42381</v>
      </c>
      <c r="B1975" s="36">
        <v>13905</v>
      </c>
      <c r="C1975" s="7">
        <v>13915</v>
      </c>
      <c r="D1975" s="7">
        <v>13905</v>
      </c>
      <c r="E1975" s="7">
        <v>13805</v>
      </c>
      <c r="F1975" s="7">
        <v>13850</v>
      </c>
      <c r="G1975" s="34">
        <v>166</v>
      </c>
      <c r="H1975" s="35">
        <v>35</v>
      </c>
      <c r="I1975" s="38">
        <f t="shared" si="30"/>
        <v>13910</v>
      </c>
    </row>
    <row r="1976" spans="1:9" x14ac:dyDescent="0.2">
      <c r="A1976" s="33">
        <v>42380</v>
      </c>
      <c r="B1976" s="36">
        <v>13870</v>
      </c>
      <c r="C1976" s="7">
        <v>13880</v>
      </c>
      <c r="D1976" s="7">
        <v>13950</v>
      </c>
      <c r="E1976" s="7">
        <v>13865</v>
      </c>
      <c r="F1976" s="7">
        <v>13910</v>
      </c>
      <c r="G1976" s="34">
        <v>152</v>
      </c>
      <c r="H1976" s="35">
        <v>-50</v>
      </c>
      <c r="I1976" s="38">
        <f t="shared" si="30"/>
        <v>13875</v>
      </c>
    </row>
    <row r="1977" spans="1:9" x14ac:dyDescent="0.2">
      <c r="A1977" s="33">
        <v>42377</v>
      </c>
      <c r="B1977" s="36">
        <v>13920</v>
      </c>
      <c r="C1977" s="7">
        <v>13925</v>
      </c>
      <c r="D1977" s="7">
        <v>13920</v>
      </c>
      <c r="E1977" s="7">
        <v>13850</v>
      </c>
      <c r="F1977" s="7">
        <v>13905</v>
      </c>
      <c r="G1977" s="34">
        <v>116</v>
      </c>
      <c r="H1977" s="35">
        <v>-5</v>
      </c>
      <c r="I1977" s="38">
        <f t="shared" si="30"/>
        <v>13922.5</v>
      </c>
    </row>
    <row r="1978" spans="1:9" x14ac:dyDescent="0.2">
      <c r="A1978" s="33">
        <v>42376</v>
      </c>
      <c r="B1978" s="36">
        <v>13925</v>
      </c>
      <c r="C1978" s="7">
        <v>13930</v>
      </c>
      <c r="D1978" s="7">
        <v>13975</v>
      </c>
      <c r="E1978" s="7">
        <v>13860</v>
      </c>
      <c r="F1978" s="7">
        <v>13920</v>
      </c>
      <c r="G1978" s="34">
        <v>168</v>
      </c>
      <c r="H1978" s="35">
        <v>-20</v>
      </c>
      <c r="I1978" s="38">
        <f t="shared" si="30"/>
        <v>13927.5</v>
      </c>
    </row>
    <row r="1979" spans="1:9" x14ac:dyDescent="0.2">
      <c r="A1979" s="33">
        <v>42375</v>
      </c>
      <c r="B1979" s="36">
        <v>13945</v>
      </c>
      <c r="C1979" s="7">
        <v>13950</v>
      </c>
      <c r="D1979" s="7">
        <v>13945</v>
      </c>
      <c r="E1979" s="7">
        <v>13800</v>
      </c>
      <c r="F1979" s="7">
        <v>13815</v>
      </c>
      <c r="G1979" s="34">
        <v>170</v>
      </c>
      <c r="H1979" s="35">
        <v>90</v>
      </c>
      <c r="I1979" s="38">
        <f t="shared" si="30"/>
        <v>13947.5</v>
      </c>
    </row>
    <row r="1980" spans="1:9" x14ac:dyDescent="0.2">
      <c r="A1980" s="33">
        <v>42374</v>
      </c>
      <c r="B1980" s="36">
        <v>13855</v>
      </c>
      <c r="C1980" s="7">
        <v>13870</v>
      </c>
      <c r="D1980" s="7">
        <v>13955</v>
      </c>
      <c r="E1980" s="7">
        <v>13780</v>
      </c>
      <c r="F1980" s="7">
        <v>13940</v>
      </c>
      <c r="G1980" s="34">
        <v>164</v>
      </c>
      <c r="H1980" s="35">
        <v>-55</v>
      </c>
      <c r="I1980" s="38">
        <f t="shared" si="30"/>
        <v>13862.5</v>
      </c>
    </row>
    <row r="1981" spans="1:9" x14ac:dyDescent="0.2">
      <c r="A1981" s="33">
        <v>42373</v>
      </c>
      <c r="B1981" s="36">
        <v>13910</v>
      </c>
      <c r="C1981" s="7">
        <v>13920</v>
      </c>
      <c r="D1981" s="7">
        <v>13915</v>
      </c>
      <c r="E1981" s="7">
        <v>13800</v>
      </c>
      <c r="F1981" s="7">
        <v>13800</v>
      </c>
      <c r="G1981" s="34">
        <v>105</v>
      </c>
      <c r="H1981" s="35">
        <v>125</v>
      </c>
      <c r="I1981" s="38">
        <f t="shared" si="30"/>
        <v>13915</v>
      </c>
    </row>
    <row r="1982" spans="1:9" x14ac:dyDescent="0.2">
      <c r="A1982" s="33">
        <v>42370</v>
      </c>
      <c r="B1982" s="36">
        <v>13785</v>
      </c>
      <c r="C1982" s="7">
        <v>13790</v>
      </c>
      <c r="D1982" s="7"/>
      <c r="E1982" s="7"/>
      <c r="F1982" s="7"/>
      <c r="G1982" s="34"/>
      <c r="H1982" s="35">
        <v>0</v>
      </c>
      <c r="I1982" s="38">
        <f t="shared" si="30"/>
        <v>13787.5</v>
      </c>
    </row>
    <row r="1983" spans="1:9" x14ac:dyDescent="0.2">
      <c r="A1983" s="33">
        <v>42369</v>
      </c>
      <c r="B1983" s="36">
        <v>13785</v>
      </c>
      <c r="C1983" s="7">
        <v>13790</v>
      </c>
      <c r="D1983" s="7">
        <v>13815</v>
      </c>
      <c r="E1983" s="7">
        <v>13770</v>
      </c>
      <c r="F1983" s="7">
        <v>13770</v>
      </c>
      <c r="G1983" s="34">
        <v>104</v>
      </c>
      <c r="H1983" s="35">
        <v>5</v>
      </c>
      <c r="I1983" s="38">
        <f t="shared" si="30"/>
        <v>13787.5</v>
      </c>
    </row>
    <row r="1984" spans="1:9" x14ac:dyDescent="0.2">
      <c r="A1984" s="33">
        <v>42368</v>
      </c>
      <c r="B1984" s="36">
        <v>13780</v>
      </c>
      <c r="C1984" s="7">
        <v>13785</v>
      </c>
      <c r="D1984" s="7">
        <v>13820</v>
      </c>
      <c r="E1984" s="7">
        <v>13720</v>
      </c>
      <c r="F1984" s="7">
        <v>13720</v>
      </c>
      <c r="G1984" s="34">
        <v>101</v>
      </c>
      <c r="H1984" s="35">
        <v>40</v>
      </c>
      <c r="I1984" s="38">
        <f t="shared" si="30"/>
        <v>13782.5</v>
      </c>
    </row>
    <row r="1985" spans="1:9" x14ac:dyDescent="0.2">
      <c r="A1985" s="33">
        <v>42367</v>
      </c>
      <c r="B1985" s="36">
        <v>13740</v>
      </c>
      <c r="C1985" s="7">
        <v>13750</v>
      </c>
      <c r="D1985" s="7">
        <v>13748</v>
      </c>
      <c r="E1985" s="7">
        <v>13630</v>
      </c>
      <c r="F1985" s="7">
        <v>13630</v>
      </c>
      <c r="G1985" s="34">
        <v>113</v>
      </c>
      <c r="H1985" s="35">
        <v>95</v>
      </c>
      <c r="I1985" s="38">
        <f t="shared" si="30"/>
        <v>13745</v>
      </c>
    </row>
    <row r="1986" spans="1:9" x14ac:dyDescent="0.2">
      <c r="A1986" s="33">
        <v>42366</v>
      </c>
      <c r="B1986" s="36">
        <v>13645</v>
      </c>
      <c r="C1986" s="7">
        <v>13655</v>
      </c>
      <c r="D1986" s="7">
        <v>13660</v>
      </c>
      <c r="E1986" s="7">
        <v>13600</v>
      </c>
      <c r="F1986" s="7">
        <v>13600</v>
      </c>
      <c r="G1986" s="34">
        <v>64</v>
      </c>
      <c r="H1986" s="35">
        <v>5</v>
      </c>
      <c r="I1986" s="38">
        <f t="shared" si="30"/>
        <v>13650</v>
      </c>
    </row>
    <row r="1987" spans="1:9" x14ac:dyDescent="0.2">
      <c r="A1987" s="33">
        <v>42363</v>
      </c>
      <c r="B1987" s="36">
        <v>13640</v>
      </c>
      <c r="C1987" s="7">
        <v>13645</v>
      </c>
      <c r="D1987" s="7"/>
      <c r="E1987" s="7"/>
      <c r="F1987" s="7"/>
      <c r="G1987" s="34"/>
      <c r="H1987" s="35">
        <v>0</v>
      </c>
      <c r="I1987" s="38">
        <f t="shared" si="30"/>
        <v>13642.5</v>
      </c>
    </row>
    <row r="1988" spans="1:9" x14ac:dyDescent="0.2">
      <c r="A1988" s="33">
        <v>42362</v>
      </c>
      <c r="B1988" s="36">
        <v>13640</v>
      </c>
      <c r="C1988" s="7">
        <v>13645</v>
      </c>
      <c r="D1988" s="7"/>
      <c r="E1988" s="7"/>
      <c r="F1988" s="7"/>
      <c r="G1988" s="34"/>
      <c r="H1988" s="35">
        <v>0</v>
      </c>
      <c r="I1988" s="38">
        <f t="shared" si="30"/>
        <v>13642.5</v>
      </c>
    </row>
    <row r="1989" spans="1:9" x14ac:dyDescent="0.2">
      <c r="A1989" s="33">
        <v>42361</v>
      </c>
      <c r="B1989" s="36">
        <v>13640</v>
      </c>
      <c r="C1989" s="7">
        <v>13645</v>
      </c>
      <c r="D1989" s="7">
        <v>13670</v>
      </c>
      <c r="E1989" s="7">
        <v>13600</v>
      </c>
      <c r="F1989" s="7">
        <v>13600</v>
      </c>
      <c r="G1989" s="34">
        <v>104</v>
      </c>
      <c r="H1989" s="35">
        <v>-30</v>
      </c>
      <c r="I1989" s="38">
        <f t="shared" si="30"/>
        <v>13642.5</v>
      </c>
    </row>
    <row r="1990" spans="1:9" x14ac:dyDescent="0.2">
      <c r="A1990" s="33">
        <v>42360</v>
      </c>
      <c r="B1990" s="36">
        <v>13670</v>
      </c>
      <c r="C1990" s="7">
        <v>13680</v>
      </c>
      <c r="D1990" s="7">
        <v>13690</v>
      </c>
      <c r="E1990" s="7">
        <v>13530</v>
      </c>
      <c r="F1990" s="7">
        <v>13630</v>
      </c>
      <c r="G1990" s="34">
        <v>127</v>
      </c>
      <c r="H1990" s="35">
        <v>-90</v>
      </c>
      <c r="I1990" s="38">
        <f t="shared" si="30"/>
        <v>13675</v>
      </c>
    </row>
    <row r="1991" spans="1:9" x14ac:dyDescent="0.2">
      <c r="A1991" s="33">
        <v>42359</v>
      </c>
      <c r="B1991" s="36">
        <v>13760</v>
      </c>
      <c r="C1991" s="7">
        <v>13785</v>
      </c>
      <c r="D1991" s="7">
        <v>13910</v>
      </c>
      <c r="E1991" s="7">
        <v>13720</v>
      </c>
      <c r="F1991" s="7">
        <v>13850</v>
      </c>
      <c r="G1991" s="34">
        <v>108</v>
      </c>
      <c r="H1991" s="35">
        <v>-155</v>
      </c>
      <c r="I1991" s="38">
        <f t="shared" si="30"/>
        <v>13772.5</v>
      </c>
    </row>
    <row r="1992" spans="1:9" x14ac:dyDescent="0.2">
      <c r="A1992" s="33">
        <v>42356</v>
      </c>
      <c r="B1992" s="36">
        <v>13915</v>
      </c>
      <c r="C1992" s="7">
        <v>13920</v>
      </c>
      <c r="D1992" s="7">
        <v>14034</v>
      </c>
      <c r="E1992" s="7">
        <v>13900</v>
      </c>
      <c r="F1992" s="7">
        <v>14005</v>
      </c>
      <c r="G1992" s="34">
        <v>166</v>
      </c>
      <c r="H1992" s="35">
        <v>-90</v>
      </c>
      <c r="I1992" s="38">
        <f t="shared" si="30"/>
        <v>13917.5</v>
      </c>
    </row>
    <row r="1993" spans="1:9" x14ac:dyDescent="0.2">
      <c r="A1993" s="33">
        <v>42355</v>
      </c>
      <c r="B1993" s="36">
        <v>14005</v>
      </c>
      <c r="C1993" s="7">
        <v>14008</v>
      </c>
      <c r="D1993" s="7">
        <v>14055</v>
      </c>
      <c r="E1993" s="7">
        <v>14000</v>
      </c>
      <c r="F1993" s="7">
        <v>14010</v>
      </c>
      <c r="G1993" s="34">
        <v>178</v>
      </c>
      <c r="H1993" s="35">
        <v>-60</v>
      </c>
      <c r="I1993" s="38">
        <f t="shared" si="30"/>
        <v>14006.5</v>
      </c>
    </row>
    <row r="1994" spans="1:9" x14ac:dyDescent="0.2">
      <c r="A1994" s="33">
        <v>42354</v>
      </c>
      <c r="B1994" s="36">
        <v>14065</v>
      </c>
      <c r="C1994" s="7">
        <v>14074</v>
      </c>
      <c r="D1994" s="7">
        <v>14070</v>
      </c>
      <c r="E1994" s="7">
        <v>14029</v>
      </c>
      <c r="F1994" s="7">
        <v>14030</v>
      </c>
      <c r="G1994" s="34">
        <v>183</v>
      </c>
      <c r="H1994" s="35">
        <v>10</v>
      </c>
      <c r="I1994" s="38">
        <f t="shared" si="30"/>
        <v>14069.5</v>
      </c>
    </row>
    <row r="1995" spans="1:9" x14ac:dyDescent="0.2">
      <c r="A1995" s="33">
        <v>42353</v>
      </c>
      <c r="B1995" s="36">
        <v>14055</v>
      </c>
      <c r="C1995" s="7">
        <v>14058</v>
      </c>
      <c r="D1995" s="7">
        <v>14072</v>
      </c>
      <c r="E1995" s="7">
        <v>14025</v>
      </c>
      <c r="F1995" s="7">
        <v>14050</v>
      </c>
      <c r="G1995" s="34">
        <v>283</v>
      </c>
      <c r="H1995" s="35">
        <v>-20</v>
      </c>
      <c r="I1995" s="38">
        <f t="shared" si="30"/>
        <v>14056.5</v>
      </c>
    </row>
    <row r="1996" spans="1:9" x14ac:dyDescent="0.2">
      <c r="A1996" s="33">
        <v>42352</v>
      </c>
      <c r="B1996" s="36">
        <v>14075</v>
      </c>
      <c r="C1996" s="7">
        <v>14080</v>
      </c>
      <c r="D1996" s="7">
        <v>14090</v>
      </c>
      <c r="E1996" s="7">
        <v>14000</v>
      </c>
      <c r="F1996" s="7">
        <v>14020</v>
      </c>
      <c r="G1996" s="34">
        <v>201</v>
      </c>
      <c r="H1996" s="35">
        <v>130</v>
      </c>
      <c r="I1996" s="38">
        <f t="shared" si="30"/>
        <v>14077.5</v>
      </c>
    </row>
    <row r="1997" spans="1:9" x14ac:dyDescent="0.2">
      <c r="A1997" s="33">
        <v>42349</v>
      </c>
      <c r="B1997" s="36">
        <v>13945</v>
      </c>
      <c r="C1997" s="7">
        <v>13950</v>
      </c>
      <c r="D1997" s="7">
        <v>13948</v>
      </c>
      <c r="E1997" s="7">
        <v>13900</v>
      </c>
      <c r="F1997" s="7">
        <v>13910</v>
      </c>
      <c r="G1997" s="34">
        <v>190</v>
      </c>
      <c r="H1997" s="35">
        <v>15</v>
      </c>
      <c r="I1997" s="38">
        <f t="shared" si="30"/>
        <v>13947.5</v>
      </c>
    </row>
    <row r="1998" spans="1:9" x14ac:dyDescent="0.2">
      <c r="A1998" s="33">
        <v>42348</v>
      </c>
      <c r="B1998" s="36">
        <v>13930</v>
      </c>
      <c r="C1998" s="7">
        <v>13940</v>
      </c>
      <c r="D1998" s="7">
        <v>13974</v>
      </c>
      <c r="E1998" s="7">
        <v>13840</v>
      </c>
      <c r="F1998" s="7">
        <v>13925</v>
      </c>
      <c r="G1998" s="34">
        <v>297</v>
      </c>
      <c r="H1998" s="35">
        <v>60</v>
      </c>
      <c r="I1998" s="38">
        <f t="shared" si="30"/>
        <v>13935</v>
      </c>
    </row>
    <row r="1999" spans="1:9" x14ac:dyDescent="0.2">
      <c r="A1999" s="33">
        <v>42347</v>
      </c>
      <c r="B1999" s="36">
        <v>13870</v>
      </c>
      <c r="C1999" s="7">
        <v>13875</v>
      </c>
      <c r="D1999" s="7"/>
      <c r="E1999" s="7"/>
      <c r="F1999" s="7"/>
      <c r="G1999" s="34"/>
      <c r="H1999" s="35">
        <v>0</v>
      </c>
      <c r="I1999" s="38">
        <f t="shared" si="30"/>
        <v>13872.5</v>
      </c>
    </row>
    <row r="2000" spans="1:9" x14ac:dyDescent="0.2">
      <c r="A2000" s="33">
        <v>42346</v>
      </c>
      <c r="B2000" s="36">
        <v>13870</v>
      </c>
      <c r="C2000" s="7">
        <v>13875</v>
      </c>
      <c r="D2000" s="7">
        <v>13873</v>
      </c>
      <c r="E2000" s="7">
        <v>13835</v>
      </c>
      <c r="F2000" s="7">
        <v>13840</v>
      </c>
      <c r="G2000" s="34">
        <v>202</v>
      </c>
      <c r="H2000" s="35">
        <v>30</v>
      </c>
      <c r="I2000" s="38">
        <f t="shared" si="30"/>
        <v>13872.5</v>
      </c>
    </row>
    <row r="2001" spans="1:9" x14ac:dyDescent="0.2">
      <c r="A2001" s="33">
        <v>42345</v>
      </c>
      <c r="B2001" s="36">
        <v>13840</v>
      </c>
      <c r="C2001" s="7">
        <v>13845</v>
      </c>
      <c r="D2001" s="7">
        <v>13850</v>
      </c>
      <c r="E2001" s="7">
        <v>13800</v>
      </c>
      <c r="F2001" s="7">
        <v>13800</v>
      </c>
      <c r="G2001" s="34">
        <v>167</v>
      </c>
      <c r="H2001" s="35">
        <v>10</v>
      </c>
      <c r="I2001" s="38">
        <f t="shared" si="30"/>
        <v>13842.5</v>
      </c>
    </row>
    <row r="2002" spans="1:9" x14ac:dyDescent="0.2">
      <c r="A2002" s="33">
        <v>42342</v>
      </c>
      <c r="B2002" s="36">
        <v>13830</v>
      </c>
      <c r="C2002" s="7">
        <v>13834</v>
      </c>
      <c r="D2002" s="7">
        <v>13840</v>
      </c>
      <c r="E2002" s="7">
        <v>13819</v>
      </c>
      <c r="F2002" s="7">
        <v>13830</v>
      </c>
      <c r="G2002" s="34">
        <v>167</v>
      </c>
      <c r="H2002" s="35">
        <v>-12</v>
      </c>
      <c r="I2002" s="38">
        <f t="shared" si="30"/>
        <v>13832</v>
      </c>
    </row>
    <row r="2003" spans="1:9" x14ac:dyDescent="0.2">
      <c r="A2003" s="33">
        <v>42341</v>
      </c>
      <c r="B2003" s="36">
        <v>13842</v>
      </c>
      <c r="C2003" s="7">
        <v>13845</v>
      </c>
      <c r="D2003" s="7">
        <v>13850</v>
      </c>
      <c r="E2003" s="7">
        <v>13800</v>
      </c>
      <c r="F2003" s="7">
        <v>13800</v>
      </c>
      <c r="G2003" s="34">
        <v>267</v>
      </c>
      <c r="H2003" s="35">
        <v>47</v>
      </c>
      <c r="I2003" s="38">
        <f t="shared" si="30"/>
        <v>13843.5</v>
      </c>
    </row>
    <row r="2004" spans="1:9" x14ac:dyDescent="0.2">
      <c r="A2004" s="33">
        <v>42340</v>
      </c>
      <c r="B2004" s="36">
        <v>13795</v>
      </c>
      <c r="C2004" s="7">
        <v>13800</v>
      </c>
      <c r="D2004" s="7">
        <v>13803</v>
      </c>
      <c r="E2004" s="7">
        <v>13735</v>
      </c>
      <c r="F2004" s="7">
        <v>13750</v>
      </c>
      <c r="G2004" s="34">
        <v>191</v>
      </c>
      <c r="H2004" s="35">
        <v>15</v>
      </c>
      <c r="I2004" s="38">
        <f t="shared" si="30"/>
        <v>13797.5</v>
      </c>
    </row>
    <row r="2005" spans="1:9" x14ac:dyDescent="0.2">
      <c r="A2005" s="33">
        <v>42339</v>
      </c>
      <c r="B2005" s="36">
        <v>13780</v>
      </c>
      <c r="C2005" s="7">
        <v>13785</v>
      </c>
      <c r="D2005" s="7">
        <v>13835</v>
      </c>
      <c r="E2005" s="7">
        <v>13779</v>
      </c>
      <c r="F2005" s="7">
        <v>13825</v>
      </c>
      <c r="G2005" s="34">
        <v>198</v>
      </c>
      <c r="H2005" s="35">
        <v>-50</v>
      </c>
      <c r="I2005" s="38">
        <f t="shared" si="30"/>
        <v>13782.5</v>
      </c>
    </row>
    <row r="2006" spans="1:9" x14ac:dyDescent="0.2">
      <c r="A2006" s="33">
        <v>42338</v>
      </c>
      <c r="B2006" s="36">
        <v>13830</v>
      </c>
      <c r="C2006" s="7">
        <v>13840</v>
      </c>
      <c r="D2006" s="7">
        <v>13845</v>
      </c>
      <c r="E2006" s="7">
        <v>13775</v>
      </c>
      <c r="F2006" s="7">
        <v>13775</v>
      </c>
      <c r="G2006" s="34">
        <v>194</v>
      </c>
      <c r="H2006" s="35">
        <v>55</v>
      </c>
      <c r="I2006" s="38">
        <f t="shared" si="30"/>
        <v>13835</v>
      </c>
    </row>
    <row r="2007" spans="1:9" x14ac:dyDescent="0.2">
      <c r="A2007" s="33">
        <v>42335</v>
      </c>
      <c r="B2007" s="36">
        <v>13775</v>
      </c>
      <c r="C2007" s="7">
        <v>13785</v>
      </c>
      <c r="D2007" s="7">
        <v>13775</v>
      </c>
      <c r="E2007" s="7">
        <v>13730</v>
      </c>
      <c r="F2007" s="7">
        <v>13730</v>
      </c>
      <c r="G2007" s="34">
        <v>171</v>
      </c>
      <c r="H2007" s="35">
        <v>50</v>
      </c>
      <c r="I2007" s="38">
        <f t="shared" si="30"/>
        <v>13780</v>
      </c>
    </row>
    <row r="2008" spans="1:9" x14ac:dyDescent="0.2">
      <c r="A2008" s="33">
        <v>42334</v>
      </c>
      <c r="B2008" s="36">
        <v>13725</v>
      </c>
      <c r="C2008" s="7">
        <v>13732</v>
      </c>
      <c r="D2008" s="7">
        <v>13735</v>
      </c>
      <c r="E2008" s="7">
        <v>13705</v>
      </c>
      <c r="F2008" s="7">
        <v>13705</v>
      </c>
      <c r="G2008" s="34">
        <v>204</v>
      </c>
      <c r="H2008" s="35">
        <v>40</v>
      </c>
      <c r="I2008" s="38">
        <f t="shared" si="30"/>
        <v>13728.5</v>
      </c>
    </row>
    <row r="2009" spans="1:9" x14ac:dyDescent="0.2">
      <c r="A2009" s="33">
        <v>42333</v>
      </c>
      <c r="B2009" s="36">
        <v>13685</v>
      </c>
      <c r="C2009" s="7">
        <v>13690</v>
      </c>
      <c r="D2009" s="7">
        <v>13705</v>
      </c>
      <c r="E2009" s="7">
        <v>13640</v>
      </c>
      <c r="F2009" s="7">
        <v>13650</v>
      </c>
      <c r="G2009" s="34">
        <v>199</v>
      </c>
      <c r="H2009" s="35">
        <v>-20</v>
      </c>
      <c r="I2009" s="38">
        <f t="shared" si="30"/>
        <v>13687.5</v>
      </c>
    </row>
    <row r="2010" spans="1:9" x14ac:dyDescent="0.2">
      <c r="A2010" s="33">
        <v>42332</v>
      </c>
      <c r="B2010" s="36">
        <v>13705</v>
      </c>
      <c r="C2010" s="7">
        <v>13710</v>
      </c>
      <c r="D2010" s="7">
        <v>13730</v>
      </c>
      <c r="E2010" s="7">
        <v>13675</v>
      </c>
      <c r="F2010" s="7">
        <v>13675</v>
      </c>
      <c r="G2010" s="34">
        <v>278</v>
      </c>
      <c r="H2010" s="35">
        <v>-16</v>
      </c>
      <c r="I2010" s="38">
        <f t="shared" si="30"/>
        <v>13707.5</v>
      </c>
    </row>
    <row r="2011" spans="1:9" x14ac:dyDescent="0.2">
      <c r="A2011" s="33">
        <v>42331</v>
      </c>
      <c r="B2011" s="36">
        <v>13721</v>
      </c>
      <c r="C2011" s="7">
        <v>13725</v>
      </c>
      <c r="D2011" s="7">
        <v>13721</v>
      </c>
      <c r="E2011" s="7">
        <v>13645</v>
      </c>
      <c r="F2011" s="7">
        <v>13645</v>
      </c>
      <c r="G2011" s="34">
        <v>115</v>
      </c>
      <c r="H2011" s="35">
        <v>71</v>
      </c>
      <c r="I2011" s="38">
        <f t="shared" si="30"/>
        <v>13723</v>
      </c>
    </row>
    <row r="2012" spans="1:9" x14ac:dyDescent="0.2">
      <c r="A2012" s="33">
        <v>42328</v>
      </c>
      <c r="B2012" s="36">
        <v>13650</v>
      </c>
      <c r="C2012" s="7">
        <v>13660</v>
      </c>
      <c r="D2012" s="7">
        <v>13740</v>
      </c>
      <c r="E2012" s="7">
        <v>13600</v>
      </c>
      <c r="F2012" s="7">
        <v>13700</v>
      </c>
      <c r="G2012" s="34">
        <v>231</v>
      </c>
      <c r="H2012" s="35">
        <v>-125</v>
      </c>
      <c r="I2012" s="38">
        <f t="shared" si="30"/>
        <v>13655</v>
      </c>
    </row>
    <row r="2013" spans="1:9" x14ac:dyDescent="0.2">
      <c r="A2013" s="33">
        <v>42327</v>
      </c>
      <c r="B2013" s="36">
        <v>13775</v>
      </c>
      <c r="C2013" s="7">
        <v>13780</v>
      </c>
      <c r="D2013" s="7">
        <v>13795</v>
      </c>
      <c r="E2013" s="7">
        <v>13725</v>
      </c>
      <c r="F2013" s="7">
        <v>13750</v>
      </c>
      <c r="G2013" s="34">
        <v>182</v>
      </c>
      <c r="H2013" s="35">
        <v>-24</v>
      </c>
      <c r="I2013" s="38">
        <f t="shared" si="30"/>
        <v>13777.5</v>
      </c>
    </row>
    <row r="2014" spans="1:9" x14ac:dyDescent="0.2">
      <c r="A2014" s="33">
        <v>42326</v>
      </c>
      <c r="B2014" s="36">
        <v>13799</v>
      </c>
      <c r="C2014" s="7">
        <v>13800</v>
      </c>
      <c r="D2014" s="7">
        <v>13800</v>
      </c>
      <c r="E2014" s="7">
        <v>13670</v>
      </c>
      <c r="F2014" s="7">
        <v>13710</v>
      </c>
      <c r="G2014" s="34">
        <v>217</v>
      </c>
      <c r="H2014" s="35">
        <v>54</v>
      </c>
      <c r="I2014" s="38">
        <f t="shared" si="30"/>
        <v>13799.5</v>
      </c>
    </row>
    <row r="2015" spans="1:9" x14ac:dyDescent="0.2">
      <c r="A2015" s="33">
        <v>42325</v>
      </c>
      <c r="B2015" s="36">
        <v>13745</v>
      </c>
      <c r="C2015" s="7">
        <v>13750</v>
      </c>
      <c r="D2015" s="7">
        <v>13745</v>
      </c>
      <c r="E2015" s="7">
        <v>13680</v>
      </c>
      <c r="F2015" s="7">
        <v>13680</v>
      </c>
      <c r="G2015" s="34">
        <v>102</v>
      </c>
      <c r="H2015" s="35">
        <v>20</v>
      </c>
      <c r="I2015" s="38">
        <f t="shared" si="30"/>
        <v>13747.5</v>
      </c>
    </row>
    <row r="2016" spans="1:9" x14ac:dyDescent="0.2">
      <c r="A2016" s="33">
        <v>42324</v>
      </c>
      <c r="B2016" s="36">
        <v>13725</v>
      </c>
      <c r="C2016" s="7">
        <v>13730</v>
      </c>
      <c r="D2016" s="7">
        <v>13740</v>
      </c>
      <c r="E2016" s="7">
        <v>13660</v>
      </c>
      <c r="F2016" s="7">
        <v>13690</v>
      </c>
      <c r="G2016" s="34">
        <v>174</v>
      </c>
      <c r="H2016" s="35">
        <v>65</v>
      </c>
      <c r="I2016" s="38">
        <f t="shared" ref="I2016:I2079" si="31">+(B2016+C2016)*0.5</f>
        <v>13727.5</v>
      </c>
    </row>
    <row r="2017" spans="1:9" x14ac:dyDescent="0.2">
      <c r="A2017" s="33">
        <v>42321</v>
      </c>
      <c r="B2017" s="36">
        <v>13660</v>
      </c>
      <c r="C2017" s="7">
        <v>13670</v>
      </c>
      <c r="D2017" s="7">
        <v>13683</v>
      </c>
      <c r="E2017" s="7">
        <v>13590</v>
      </c>
      <c r="F2017" s="7">
        <v>13590</v>
      </c>
      <c r="G2017" s="34">
        <v>155</v>
      </c>
      <c r="H2017" s="35">
        <v>60</v>
      </c>
      <c r="I2017" s="38">
        <f t="shared" si="31"/>
        <v>13665</v>
      </c>
    </row>
    <row r="2018" spans="1:9" x14ac:dyDescent="0.2">
      <c r="A2018" s="33">
        <v>42320</v>
      </c>
      <c r="B2018" s="36">
        <v>13600</v>
      </c>
      <c r="C2018" s="7">
        <v>13605</v>
      </c>
      <c r="D2018" s="7">
        <v>13630</v>
      </c>
      <c r="E2018" s="7">
        <v>13550</v>
      </c>
      <c r="F2018" s="7">
        <v>13600</v>
      </c>
      <c r="G2018" s="34">
        <v>144</v>
      </c>
      <c r="H2018" s="35">
        <v>0</v>
      </c>
      <c r="I2018" s="38">
        <f t="shared" si="31"/>
        <v>13602.5</v>
      </c>
    </row>
    <row r="2019" spans="1:9" x14ac:dyDescent="0.2">
      <c r="A2019" s="33">
        <v>42319</v>
      </c>
      <c r="B2019" s="36">
        <v>13600</v>
      </c>
      <c r="C2019" s="7">
        <v>13605</v>
      </c>
      <c r="D2019" s="7">
        <v>13605</v>
      </c>
      <c r="E2019" s="7">
        <v>13530</v>
      </c>
      <c r="F2019" s="7">
        <v>13530</v>
      </c>
      <c r="G2019" s="34">
        <v>186</v>
      </c>
      <c r="H2019" s="35">
        <v>-7</v>
      </c>
      <c r="I2019" s="38">
        <f t="shared" si="31"/>
        <v>13602.5</v>
      </c>
    </row>
    <row r="2020" spans="1:9" x14ac:dyDescent="0.2">
      <c r="A2020" s="33">
        <v>42318</v>
      </c>
      <c r="B2020" s="36">
        <v>13607</v>
      </c>
      <c r="C2020" s="7">
        <v>13612</v>
      </c>
      <c r="D2020" s="7">
        <v>13640</v>
      </c>
      <c r="E2020" s="7">
        <v>13590</v>
      </c>
      <c r="F2020" s="7">
        <v>13625</v>
      </c>
      <c r="G2020" s="34">
        <v>175</v>
      </c>
      <c r="H2020" s="35">
        <v>-38</v>
      </c>
      <c r="I2020" s="38">
        <f t="shared" si="31"/>
        <v>13609.5</v>
      </c>
    </row>
    <row r="2021" spans="1:9" x14ac:dyDescent="0.2">
      <c r="A2021" s="33">
        <v>42317</v>
      </c>
      <c r="B2021" s="36">
        <v>13645</v>
      </c>
      <c r="C2021" s="7">
        <v>13650</v>
      </c>
      <c r="D2021" s="7">
        <v>13701</v>
      </c>
      <c r="E2021" s="7">
        <v>13625</v>
      </c>
      <c r="F2021" s="7">
        <v>13660</v>
      </c>
      <c r="G2021" s="34">
        <v>218</v>
      </c>
      <c r="H2021" s="35">
        <v>90</v>
      </c>
      <c r="I2021" s="38">
        <f t="shared" si="31"/>
        <v>13647.5</v>
      </c>
    </row>
    <row r="2022" spans="1:9" x14ac:dyDescent="0.2">
      <c r="A2022" s="33">
        <v>42314</v>
      </c>
      <c r="B2022" s="36">
        <v>13555</v>
      </c>
      <c r="C2022" s="7">
        <v>13565</v>
      </c>
      <c r="D2022" s="7">
        <v>13560</v>
      </c>
      <c r="E2022" s="7">
        <v>13520</v>
      </c>
      <c r="F2022" s="7">
        <v>13550</v>
      </c>
      <c r="G2022" s="34">
        <v>172</v>
      </c>
      <c r="H2022" s="35">
        <v>-5</v>
      </c>
      <c r="I2022" s="38">
        <f t="shared" si="31"/>
        <v>13560</v>
      </c>
    </row>
    <row r="2023" spans="1:9" x14ac:dyDescent="0.2">
      <c r="A2023" s="33">
        <v>42313</v>
      </c>
      <c r="B2023" s="36">
        <v>13560</v>
      </c>
      <c r="C2023" s="7">
        <v>13570</v>
      </c>
      <c r="D2023" s="7">
        <v>13640</v>
      </c>
      <c r="E2023" s="7">
        <v>13540</v>
      </c>
      <c r="F2023" s="7">
        <v>13540</v>
      </c>
      <c r="G2023" s="34">
        <v>219</v>
      </c>
      <c r="H2023" s="35">
        <v>10</v>
      </c>
      <c r="I2023" s="38">
        <f t="shared" si="31"/>
        <v>13565</v>
      </c>
    </row>
    <row r="2024" spans="1:9" x14ac:dyDescent="0.2">
      <c r="A2024" s="33">
        <v>42312</v>
      </c>
      <c r="B2024" s="36">
        <v>13550</v>
      </c>
      <c r="C2024" s="7">
        <v>13560</v>
      </c>
      <c r="D2024" s="7">
        <v>13550</v>
      </c>
      <c r="E2024" s="7">
        <v>13420</v>
      </c>
      <c r="F2024" s="7">
        <v>13460</v>
      </c>
      <c r="G2024" s="34">
        <v>201</v>
      </c>
      <c r="H2024" s="35">
        <v>0</v>
      </c>
      <c r="I2024" s="38">
        <f t="shared" si="31"/>
        <v>13555</v>
      </c>
    </row>
    <row r="2025" spans="1:9" x14ac:dyDescent="0.2">
      <c r="A2025" s="33">
        <v>42311</v>
      </c>
      <c r="B2025" s="36">
        <v>13550</v>
      </c>
      <c r="C2025" s="7">
        <v>13560</v>
      </c>
      <c r="D2025" s="7">
        <v>13610</v>
      </c>
      <c r="E2025" s="7">
        <v>13530</v>
      </c>
      <c r="F2025" s="7">
        <v>13575</v>
      </c>
      <c r="G2025" s="34">
        <v>202</v>
      </c>
      <c r="H2025" s="35">
        <v>-115</v>
      </c>
      <c r="I2025" s="38">
        <f t="shared" si="31"/>
        <v>13555</v>
      </c>
    </row>
    <row r="2026" spans="1:9" x14ac:dyDescent="0.2">
      <c r="A2026" s="33">
        <v>42310</v>
      </c>
      <c r="B2026" s="36">
        <v>13665</v>
      </c>
      <c r="C2026" s="7">
        <v>13670</v>
      </c>
      <c r="D2026" s="7">
        <v>13685</v>
      </c>
      <c r="E2026" s="7">
        <v>13630</v>
      </c>
      <c r="F2026" s="7">
        <v>13650</v>
      </c>
      <c r="G2026" s="34">
        <v>173</v>
      </c>
      <c r="H2026" s="35">
        <v>-10</v>
      </c>
      <c r="I2026" s="38">
        <f t="shared" si="31"/>
        <v>13667.5</v>
      </c>
    </row>
    <row r="2027" spans="1:9" x14ac:dyDescent="0.2">
      <c r="A2027" s="33">
        <v>42307</v>
      </c>
      <c r="B2027" s="36">
        <v>13675</v>
      </c>
      <c r="C2027" s="7">
        <v>13700</v>
      </c>
      <c r="D2027" s="7">
        <v>13695</v>
      </c>
      <c r="E2027" s="7">
        <v>13550</v>
      </c>
      <c r="F2027" s="7">
        <v>13550</v>
      </c>
      <c r="G2027" s="34">
        <v>181</v>
      </c>
      <c r="H2027" s="35">
        <v>50</v>
      </c>
      <c r="I2027" s="38">
        <f t="shared" si="31"/>
        <v>13687.5</v>
      </c>
    </row>
    <row r="2028" spans="1:9" x14ac:dyDescent="0.2">
      <c r="A2028" s="33">
        <v>42306</v>
      </c>
      <c r="B2028" s="36">
        <v>13625</v>
      </c>
      <c r="C2028" s="7">
        <v>13645</v>
      </c>
      <c r="D2028" s="7">
        <v>13640</v>
      </c>
      <c r="E2028" s="7">
        <v>13505</v>
      </c>
      <c r="F2028" s="7">
        <v>13550</v>
      </c>
      <c r="G2028" s="34">
        <v>210</v>
      </c>
      <c r="H2028" s="35">
        <v>155</v>
      </c>
      <c r="I2028" s="38">
        <f t="shared" si="31"/>
        <v>13635</v>
      </c>
    </row>
    <row r="2029" spans="1:9" x14ac:dyDescent="0.2">
      <c r="A2029" s="33">
        <v>42305</v>
      </c>
      <c r="B2029" s="36">
        <v>13470</v>
      </c>
      <c r="C2029" s="7">
        <v>13485</v>
      </c>
      <c r="D2029" s="7">
        <v>13633</v>
      </c>
      <c r="E2029" s="7">
        <v>13465</v>
      </c>
      <c r="F2029" s="7">
        <v>13620</v>
      </c>
      <c r="G2029" s="34">
        <v>252</v>
      </c>
      <c r="H2029" s="35">
        <v>-150</v>
      </c>
      <c r="I2029" s="38">
        <f t="shared" si="31"/>
        <v>13477.5</v>
      </c>
    </row>
    <row r="2030" spans="1:9" x14ac:dyDescent="0.2">
      <c r="A2030" s="33">
        <v>42304</v>
      </c>
      <c r="B2030" s="36">
        <v>13620</v>
      </c>
      <c r="C2030" s="7">
        <v>13625</v>
      </c>
      <c r="D2030" s="7">
        <v>13645</v>
      </c>
      <c r="E2030" s="7">
        <v>13570</v>
      </c>
      <c r="F2030" s="7">
        <v>13645</v>
      </c>
      <c r="G2030" s="34">
        <v>242</v>
      </c>
      <c r="H2030" s="35">
        <v>-20</v>
      </c>
      <c r="I2030" s="38">
        <f t="shared" si="31"/>
        <v>13622.5</v>
      </c>
    </row>
    <row r="2031" spans="1:9" x14ac:dyDescent="0.2">
      <c r="A2031" s="33">
        <v>42303</v>
      </c>
      <c r="B2031" s="36">
        <v>13640</v>
      </c>
      <c r="C2031" s="7">
        <v>13650</v>
      </c>
      <c r="D2031" s="7">
        <v>13675</v>
      </c>
      <c r="E2031" s="7">
        <v>13540</v>
      </c>
      <c r="F2031" s="7">
        <v>13600</v>
      </c>
      <c r="G2031" s="34">
        <v>205</v>
      </c>
      <c r="H2031" s="35">
        <v>10</v>
      </c>
      <c r="I2031" s="38">
        <f t="shared" si="31"/>
        <v>13645</v>
      </c>
    </row>
    <row r="2032" spans="1:9" x14ac:dyDescent="0.2">
      <c r="A2032" s="33">
        <v>42300</v>
      </c>
      <c r="B2032" s="36">
        <v>13630</v>
      </c>
      <c r="C2032" s="7">
        <v>13640</v>
      </c>
      <c r="D2032" s="7">
        <v>13645</v>
      </c>
      <c r="E2032" s="7">
        <v>13400</v>
      </c>
      <c r="F2032" s="7">
        <v>13550</v>
      </c>
      <c r="G2032" s="34">
        <v>225</v>
      </c>
      <c r="H2032" s="35">
        <v>-25</v>
      </c>
      <c r="I2032" s="38">
        <f t="shared" si="31"/>
        <v>13635</v>
      </c>
    </row>
    <row r="2033" spans="1:9" x14ac:dyDescent="0.2">
      <c r="A2033" s="33">
        <v>42299</v>
      </c>
      <c r="B2033" s="36">
        <v>13655</v>
      </c>
      <c r="C2033" s="7">
        <v>13660</v>
      </c>
      <c r="D2033" s="7">
        <v>13730</v>
      </c>
      <c r="E2033" s="7">
        <v>13480</v>
      </c>
      <c r="F2033" s="7">
        <v>13725</v>
      </c>
      <c r="G2033" s="34">
        <v>203</v>
      </c>
      <c r="H2033" s="35">
        <v>-57</v>
      </c>
      <c r="I2033" s="38">
        <f t="shared" si="31"/>
        <v>13657.5</v>
      </c>
    </row>
    <row r="2034" spans="1:9" x14ac:dyDescent="0.2">
      <c r="A2034" s="33">
        <v>42298</v>
      </c>
      <c r="B2034" s="36">
        <v>13712</v>
      </c>
      <c r="C2034" s="7">
        <v>13722</v>
      </c>
      <c r="D2034" s="7">
        <v>13745</v>
      </c>
      <c r="E2034" s="7">
        <v>13660</v>
      </c>
      <c r="F2034" s="7">
        <v>13675</v>
      </c>
      <c r="G2034" s="34">
        <v>241</v>
      </c>
      <c r="H2034" s="35">
        <v>72</v>
      </c>
      <c r="I2034" s="38">
        <f t="shared" si="31"/>
        <v>13717</v>
      </c>
    </row>
    <row r="2035" spans="1:9" x14ac:dyDescent="0.2">
      <c r="A2035" s="33">
        <v>42297</v>
      </c>
      <c r="B2035" s="36">
        <v>13640</v>
      </c>
      <c r="C2035" s="7">
        <v>13650</v>
      </c>
      <c r="D2035" s="7">
        <v>13650</v>
      </c>
      <c r="E2035" s="7">
        <v>13580</v>
      </c>
      <c r="F2035" s="7">
        <v>13580</v>
      </c>
      <c r="G2035" s="34">
        <v>235</v>
      </c>
      <c r="H2035" s="35">
        <v>110</v>
      </c>
      <c r="I2035" s="38">
        <f t="shared" si="31"/>
        <v>13645</v>
      </c>
    </row>
    <row r="2036" spans="1:9" x14ac:dyDescent="0.2">
      <c r="A2036" s="33">
        <v>42296</v>
      </c>
      <c r="B2036" s="36">
        <v>13530</v>
      </c>
      <c r="C2036" s="7">
        <v>13533</v>
      </c>
      <c r="D2036" s="7">
        <v>13570</v>
      </c>
      <c r="E2036" s="7">
        <v>13500</v>
      </c>
      <c r="F2036" s="7">
        <v>13500</v>
      </c>
      <c r="G2036" s="34">
        <v>144</v>
      </c>
      <c r="H2036" s="35">
        <v>10</v>
      </c>
      <c r="I2036" s="38">
        <f t="shared" si="31"/>
        <v>13531.5</v>
      </c>
    </row>
    <row r="2037" spans="1:9" x14ac:dyDescent="0.2">
      <c r="A2037" s="33">
        <v>42293</v>
      </c>
      <c r="B2037" s="36">
        <v>13520</v>
      </c>
      <c r="C2037" s="7">
        <v>13540</v>
      </c>
      <c r="D2037" s="7">
        <v>13570</v>
      </c>
      <c r="E2037" s="7">
        <v>13440</v>
      </c>
      <c r="F2037" s="7">
        <v>13470</v>
      </c>
      <c r="G2037" s="34">
        <v>250</v>
      </c>
      <c r="H2037" s="35">
        <v>80</v>
      </c>
      <c r="I2037" s="38">
        <f t="shared" si="31"/>
        <v>13530</v>
      </c>
    </row>
    <row r="2038" spans="1:9" x14ac:dyDescent="0.2">
      <c r="A2038" s="33">
        <v>42292</v>
      </c>
      <c r="B2038" s="36">
        <v>13440</v>
      </c>
      <c r="C2038" s="7">
        <v>13470</v>
      </c>
      <c r="D2038" s="7">
        <v>13500</v>
      </c>
      <c r="E2038" s="7">
        <v>13200</v>
      </c>
      <c r="F2038" s="7">
        <v>13500</v>
      </c>
      <c r="G2038" s="34">
        <v>304</v>
      </c>
      <c r="H2038" s="35">
        <v>-174</v>
      </c>
      <c r="I2038" s="38">
        <f t="shared" si="31"/>
        <v>13455</v>
      </c>
    </row>
    <row r="2039" spans="1:9" x14ac:dyDescent="0.2">
      <c r="A2039" s="33">
        <v>42291</v>
      </c>
      <c r="B2039" s="36">
        <v>13614</v>
      </c>
      <c r="C2039" s="7">
        <v>13625</v>
      </c>
      <c r="D2039" s="7"/>
      <c r="E2039" s="7"/>
      <c r="F2039" s="7"/>
      <c r="G2039" s="34"/>
      <c r="H2039" s="35">
        <v>0</v>
      </c>
      <c r="I2039" s="38">
        <f t="shared" si="31"/>
        <v>13619.5</v>
      </c>
    </row>
    <row r="2040" spans="1:9" x14ac:dyDescent="0.2">
      <c r="A2040" s="33">
        <v>42290</v>
      </c>
      <c r="B2040" s="36">
        <v>13614</v>
      </c>
      <c r="C2040" s="7">
        <v>13625</v>
      </c>
      <c r="D2040" s="7">
        <v>13625</v>
      </c>
      <c r="E2040" s="7">
        <v>13430</v>
      </c>
      <c r="F2040" s="7">
        <v>13430</v>
      </c>
      <c r="G2040" s="34">
        <v>297</v>
      </c>
      <c r="H2040" s="35">
        <v>214</v>
      </c>
      <c r="I2040" s="38">
        <f t="shared" si="31"/>
        <v>13619.5</v>
      </c>
    </row>
    <row r="2041" spans="1:9" x14ac:dyDescent="0.2">
      <c r="A2041" s="33">
        <v>42289</v>
      </c>
      <c r="B2041" s="36">
        <v>13400</v>
      </c>
      <c r="C2041" s="7">
        <v>13410</v>
      </c>
      <c r="D2041" s="7">
        <v>13480</v>
      </c>
      <c r="E2041" s="7">
        <v>13300</v>
      </c>
      <c r="F2041" s="7">
        <v>13300</v>
      </c>
      <c r="G2041" s="34">
        <v>255</v>
      </c>
      <c r="H2041" s="35">
        <v>-10</v>
      </c>
      <c r="I2041" s="38">
        <f t="shared" si="31"/>
        <v>13405</v>
      </c>
    </row>
    <row r="2042" spans="1:9" x14ac:dyDescent="0.2">
      <c r="A2042" s="33">
        <v>42286</v>
      </c>
      <c r="B2042" s="36">
        <v>13410</v>
      </c>
      <c r="C2042" s="7">
        <v>13430</v>
      </c>
      <c r="D2042" s="7">
        <v>13810</v>
      </c>
      <c r="E2042" s="7">
        <v>13260</v>
      </c>
      <c r="F2042" s="7">
        <v>13700</v>
      </c>
      <c r="G2042" s="34">
        <v>288</v>
      </c>
      <c r="H2042" s="35">
        <v>-450</v>
      </c>
      <c r="I2042" s="38">
        <f t="shared" si="31"/>
        <v>13420</v>
      </c>
    </row>
    <row r="2043" spans="1:9" x14ac:dyDescent="0.2">
      <c r="A2043" s="33">
        <v>42285</v>
      </c>
      <c r="B2043" s="36">
        <v>13860</v>
      </c>
      <c r="C2043" s="7">
        <v>13875</v>
      </c>
      <c r="D2043" s="7">
        <v>13875</v>
      </c>
      <c r="E2043" s="7">
        <v>13700</v>
      </c>
      <c r="F2043" s="7">
        <v>13770</v>
      </c>
      <c r="G2043" s="34">
        <v>290</v>
      </c>
      <c r="H2043" s="35">
        <v>60</v>
      </c>
      <c r="I2043" s="38">
        <f t="shared" si="31"/>
        <v>13867.5</v>
      </c>
    </row>
    <row r="2044" spans="1:9" x14ac:dyDescent="0.2">
      <c r="A2044" s="33">
        <v>42284</v>
      </c>
      <c r="B2044" s="36">
        <v>13800</v>
      </c>
      <c r="C2044" s="7">
        <v>13850</v>
      </c>
      <c r="D2044" s="7">
        <v>14160</v>
      </c>
      <c r="E2044" s="7">
        <v>13700</v>
      </c>
      <c r="F2044" s="7">
        <v>14160</v>
      </c>
      <c r="G2044" s="34">
        <v>315</v>
      </c>
      <c r="H2044" s="35">
        <v>-441</v>
      </c>
      <c r="I2044" s="38">
        <f t="shared" si="31"/>
        <v>13825</v>
      </c>
    </row>
    <row r="2045" spans="1:9" x14ac:dyDescent="0.2">
      <c r="A2045" s="33">
        <v>42283</v>
      </c>
      <c r="B2045" s="36">
        <v>14241</v>
      </c>
      <c r="C2045" s="7">
        <v>14250</v>
      </c>
      <c r="D2045" s="7">
        <v>14470</v>
      </c>
      <c r="E2045" s="7">
        <v>14140</v>
      </c>
      <c r="F2045" s="7">
        <v>14460</v>
      </c>
      <c r="G2045" s="34">
        <v>435</v>
      </c>
      <c r="H2045" s="35">
        <v>-249</v>
      </c>
      <c r="I2045" s="38">
        <f t="shared" si="31"/>
        <v>14245.5</v>
      </c>
    </row>
    <row r="2046" spans="1:9" x14ac:dyDescent="0.2">
      <c r="A2046" s="33">
        <v>42282</v>
      </c>
      <c r="B2046" s="36">
        <v>14490</v>
      </c>
      <c r="C2046" s="7">
        <v>14500</v>
      </c>
      <c r="D2046" s="7">
        <v>14625</v>
      </c>
      <c r="E2046" s="7">
        <v>14480</v>
      </c>
      <c r="F2046" s="7">
        <v>14625</v>
      </c>
      <c r="G2046" s="34">
        <v>227</v>
      </c>
      <c r="H2046" s="35">
        <v>-150</v>
      </c>
      <c r="I2046" s="38">
        <f t="shared" si="31"/>
        <v>14495</v>
      </c>
    </row>
    <row r="2047" spans="1:9" x14ac:dyDescent="0.2">
      <c r="A2047" s="33">
        <v>42279</v>
      </c>
      <c r="B2047" s="36">
        <v>14640</v>
      </c>
      <c r="C2047" s="7">
        <v>14645</v>
      </c>
      <c r="D2047" s="7">
        <v>14705</v>
      </c>
      <c r="E2047" s="7">
        <v>14640</v>
      </c>
      <c r="F2047" s="7">
        <v>14690</v>
      </c>
      <c r="G2047" s="34">
        <v>283</v>
      </c>
      <c r="H2047" s="35">
        <v>-25</v>
      </c>
      <c r="I2047" s="38">
        <f t="shared" si="31"/>
        <v>14642.5</v>
      </c>
    </row>
    <row r="2048" spans="1:9" x14ac:dyDescent="0.2">
      <c r="A2048" s="33">
        <v>42278</v>
      </c>
      <c r="B2048" s="36">
        <v>14665</v>
      </c>
      <c r="C2048" s="7">
        <v>14675</v>
      </c>
      <c r="D2048" s="7">
        <v>14678</v>
      </c>
      <c r="E2048" s="7">
        <v>14620</v>
      </c>
      <c r="F2048" s="7">
        <v>14620</v>
      </c>
      <c r="G2048" s="34">
        <v>266</v>
      </c>
      <c r="H2048" s="35">
        <v>20</v>
      </c>
      <c r="I2048" s="38">
        <f t="shared" si="31"/>
        <v>14670</v>
      </c>
    </row>
    <row r="2049" spans="1:9" x14ac:dyDescent="0.2">
      <c r="A2049" s="33">
        <v>42277</v>
      </c>
      <c r="B2049" s="36">
        <v>14645</v>
      </c>
      <c r="C2049" s="7">
        <v>14655</v>
      </c>
      <c r="D2049" s="7">
        <v>14670</v>
      </c>
      <c r="E2049" s="7">
        <v>14630</v>
      </c>
      <c r="F2049" s="7">
        <v>14640</v>
      </c>
      <c r="G2049" s="34">
        <v>214</v>
      </c>
      <c r="H2049" s="35">
        <v>-35</v>
      </c>
      <c r="I2049" s="38">
        <f t="shared" si="31"/>
        <v>14650</v>
      </c>
    </row>
    <row r="2050" spans="1:9" x14ac:dyDescent="0.2">
      <c r="A2050" s="33">
        <v>42276</v>
      </c>
      <c r="B2050" s="36">
        <v>14680</v>
      </c>
      <c r="C2050" s="7">
        <v>14685</v>
      </c>
      <c r="D2050" s="7">
        <v>14730</v>
      </c>
      <c r="E2050" s="7">
        <v>14660</v>
      </c>
      <c r="F2050" s="7">
        <v>14700</v>
      </c>
      <c r="G2050" s="34">
        <v>156</v>
      </c>
      <c r="H2050" s="35">
        <v>-15</v>
      </c>
      <c r="I2050" s="38">
        <f t="shared" si="31"/>
        <v>14682.5</v>
      </c>
    </row>
    <row r="2051" spans="1:9" x14ac:dyDescent="0.2">
      <c r="A2051" s="33">
        <v>42275</v>
      </c>
      <c r="B2051" s="36">
        <v>14695</v>
      </c>
      <c r="C2051" s="7">
        <v>14700</v>
      </c>
      <c r="D2051" s="7">
        <v>14705</v>
      </c>
      <c r="E2051" s="7">
        <v>14655</v>
      </c>
      <c r="F2051" s="7">
        <v>14680</v>
      </c>
      <c r="G2051" s="34">
        <v>293</v>
      </c>
      <c r="H2051" s="35">
        <v>15</v>
      </c>
      <c r="I2051" s="38">
        <f t="shared" si="31"/>
        <v>14697.5</v>
      </c>
    </row>
    <row r="2052" spans="1:9" x14ac:dyDescent="0.2">
      <c r="A2052" s="33">
        <v>42272</v>
      </c>
      <c r="B2052" s="36">
        <v>14680</v>
      </c>
      <c r="C2052" s="7">
        <v>14690</v>
      </c>
      <c r="D2052" s="7">
        <v>14700</v>
      </c>
      <c r="E2052" s="7">
        <v>14660</v>
      </c>
      <c r="F2052" s="7">
        <v>14660</v>
      </c>
      <c r="G2052" s="34">
        <v>234</v>
      </c>
      <c r="H2052" s="35">
        <v>35</v>
      </c>
      <c r="I2052" s="38">
        <f t="shared" si="31"/>
        <v>14685</v>
      </c>
    </row>
    <row r="2053" spans="1:9" x14ac:dyDescent="0.2">
      <c r="A2053" s="33">
        <v>42271</v>
      </c>
      <c r="B2053" s="36">
        <v>14645</v>
      </c>
      <c r="C2053" s="7">
        <v>14650</v>
      </c>
      <c r="D2053" s="7"/>
      <c r="E2053" s="7"/>
      <c r="F2053" s="7"/>
      <c r="G2053" s="34"/>
      <c r="H2053" s="35">
        <v>0</v>
      </c>
      <c r="I2053" s="38">
        <f t="shared" si="31"/>
        <v>14647.5</v>
      </c>
    </row>
    <row r="2054" spans="1:9" x14ac:dyDescent="0.2">
      <c r="A2054" s="33">
        <v>42270</v>
      </c>
      <c r="B2054" s="36">
        <v>14645</v>
      </c>
      <c r="C2054" s="7">
        <v>14650</v>
      </c>
      <c r="D2054" s="7">
        <v>14650</v>
      </c>
      <c r="E2054" s="7">
        <v>14550</v>
      </c>
      <c r="F2054" s="7">
        <v>14550</v>
      </c>
      <c r="G2054" s="34">
        <v>329</v>
      </c>
      <c r="H2054" s="35">
        <v>150</v>
      </c>
      <c r="I2054" s="38">
        <f t="shared" si="31"/>
        <v>14647.5</v>
      </c>
    </row>
    <row r="2055" spans="1:9" x14ac:dyDescent="0.2">
      <c r="A2055" s="33">
        <v>42269</v>
      </c>
      <c r="B2055" s="36">
        <v>14495</v>
      </c>
      <c r="C2055" s="7">
        <v>14500</v>
      </c>
      <c r="D2055" s="7">
        <v>14500</v>
      </c>
      <c r="E2055" s="7">
        <v>14460</v>
      </c>
      <c r="F2055" s="7">
        <v>14460</v>
      </c>
      <c r="G2055" s="34">
        <v>215</v>
      </c>
      <c r="H2055" s="35">
        <v>45</v>
      </c>
      <c r="I2055" s="38">
        <f t="shared" si="31"/>
        <v>14497.5</v>
      </c>
    </row>
    <row r="2056" spans="1:9" x14ac:dyDescent="0.2">
      <c r="A2056" s="33">
        <v>42268</v>
      </c>
      <c r="B2056" s="36">
        <v>14450</v>
      </c>
      <c r="C2056" s="7">
        <v>14460</v>
      </c>
      <c r="D2056" s="7">
        <v>14458</v>
      </c>
      <c r="E2056" s="7">
        <v>14415</v>
      </c>
      <c r="F2056" s="7">
        <v>14415</v>
      </c>
      <c r="G2056" s="34">
        <v>247</v>
      </c>
      <c r="H2056" s="35">
        <v>80</v>
      </c>
      <c r="I2056" s="38">
        <f t="shared" si="31"/>
        <v>14455</v>
      </c>
    </row>
    <row r="2057" spans="1:9" x14ac:dyDescent="0.2">
      <c r="A2057" s="33">
        <v>42265</v>
      </c>
      <c r="B2057" s="36">
        <v>14370</v>
      </c>
      <c r="C2057" s="7">
        <v>14380</v>
      </c>
      <c r="D2057" s="7">
        <v>14480</v>
      </c>
      <c r="E2057" s="7">
        <v>14360</v>
      </c>
      <c r="F2057" s="7">
        <v>14440</v>
      </c>
      <c r="G2057" s="34">
        <v>246</v>
      </c>
      <c r="H2057" s="35">
        <v>-85</v>
      </c>
      <c r="I2057" s="38">
        <f t="shared" si="31"/>
        <v>14375</v>
      </c>
    </row>
    <row r="2058" spans="1:9" x14ac:dyDescent="0.2">
      <c r="A2058" s="33">
        <v>42264</v>
      </c>
      <c r="B2058" s="36">
        <v>14455</v>
      </c>
      <c r="C2058" s="7">
        <v>14460</v>
      </c>
      <c r="D2058" s="7">
        <v>14458</v>
      </c>
      <c r="E2058" s="7">
        <v>14435</v>
      </c>
      <c r="F2058" s="7">
        <v>14440</v>
      </c>
      <c r="G2058" s="34">
        <v>177</v>
      </c>
      <c r="H2058" s="35">
        <v>5</v>
      </c>
      <c r="I2058" s="38">
        <f t="shared" si="31"/>
        <v>14457.5</v>
      </c>
    </row>
    <row r="2059" spans="1:9" x14ac:dyDescent="0.2">
      <c r="A2059" s="33">
        <v>42263</v>
      </c>
      <c r="B2059" s="36">
        <v>14450</v>
      </c>
      <c r="C2059" s="7">
        <v>14460</v>
      </c>
      <c r="D2059" s="7">
        <v>14460</v>
      </c>
      <c r="E2059" s="7">
        <v>14390</v>
      </c>
      <c r="F2059" s="7">
        <v>14390</v>
      </c>
      <c r="G2059" s="34">
        <v>298</v>
      </c>
      <c r="H2059" s="35">
        <v>45</v>
      </c>
      <c r="I2059" s="38">
        <f t="shared" si="31"/>
        <v>14455</v>
      </c>
    </row>
    <row r="2060" spans="1:9" x14ac:dyDescent="0.2">
      <c r="A2060" s="33">
        <v>42262</v>
      </c>
      <c r="B2060" s="36">
        <v>14405</v>
      </c>
      <c r="C2060" s="7">
        <v>14410</v>
      </c>
      <c r="D2060" s="7">
        <v>14410</v>
      </c>
      <c r="E2060" s="7">
        <v>14339</v>
      </c>
      <c r="F2060" s="7">
        <v>14339</v>
      </c>
      <c r="G2060" s="34">
        <v>272</v>
      </c>
      <c r="H2060" s="35">
        <v>60</v>
      </c>
      <c r="I2060" s="38">
        <f t="shared" si="31"/>
        <v>14407.5</v>
      </c>
    </row>
    <row r="2061" spans="1:9" x14ac:dyDescent="0.2">
      <c r="A2061" s="33">
        <v>42261</v>
      </c>
      <c r="B2061" s="36">
        <v>14345</v>
      </c>
      <c r="C2061" s="7">
        <v>14350</v>
      </c>
      <c r="D2061" s="7">
        <v>14345</v>
      </c>
      <c r="E2061" s="7">
        <v>14304</v>
      </c>
      <c r="F2061" s="7">
        <v>14305</v>
      </c>
      <c r="G2061" s="34">
        <v>74</v>
      </c>
      <c r="H2061" s="35">
        <v>20</v>
      </c>
      <c r="I2061" s="38">
        <f t="shared" si="31"/>
        <v>14347.5</v>
      </c>
    </row>
    <row r="2062" spans="1:9" x14ac:dyDescent="0.2">
      <c r="A2062" s="33">
        <v>42258</v>
      </c>
      <c r="B2062" s="36">
        <v>14325</v>
      </c>
      <c r="C2062" s="7">
        <v>14335</v>
      </c>
      <c r="D2062" s="7">
        <v>14330</v>
      </c>
      <c r="E2062" s="7">
        <v>14275</v>
      </c>
      <c r="F2062" s="7">
        <v>14290</v>
      </c>
      <c r="G2062" s="34">
        <v>204</v>
      </c>
      <c r="H2062" s="35">
        <v>-5</v>
      </c>
      <c r="I2062" s="38">
        <f t="shared" si="31"/>
        <v>14330</v>
      </c>
    </row>
    <row r="2063" spans="1:9" x14ac:dyDescent="0.2">
      <c r="A2063" s="33">
        <v>42257</v>
      </c>
      <c r="B2063" s="36">
        <v>14330</v>
      </c>
      <c r="C2063" s="7">
        <v>14335</v>
      </c>
      <c r="D2063" s="7">
        <v>14335</v>
      </c>
      <c r="E2063" s="7">
        <v>14255</v>
      </c>
      <c r="F2063" s="7">
        <v>14280</v>
      </c>
      <c r="G2063" s="34">
        <v>303</v>
      </c>
      <c r="H2063" s="35">
        <v>70</v>
      </c>
      <c r="I2063" s="38">
        <f t="shared" si="31"/>
        <v>14332.5</v>
      </c>
    </row>
    <row r="2064" spans="1:9" x14ac:dyDescent="0.2">
      <c r="A2064" s="33">
        <v>42256</v>
      </c>
      <c r="B2064" s="36">
        <v>14260</v>
      </c>
      <c r="C2064" s="7">
        <v>14263</v>
      </c>
      <c r="D2064" s="7">
        <v>14280</v>
      </c>
      <c r="E2064" s="7">
        <v>14215</v>
      </c>
      <c r="F2064" s="7">
        <v>14280</v>
      </c>
      <c r="G2064" s="34">
        <v>200</v>
      </c>
      <c r="H2064" s="35">
        <v>-15</v>
      </c>
      <c r="I2064" s="38">
        <f t="shared" si="31"/>
        <v>14261.5</v>
      </c>
    </row>
    <row r="2065" spans="1:9" x14ac:dyDescent="0.2">
      <c r="A2065" s="33">
        <v>42255</v>
      </c>
      <c r="B2065" s="36">
        <v>14275</v>
      </c>
      <c r="C2065" s="7">
        <v>14285</v>
      </c>
      <c r="D2065" s="7">
        <v>14293</v>
      </c>
      <c r="E2065" s="7">
        <v>14235</v>
      </c>
      <c r="F2065" s="7">
        <v>14235</v>
      </c>
      <c r="G2065" s="34">
        <v>294</v>
      </c>
      <c r="H2065" s="35">
        <v>30</v>
      </c>
      <c r="I2065" s="38">
        <f t="shared" si="31"/>
        <v>14280</v>
      </c>
    </row>
    <row r="2066" spans="1:9" x14ac:dyDescent="0.2">
      <c r="A2066" s="33">
        <v>42254</v>
      </c>
      <c r="B2066" s="36">
        <v>14245</v>
      </c>
      <c r="C2066" s="7">
        <v>14250</v>
      </c>
      <c r="D2066" s="7">
        <v>14249</v>
      </c>
      <c r="E2066" s="7">
        <v>14200</v>
      </c>
      <c r="F2066" s="7">
        <v>14210</v>
      </c>
      <c r="G2066" s="34">
        <v>182</v>
      </c>
      <c r="H2066" s="35">
        <v>85</v>
      </c>
      <c r="I2066" s="38">
        <f t="shared" si="31"/>
        <v>14247.5</v>
      </c>
    </row>
    <row r="2067" spans="1:9" x14ac:dyDescent="0.2">
      <c r="A2067" s="33">
        <v>42251</v>
      </c>
      <c r="B2067" s="36">
        <v>14160</v>
      </c>
      <c r="C2067" s="7">
        <v>14170</v>
      </c>
      <c r="D2067" s="7">
        <v>14188</v>
      </c>
      <c r="E2067" s="7">
        <v>14150</v>
      </c>
      <c r="F2067" s="7">
        <v>14150</v>
      </c>
      <c r="G2067" s="34">
        <v>183</v>
      </c>
      <c r="H2067" s="35">
        <v>-8</v>
      </c>
      <c r="I2067" s="38">
        <f t="shared" si="31"/>
        <v>14165</v>
      </c>
    </row>
    <row r="2068" spans="1:9" x14ac:dyDescent="0.2">
      <c r="A2068" s="33">
        <v>42250</v>
      </c>
      <c r="B2068" s="36">
        <v>14168</v>
      </c>
      <c r="C2068" s="7">
        <v>14170</v>
      </c>
      <c r="D2068" s="7">
        <v>14168</v>
      </c>
      <c r="E2068" s="7">
        <v>14125</v>
      </c>
      <c r="F2068" s="7">
        <v>14125</v>
      </c>
      <c r="G2068" s="34">
        <v>180</v>
      </c>
      <c r="H2068" s="35">
        <v>43</v>
      </c>
      <c r="I2068" s="38">
        <f t="shared" si="31"/>
        <v>14169</v>
      </c>
    </row>
    <row r="2069" spans="1:9" x14ac:dyDescent="0.2">
      <c r="A2069" s="33">
        <v>42249</v>
      </c>
      <c r="B2069" s="36">
        <v>14125</v>
      </c>
      <c r="C2069" s="7">
        <v>14135</v>
      </c>
      <c r="D2069" s="7">
        <v>14135</v>
      </c>
      <c r="E2069" s="7">
        <v>14080</v>
      </c>
      <c r="F2069" s="7">
        <v>14080</v>
      </c>
      <c r="G2069" s="34">
        <v>201</v>
      </c>
      <c r="H2069" s="35">
        <v>30</v>
      </c>
      <c r="I2069" s="38">
        <f t="shared" si="31"/>
        <v>14130</v>
      </c>
    </row>
    <row r="2070" spans="1:9" x14ac:dyDescent="0.2">
      <c r="A2070" s="33">
        <v>42248</v>
      </c>
      <c r="B2070" s="36">
        <v>14095</v>
      </c>
      <c r="C2070" s="7">
        <v>14100</v>
      </c>
      <c r="D2070" s="7">
        <v>14097</v>
      </c>
      <c r="E2070" s="7">
        <v>14040</v>
      </c>
      <c r="F2070" s="7">
        <v>14045</v>
      </c>
      <c r="G2070" s="34">
        <v>208</v>
      </c>
      <c r="H2070" s="35">
        <v>50</v>
      </c>
      <c r="I2070" s="38">
        <f t="shared" si="31"/>
        <v>14097.5</v>
      </c>
    </row>
    <row r="2071" spans="1:9" x14ac:dyDescent="0.2">
      <c r="A2071" s="33">
        <v>42247</v>
      </c>
      <c r="B2071" s="36">
        <v>14045</v>
      </c>
      <c r="C2071" s="7">
        <v>14055</v>
      </c>
      <c r="D2071" s="7">
        <v>14050</v>
      </c>
      <c r="E2071" s="7">
        <v>13970</v>
      </c>
      <c r="F2071" s="7">
        <v>13970</v>
      </c>
      <c r="G2071" s="34">
        <v>128</v>
      </c>
      <c r="H2071" s="35">
        <v>65</v>
      </c>
      <c r="I2071" s="38">
        <f t="shared" si="31"/>
        <v>14050</v>
      </c>
    </row>
    <row r="2072" spans="1:9" x14ac:dyDescent="0.2">
      <c r="A2072" s="33">
        <v>42244</v>
      </c>
      <c r="B2072" s="36">
        <v>13980</v>
      </c>
      <c r="C2072" s="7">
        <v>13985</v>
      </c>
      <c r="D2072" s="7">
        <v>14036</v>
      </c>
      <c r="E2072" s="7">
        <v>13965</v>
      </c>
      <c r="F2072" s="7">
        <v>13975</v>
      </c>
      <c r="G2072" s="34">
        <v>180</v>
      </c>
      <c r="H2072" s="35">
        <v>-10</v>
      </c>
      <c r="I2072" s="38">
        <f t="shared" si="31"/>
        <v>13982.5</v>
      </c>
    </row>
    <row r="2073" spans="1:9" x14ac:dyDescent="0.2">
      <c r="A2073" s="33">
        <v>42243</v>
      </c>
      <c r="B2073" s="36">
        <v>13990</v>
      </c>
      <c r="C2073" s="7">
        <v>13995</v>
      </c>
      <c r="D2073" s="7">
        <v>14135</v>
      </c>
      <c r="E2073" s="7">
        <v>13980</v>
      </c>
      <c r="F2073" s="7">
        <v>14080</v>
      </c>
      <c r="G2073" s="34">
        <v>356</v>
      </c>
      <c r="H2073" s="35">
        <v>-130</v>
      </c>
      <c r="I2073" s="38">
        <f t="shared" si="31"/>
        <v>13992.5</v>
      </c>
    </row>
    <row r="2074" spans="1:9" x14ac:dyDescent="0.2">
      <c r="A2074" s="33">
        <v>42242</v>
      </c>
      <c r="B2074" s="36">
        <v>14120</v>
      </c>
      <c r="C2074" s="7">
        <v>14125</v>
      </c>
      <c r="D2074" s="7">
        <v>14123</v>
      </c>
      <c r="E2074" s="7">
        <v>14070</v>
      </c>
      <c r="F2074" s="7">
        <v>14070</v>
      </c>
      <c r="G2074" s="34">
        <v>294</v>
      </c>
      <c r="H2074" s="35">
        <v>60</v>
      </c>
      <c r="I2074" s="38">
        <f t="shared" si="31"/>
        <v>14122.5</v>
      </c>
    </row>
    <row r="2075" spans="1:9" x14ac:dyDescent="0.2">
      <c r="A2075" s="33">
        <v>42241</v>
      </c>
      <c r="B2075" s="36">
        <v>14060</v>
      </c>
      <c r="C2075" s="7">
        <v>14070</v>
      </c>
      <c r="D2075" s="7">
        <v>14085</v>
      </c>
      <c r="E2075" s="7">
        <v>14030</v>
      </c>
      <c r="F2075" s="7">
        <v>14045</v>
      </c>
      <c r="G2075" s="34">
        <v>342</v>
      </c>
      <c r="H2075" s="35">
        <v>16</v>
      </c>
      <c r="I2075" s="38">
        <f t="shared" si="31"/>
        <v>14065</v>
      </c>
    </row>
    <row r="2076" spans="1:9" x14ac:dyDescent="0.2">
      <c r="A2076" s="33">
        <v>42240</v>
      </c>
      <c r="B2076" s="36">
        <v>14044</v>
      </c>
      <c r="C2076" s="7">
        <v>14050</v>
      </c>
      <c r="D2076" s="7">
        <v>14045</v>
      </c>
      <c r="E2076" s="7">
        <v>13950</v>
      </c>
      <c r="F2076" s="7">
        <v>13950</v>
      </c>
      <c r="G2076" s="34">
        <v>318</v>
      </c>
      <c r="H2076" s="35">
        <v>104</v>
      </c>
      <c r="I2076" s="38">
        <f t="shared" si="31"/>
        <v>14047</v>
      </c>
    </row>
    <row r="2077" spans="1:9" x14ac:dyDescent="0.2">
      <c r="A2077" s="33">
        <v>42237</v>
      </c>
      <c r="B2077" s="36">
        <v>13940</v>
      </c>
      <c r="C2077" s="7">
        <v>13945</v>
      </c>
      <c r="D2077" s="7">
        <v>13947</v>
      </c>
      <c r="E2077" s="7">
        <v>13875</v>
      </c>
      <c r="F2077" s="7">
        <v>13875</v>
      </c>
      <c r="G2077" s="34">
        <v>210</v>
      </c>
      <c r="H2077" s="35">
        <v>75</v>
      </c>
      <c r="I2077" s="38">
        <f t="shared" si="31"/>
        <v>13942.5</v>
      </c>
    </row>
    <row r="2078" spans="1:9" x14ac:dyDescent="0.2">
      <c r="A2078" s="33">
        <v>42236</v>
      </c>
      <c r="B2078" s="36">
        <v>13865</v>
      </c>
      <c r="C2078" s="7">
        <v>13875</v>
      </c>
      <c r="D2078" s="7">
        <v>13875</v>
      </c>
      <c r="E2078" s="7">
        <v>13800</v>
      </c>
      <c r="F2078" s="7">
        <v>13830</v>
      </c>
      <c r="G2078" s="34">
        <v>283</v>
      </c>
      <c r="H2078" s="35">
        <v>25</v>
      </c>
      <c r="I2078" s="38">
        <f t="shared" si="31"/>
        <v>13870</v>
      </c>
    </row>
    <row r="2079" spans="1:9" x14ac:dyDescent="0.2">
      <c r="A2079" s="33">
        <v>42235</v>
      </c>
      <c r="B2079" s="36">
        <v>13840</v>
      </c>
      <c r="C2079" s="7">
        <v>13845</v>
      </c>
      <c r="D2079" s="7">
        <v>13840</v>
      </c>
      <c r="E2079" s="7">
        <v>13800</v>
      </c>
      <c r="F2079" s="7">
        <v>13805</v>
      </c>
      <c r="G2079" s="34">
        <v>399</v>
      </c>
      <c r="H2079" s="35">
        <v>27</v>
      </c>
      <c r="I2079" s="38">
        <f t="shared" si="31"/>
        <v>13842.5</v>
      </c>
    </row>
    <row r="2080" spans="1:9" x14ac:dyDescent="0.2">
      <c r="A2080" s="33">
        <v>42234</v>
      </c>
      <c r="B2080" s="36">
        <v>13813</v>
      </c>
      <c r="C2080" s="7">
        <v>13823</v>
      </c>
      <c r="D2080" s="7">
        <v>13848</v>
      </c>
      <c r="E2080" s="7">
        <v>13790</v>
      </c>
      <c r="F2080" s="7">
        <v>13790</v>
      </c>
      <c r="G2080" s="34">
        <v>172</v>
      </c>
      <c r="H2080" s="35">
        <v>28</v>
      </c>
      <c r="I2080" s="38">
        <f t="shared" ref="I2080:I2143" si="32">+(B2080+C2080)*0.5</f>
        <v>13818</v>
      </c>
    </row>
    <row r="2081" spans="1:9" x14ac:dyDescent="0.2">
      <c r="A2081" s="33">
        <v>42233</v>
      </c>
      <c r="B2081" s="36">
        <v>13785</v>
      </c>
      <c r="C2081" s="7">
        <v>13790</v>
      </c>
      <c r="D2081" s="7"/>
      <c r="E2081" s="7"/>
      <c r="F2081" s="7"/>
      <c r="G2081" s="34"/>
      <c r="H2081" s="35">
        <v>0</v>
      </c>
      <c r="I2081" s="38">
        <f t="shared" si="32"/>
        <v>13787.5</v>
      </c>
    </row>
    <row r="2082" spans="1:9" x14ac:dyDescent="0.2">
      <c r="A2082" s="33">
        <v>42230</v>
      </c>
      <c r="B2082" s="36">
        <v>13785</v>
      </c>
      <c r="C2082" s="7">
        <v>13790</v>
      </c>
      <c r="D2082" s="7">
        <v>13788</v>
      </c>
      <c r="E2082" s="7">
        <v>13735</v>
      </c>
      <c r="F2082" s="7">
        <v>13745</v>
      </c>
      <c r="G2082" s="34">
        <v>320</v>
      </c>
      <c r="H2082" s="35">
        <v>45</v>
      </c>
      <c r="I2082" s="38">
        <f t="shared" si="32"/>
        <v>13787.5</v>
      </c>
    </row>
    <row r="2083" spans="1:9" x14ac:dyDescent="0.2">
      <c r="A2083" s="33">
        <v>42229</v>
      </c>
      <c r="B2083" s="36">
        <v>13740</v>
      </c>
      <c r="C2083" s="7">
        <v>13750</v>
      </c>
      <c r="D2083" s="7">
        <v>13790</v>
      </c>
      <c r="E2083" s="7">
        <v>13709</v>
      </c>
      <c r="F2083" s="7">
        <v>13760</v>
      </c>
      <c r="G2083" s="34">
        <v>273</v>
      </c>
      <c r="H2083" s="35">
        <v>-40</v>
      </c>
      <c r="I2083" s="38">
        <f t="shared" si="32"/>
        <v>13745</v>
      </c>
    </row>
    <row r="2084" spans="1:9" x14ac:dyDescent="0.2">
      <c r="A2084" s="33">
        <v>42228</v>
      </c>
      <c r="B2084" s="36">
        <v>13780</v>
      </c>
      <c r="C2084" s="7">
        <v>13790</v>
      </c>
      <c r="D2084" s="7">
        <v>13825</v>
      </c>
      <c r="E2084" s="7">
        <v>13650</v>
      </c>
      <c r="F2084" s="7">
        <v>13650</v>
      </c>
      <c r="G2084" s="34">
        <v>225</v>
      </c>
      <c r="H2084" s="35">
        <v>185</v>
      </c>
      <c r="I2084" s="38">
        <f t="shared" si="32"/>
        <v>13785</v>
      </c>
    </row>
    <row r="2085" spans="1:9" x14ac:dyDescent="0.2">
      <c r="A2085" s="33">
        <v>42227</v>
      </c>
      <c r="B2085" s="36">
        <v>13595</v>
      </c>
      <c r="C2085" s="7">
        <v>13605</v>
      </c>
      <c r="D2085" s="7">
        <v>13595</v>
      </c>
      <c r="E2085" s="7">
        <v>13510</v>
      </c>
      <c r="F2085" s="7">
        <v>13530</v>
      </c>
      <c r="G2085" s="34">
        <v>386</v>
      </c>
      <c r="H2085" s="35">
        <v>47</v>
      </c>
      <c r="I2085" s="38">
        <f t="shared" si="32"/>
        <v>13600</v>
      </c>
    </row>
    <row r="2086" spans="1:9" x14ac:dyDescent="0.2">
      <c r="A2086" s="33">
        <v>42226</v>
      </c>
      <c r="B2086" s="36">
        <v>13548</v>
      </c>
      <c r="C2086" s="7">
        <v>13550</v>
      </c>
      <c r="D2086" s="7">
        <v>13548</v>
      </c>
      <c r="E2086" s="7">
        <v>13525</v>
      </c>
      <c r="F2086" s="7">
        <v>13530</v>
      </c>
      <c r="G2086" s="34">
        <v>272</v>
      </c>
      <c r="H2086" s="35">
        <v>10</v>
      </c>
      <c r="I2086" s="38">
        <f t="shared" si="32"/>
        <v>13549</v>
      </c>
    </row>
    <row r="2087" spans="1:9" x14ac:dyDescent="0.2">
      <c r="A2087" s="33">
        <v>42223</v>
      </c>
      <c r="B2087" s="36">
        <v>13538</v>
      </c>
      <c r="C2087" s="7">
        <v>13541</v>
      </c>
      <c r="D2087" s="7">
        <v>13542</v>
      </c>
      <c r="E2087" s="7">
        <v>13522</v>
      </c>
      <c r="F2087" s="7">
        <v>13525</v>
      </c>
      <c r="G2087" s="34">
        <v>272</v>
      </c>
      <c r="H2087" s="35">
        <v>-3</v>
      </c>
      <c r="I2087" s="38">
        <f t="shared" si="32"/>
        <v>13539.5</v>
      </c>
    </row>
    <row r="2088" spans="1:9" x14ac:dyDescent="0.2">
      <c r="A2088" s="33">
        <v>42222</v>
      </c>
      <c r="B2088" s="36">
        <v>13541</v>
      </c>
      <c r="C2088" s="7">
        <v>13542</v>
      </c>
      <c r="D2088" s="7">
        <v>13541</v>
      </c>
      <c r="E2088" s="7">
        <v>13510</v>
      </c>
      <c r="F2088" s="7">
        <v>13525</v>
      </c>
      <c r="G2088" s="34">
        <v>232</v>
      </c>
      <c r="H2088" s="35">
        <v>28</v>
      </c>
      <c r="I2088" s="38">
        <f t="shared" si="32"/>
        <v>13541.5</v>
      </c>
    </row>
    <row r="2089" spans="1:9" x14ac:dyDescent="0.2">
      <c r="A2089" s="33">
        <v>42221</v>
      </c>
      <c r="B2089" s="36">
        <v>13513</v>
      </c>
      <c r="C2089" s="7">
        <v>13515</v>
      </c>
      <c r="D2089" s="7">
        <v>13519</v>
      </c>
      <c r="E2089" s="7">
        <v>13480</v>
      </c>
      <c r="F2089" s="7">
        <v>13495</v>
      </c>
      <c r="G2089" s="34">
        <v>263</v>
      </c>
      <c r="H2089" s="35">
        <v>30</v>
      </c>
      <c r="I2089" s="38">
        <f t="shared" si="32"/>
        <v>13514</v>
      </c>
    </row>
    <row r="2090" spans="1:9" x14ac:dyDescent="0.2">
      <c r="A2090" s="33">
        <v>42220</v>
      </c>
      <c r="B2090" s="36">
        <v>13483</v>
      </c>
      <c r="C2090" s="7">
        <v>13488</v>
      </c>
      <c r="D2090" s="7">
        <v>13510</v>
      </c>
      <c r="E2090" s="7">
        <v>13475</v>
      </c>
      <c r="F2090" s="7">
        <v>13490</v>
      </c>
      <c r="G2090" s="34">
        <v>189</v>
      </c>
      <c r="H2090" s="35">
        <v>-12</v>
      </c>
      <c r="I2090" s="38">
        <f t="shared" si="32"/>
        <v>13485.5</v>
      </c>
    </row>
    <row r="2091" spans="1:9" x14ac:dyDescent="0.2">
      <c r="A2091" s="33">
        <v>42219</v>
      </c>
      <c r="B2091" s="36">
        <v>13495</v>
      </c>
      <c r="C2091" s="7">
        <v>13505</v>
      </c>
      <c r="D2091" s="7">
        <v>13510</v>
      </c>
      <c r="E2091" s="7">
        <v>13469</v>
      </c>
      <c r="F2091" s="7">
        <v>13490</v>
      </c>
      <c r="G2091" s="34">
        <v>164</v>
      </c>
      <c r="H2091" s="35">
        <v>-30</v>
      </c>
      <c r="I2091" s="38">
        <f t="shared" si="32"/>
        <v>13500</v>
      </c>
    </row>
    <row r="2092" spans="1:9" x14ac:dyDescent="0.2">
      <c r="A2092" s="33">
        <v>42216</v>
      </c>
      <c r="B2092" s="36">
        <v>13525</v>
      </c>
      <c r="C2092" s="7">
        <v>13530</v>
      </c>
      <c r="D2092" s="7">
        <v>13525</v>
      </c>
      <c r="E2092" s="7">
        <v>13459</v>
      </c>
      <c r="F2092" s="7">
        <v>13460</v>
      </c>
      <c r="G2092" s="34">
        <v>301</v>
      </c>
      <c r="H2092" s="35">
        <v>60</v>
      </c>
      <c r="I2092" s="38">
        <f t="shared" si="32"/>
        <v>13527.5</v>
      </c>
    </row>
    <row r="2093" spans="1:9" x14ac:dyDescent="0.2">
      <c r="A2093" s="33">
        <v>42215</v>
      </c>
      <c r="B2093" s="36">
        <v>13465</v>
      </c>
      <c r="C2093" s="7">
        <v>13470</v>
      </c>
      <c r="D2093" s="7">
        <v>13470</v>
      </c>
      <c r="E2093" s="7">
        <v>13450</v>
      </c>
      <c r="F2093" s="7">
        <v>13455</v>
      </c>
      <c r="G2093" s="34">
        <v>219</v>
      </c>
      <c r="H2093" s="35">
        <v>10</v>
      </c>
      <c r="I2093" s="38">
        <f t="shared" si="32"/>
        <v>13467.5</v>
      </c>
    </row>
    <row r="2094" spans="1:9" x14ac:dyDescent="0.2">
      <c r="A2094" s="33">
        <v>42214</v>
      </c>
      <c r="B2094" s="36">
        <v>13455</v>
      </c>
      <c r="C2094" s="7">
        <v>13457</v>
      </c>
      <c r="D2094" s="7">
        <v>13458</v>
      </c>
      <c r="E2094" s="7">
        <v>13420</v>
      </c>
      <c r="F2094" s="7">
        <v>13420</v>
      </c>
      <c r="G2094" s="34">
        <v>265</v>
      </c>
      <c r="H2094" s="35">
        <v>-5</v>
      </c>
      <c r="I2094" s="38">
        <f t="shared" si="32"/>
        <v>13456</v>
      </c>
    </row>
    <row r="2095" spans="1:9" x14ac:dyDescent="0.2">
      <c r="A2095" s="33">
        <v>42213</v>
      </c>
      <c r="B2095" s="36">
        <v>13460</v>
      </c>
      <c r="C2095" s="7">
        <v>13465</v>
      </c>
      <c r="D2095" s="7">
        <v>13464</v>
      </c>
      <c r="E2095" s="7">
        <v>13439</v>
      </c>
      <c r="F2095" s="7">
        <v>13440</v>
      </c>
      <c r="G2095" s="34">
        <v>287</v>
      </c>
      <c r="H2095" s="35">
        <v>2</v>
      </c>
      <c r="I2095" s="38">
        <f t="shared" si="32"/>
        <v>13462.5</v>
      </c>
    </row>
    <row r="2096" spans="1:9" x14ac:dyDescent="0.2">
      <c r="A2096" s="33">
        <v>42212</v>
      </c>
      <c r="B2096" s="36">
        <v>13458</v>
      </c>
      <c r="C2096" s="7">
        <v>13460</v>
      </c>
      <c r="D2096" s="7">
        <v>13465</v>
      </c>
      <c r="E2096" s="7">
        <v>13440</v>
      </c>
      <c r="F2096" s="7">
        <v>13440</v>
      </c>
      <c r="G2096" s="34">
        <v>282</v>
      </c>
      <c r="H2096" s="35">
        <v>18</v>
      </c>
      <c r="I2096" s="38">
        <f t="shared" si="32"/>
        <v>13459</v>
      </c>
    </row>
    <row r="2097" spans="1:9" x14ac:dyDescent="0.2">
      <c r="A2097" s="33">
        <v>42209</v>
      </c>
      <c r="B2097" s="36">
        <v>13440</v>
      </c>
      <c r="C2097" s="7">
        <v>13450</v>
      </c>
      <c r="D2097" s="7">
        <v>13457</v>
      </c>
      <c r="E2097" s="7">
        <v>13413</v>
      </c>
      <c r="F2097" s="7">
        <v>13420</v>
      </c>
      <c r="G2097" s="34">
        <v>282</v>
      </c>
      <c r="H2097" s="35">
        <v>20</v>
      </c>
      <c r="I2097" s="38">
        <f t="shared" si="32"/>
        <v>13445</v>
      </c>
    </row>
    <row r="2098" spans="1:9" x14ac:dyDescent="0.2">
      <c r="A2098" s="33">
        <v>42208</v>
      </c>
      <c r="B2098" s="36">
        <v>13420</v>
      </c>
      <c r="C2098" s="7">
        <v>13425</v>
      </c>
      <c r="D2098" s="7">
        <v>13420</v>
      </c>
      <c r="E2098" s="7">
        <v>13370</v>
      </c>
      <c r="F2098" s="7">
        <v>13375</v>
      </c>
      <c r="G2098" s="34">
        <v>316</v>
      </c>
      <c r="H2098" s="35">
        <v>45</v>
      </c>
      <c r="I2098" s="38">
        <f t="shared" si="32"/>
        <v>13422.5</v>
      </c>
    </row>
    <row r="2099" spans="1:9" x14ac:dyDescent="0.2">
      <c r="A2099" s="33">
        <v>42207</v>
      </c>
      <c r="B2099" s="36">
        <v>13375</v>
      </c>
      <c r="C2099" s="7">
        <v>13380</v>
      </c>
      <c r="D2099" s="7">
        <v>13380</v>
      </c>
      <c r="E2099" s="7">
        <v>13330</v>
      </c>
      <c r="F2099" s="7">
        <v>13330</v>
      </c>
      <c r="G2099" s="34">
        <v>140</v>
      </c>
      <c r="H2099" s="35">
        <v>33</v>
      </c>
      <c r="I2099" s="38">
        <f t="shared" si="32"/>
        <v>13377.5</v>
      </c>
    </row>
    <row r="2100" spans="1:9" x14ac:dyDescent="0.2">
      <c r="A2100" s="33">
        <v>42206</v>
      </c>
      <c r="B2100" s="36">
        <v>13342</v>
      </c>
      <c r="C2100" s="7">
        <v>13347</v>
      </c>
      <c r="D2100" s="7"/>
      <c r="E2100" s="7"/>
      <c r="F2100" s="7"/>
      <c r="G2100" s="34"/>
      <c r="H2100" s="35">
        <v>0</v>
      </c>
      <c r="I2100" s="38">
        <f t="shared" si="32"/>
        <v>13344.5</v>
      </c>
    </row>
    <row r="2101" spans="1:9" x14ac:dyDescent="0.2">
      <c r="A2101" s="33">
        <v>42205</v>
      </c>
      <c r="B2101" s="36">
        <v>13342</v>
      </c>
      <c r="C2101" s="7">
        <v>13347</v>
      </c>
      <c r="D2101" s="7"/>
      <c r="E2101" s="7"/>
      <c r="F2101" s="7"/>
      <c r="G2101" s="34"/>
      <c r="H2101" s="35">
        <v>0</v>
      </c>
      <c r="I2101" s="38">
        <f t="shared" si="32"/>
        <v>13344.5</v>
      </c>
    </row>
    <row r="2102" spans="1:9" x14ac:dyDescent="0.2">
      <c r="A2102" s="33">
        <v>42202</v>
      </c>
      <c r="B2102" s="36">
        <v>13342</v>
      </c>
      <c r="C2102" s="7">
        <v>13347</v>
      </c>
      <c r="D2102" s="7"/>
      <c r="E2102" s="7"/>
      <c r="F2102" s="7"/>
      <c r="G2102" s="34"/>
      <c r="H2102" s="35">
        <v>0</v>
      </c>
      <c r="I2102" s="38">
        <f t="shared" si="32"/>
        <v>13344.5</v>
      </c>
    </row>
    <row r="2103" spans="1:9" x14ac:dyDescent="0.2">
      <c r="A2103" s="33">
        <v>42201</v>
      </c>
      <c r="B2103" s="36">
        <v>13342</v>
      </c>
      <c r="C2103" s="7">
        <v>13347</v>
      </c>
      <c r="D2103" s="7"/>
      <c r="E2103" s="7"/>
      <c r="F2103" s="7"/>
      <c r="G2103" s="34"/>
      <c r="H2103" s="35">
        <v>0</v>
      </c>
      <c r="I2103" s="38">
        <f t="shared" si="32"/>
        <v>13344.5</v>
      </c>
    </row>
    <row r="2104" spans="1:9" x14ac:dyDescent="0.2">
      <c r="A2104" s="33">
        <v>42200</v>
      </c>
      <c r="B2104" s="36">
        <v>13342</v>
      </c>
      <c r="C2104" s="7">
        <v>13347</v>
      </c>
      <c r="D2104" s="7">
        <v>13342</v>
      </c>
      <c r="E2104" s="7">
        <v>13310</v>
      </c>
      <c r="F2104" s="7">
        <v>13320</v>
      </c>
      <c r="G2104" s="34">
        <v>106</v>
      </c>
      <c r="H2104" s="35">
        <v>12</v>
      </c>
      <c r="I2104" s="38">
        <f t="shared" si="32"/>
        <v>13344.5</v>
      </c>
    </row>
    <row r="2105" spans="1:9" x14ac:dyDescent="0.2">
      <c r="A2105" s="33">
        <v>42199</v>
      </c>
      <c r="B2105" s="36">
        <v>13330</v>
      </c>
      <c r="C2105" s="7">
        <v>13340</v>
      </c>
      <c r="D2105" s="7">
        <v>13345</v>
      </c>
      <c r="E2105" s="7">
        <v>13298</v>
      </c>
      <c r="F2105" s="7">
        <v>13300</v>
      </c>
      <c r="G2105" s="34">
        <v>182</v>
      </c>
      <c r="H2105" s="35">
        <v>34</v>
      </c>
      <c r="I2105" s="38">
        <f t="shared" si="32"/>
        <v>13335</v>
      </c>
    </row>
    <row r="2106" spans="1:9" x14ac:dyDescent="0.2">
      <c r="A2106" s="33">
        <v>42198</v>
      </c>
      <c r="B2106" s="36">
        <v>13296</v>
      </c>
      <c r="C2106" s="7">
        <v>13304</v>
      </c>
      <c r="D2106" s="7">
        <v>13313</v>
      </c>
      <c r="E2106" s="7">
        <v>13275</v>
      </c>
      <c r="F2106" s="7">
        <v>13312</v>
      </c>
      <c r="G2106" s="34">
        <v>176</v>
      </c>
      <c r="H2106" s="35">
        <v>-14</v>
      </c>
      <c r="I2106" s="38">
        <f t="shared" si="32"/>
        <v>13300</v>
      </c>
    </row>
    <row r="2107" spans="1:9" x14ac:dyDescent="0.2">
      <c r="A2107" s="33">
        <v>42195</v>
      </c>
      <c r="B2107" s="36">
        <v>13310</v>
      </c>
      <c r="C2107" s="7">
        <v>13317</v>
      </c>
      <c r="D2107" s="7">
        <v>13315</v>
      </c>
      <c r="E2107" s="7">
        <v>13290</v>
      </c>
      <c r="F2107" s="7">
        <v>13315</v>
      </c>
      <c r="G2107" s="34">
        <v>203</v>
      </c>
      <c r="H2107" s="35">
        <v>-22</v>
      </c>
      <c r="I2107" s="38">
        <f t="shared" si="32"/>
        <v>13313.5</v>
      </c>
    </row>
    <row r="2108" spans="1:9" x14ac:dyDescent="0.2">
      <c r="A2108" s="33">
        <v>42194</v>
      </c>
      <c r="B2108" s="36">
        <v>13332</v>
      </c>
      <c r="C2108" s="7">
        <v>13340</v>
      </c>
      <c r="D2108" s="7">
        <v>13355</v>
      </c>
      <c r="E2108" s="7">
        <v>13320</v>
      </c>
      <c r="F2108" s="7">
        <v>13350</v>
      </c>
      <c r="G2108" s="34">
        <v>226</v>
      </c>
      <c r="H2108" s="35">
        <v>-8</v>
      </c>
      <c r="I2108" s="38">
        <f t="shared" si="32"/>
        <v>13336</v>
      </c>
    </row>
    <row r="2109" spans="1:9" x14ac:dyDescent="0.2">
      <c r="A2109" s="33">
        <v>42193</v>
      </c>
      <c r="B2109" s="36">
        <v>13340</v>
      </c>
      <c r="C2109" s="7">
        <v>13350</v>
      </c>
      <c r="D2109" s="7">
        <v>13355</v>
      </c>
      <c r="E2109" s="7">
        <v>13315</v>
      </c>
      <c r="F2109" s="7">
        <v>13325</v>
      </c>
      <c r="G2109" s="34">
        <v>319</v>
      </c>
      <c r="H2109" s="35">
        <v>15</v>
      </c>
      <c r="I2109" s="38">
        <f t="shared" si="32"/>
        <v>13345</v>
      </c>
    </row>
    <row r="2110" spans="1:9" x14ac:dyDescent="0.2">
      <c r="A2110" s="33">
        <v>42192</v>
      </c>
      <c r="B2110" s="36">
        <v>13325</v>
      </c>
      <c r="C2110" s="7">
        <v>13330</v>
      </c>
      <c r="D2110" s="7">
        <v>13330</v>
      </c>
      <c r="E2110" s="7">
        <v>13285</v>
      </c>
      <c r="F2110" s="7">
        <v>13300</v>
      </c>
      <c r="G2110" s="34">
        <v>404</v>
      </c>
      <c r="H2110" s="35">
        <v>-23</v>
      </c>
      <c r="I2110" s="38">
        <f t="shared" si="32"/>
        <v>13327.5</v>
      </c>
    </row>
    <row r="2111" spans="1:9" x14ac:dyDescent="0.2">
      <c r="A2111" s="33">
        <v>42191</v>
      </c>
      <c r="B2111" s="36">
        <v>13348</v>
      </c>
      <c r="C2111" s="7">
        <v>13351</v>
      </c>
      <c r="D2111" s="7">
        <v>13360</v>
      </c>
      <c r="E2111" s="7">
        <v>13310</v>
      </c>
      <c r="F2111" s="7">
        <v>13340</v>
      </c>
      <c r="G2111" s="34">
        <v>238</v>
      </c>
      <c r="H2111" s="35">
        <v>30</v>
      </c>
      <c r="I2111" s="38">
        <f t="shared" si="32"/>
        <v>13349.5</v>
      </c>
    </row>
    <row r="2112" spans="1:9" x14ac:dyDescent="0.2">
      <c r="A2112" s="33">
        <v>42188</v>
      </c>
      <c r="B2112" s="36">
        <v>13318</v>
      </c>
      <c r="C2112" s="7">
        <v>13322</v>
      </c>
      <c r="D2112" s="7">
        <v>13325</v>
      </c>
      <c r="E2112" s="7">
        <v>13295</v>
      </c>
      <c r="F2112" s="7">
        <v>13295</v>
      </c>
      <c r="G2112" s="34">
        <v>330</v>
      </c>
      <c r="H2112" s="35">
        <v>-17</v>
      </c>
      <c r="I2112" s="38">
        <f t="shared" si="32"/>
        <v>13320</v>
      </c>
    </row>
    <row r="2113" spans="1:9" x14ac:dyDescent="0.2">
      <c r="A2113" s="33">
        <v>42187</v>
      </c>
      <c r="B2113" s="36">
        <v>13335</v>
      </c>
      <c r="C2113" s="7">
        <v>13340</v>
      </c>
      <c r="D2113" s="7">
        <v>13360</v>
      </c>
      <c r="E2113" s="7">
        <v>13322</v>
      </c>
      <c r="F2113" s="7">
        <v>13325</v>
      </c>
      <c r="G2113" s="34">
        <v>299</v>
      </c>
      <c r="H2113" s="35">
        <v>12</v>
      </c>
      <c r="I2113" s="38">
        <f t="shared" si="32"/>
        <v>13337.5</v>
      </c>
    </row>
    <row r="2114" spans="1:9" x14ac:dyDescent="0.2">
      <c r="A2114" s="33">
        <v>42186</v>
      </c>
      <c r="B2114" s="36">
        <v>13323</v>
      </c>
      <c r="C2114" s="7">
        <v>13329</v>
      </c>
      <c r="D2114" s="7">
        <v>13340</v>
      </c>
      <c r="E2114" s="7">
        <v>13300</v>
      </c>
      <c r="F2114" s="7">
        <v>13340</v>
      </c>
      <c r="G2114" s="34">
        <v>197</v>
      </c>
      <c r="H2114" s="35">
        <v>-7</v>
      </c>
      <c r="I2114" s="38">
        <f t="shared" si="32"/>
        <v>13326</v>
      </c>
    </row>
    <row r="2115" spans="1:9" x14ac:dyDescent="0.2">
      <c r="A2115" s="33">
        <v>42185</v>
      </c>
      <c r="B2115" s="36">
        <v>13330</v>
      </c>
      <c r="C2115" s="7">
        <v>13335</v>
      </c>
      <c r="D2115" s="7">
        <v>13335</v>
      </c>
      <c r="E2115" s="7">
        <v>13310</v>
      </c>
      <c r="F2115" s="7">
        <v>13322</v>
      </c>
      <c r="G2115" s="34">
        <v>207</v>
      </c>
      <c r="H2115" s="35">
        <v>-10</v>
      </c>
      <c r="I2115" s="38">
        <f t="shared" si="32"/>
        <v>13332.5</v>
      </c>
    </row>
    <row r="2116" spans="1:9" x14ac:dyDescent="0.2">
      <c r="A2116" s="33">
        <v>42184</v>
      </c>
      <c r="B2116" s="36">
        <v>13340</v>
      </c>
      <c r="C2116" s="7">
        <v>13350</v>
      </c>
      <c r="D2116" s="7">
        <v>13375</v>
      </c>
      <c r="E2116" s="7">
        <v>13325</v>
      </c>
      <c r="F2116" s="7">
        <v>13325</v>
      </c>
      <c r="G2116" s="34">
        <v>340</v>
      </c>
      <c r="H2116" s="35">
        <v>35</v>
      </c>
      <c r="I2116" s="38">
        <f t="shared" si="32"/>
        <v>13345</v>
      </c>
    </row>
    <row r="2117" spans="1:9" x14ac:dyDescent="0.2">
      <c r="A2117" s="33">
        <v>42181</v>
      </c>
      <c r="B2117" s="36">
        <v>13305</v>
      </c>
      <c r="C2117" s="7">
        <v>13315</v>
      </c>
      <c r="D2117" s="7">
        <v>13343</v>
      </c>
      <c r="E2117" s="7">
        <v>13295</v>
      </c>
      <c r="F2117" s="7">
        <v>13326</v>
      </c>
      <c r="G2117" s="34">
        <v>376</v>
      </c>
      <c r="H2117" s="35">
        <v>-20</v>
      </c>
      <c r="I2117" s="38">
        <f t="shared" si="32"/>
        <v>13310</v>
      </c>
    </row>
    <row r="2118" spans="1:9" x14ac:dyDescent="0.2">
      <c r="A2118" s="33">
        <v>42180</v>
      </c>
      <c r="B2118" s="36">
        <v>13325</v>
      </c>
      <c r="C2118" s="7">
        <v>13330</v>
      </c>
      <c r="D2118" s="7">
        <v>13330</v>
      </c>
      <c r="E2118" s="7">
        <v>13290</v>
      </c>
      <c r="F2118" s="7">
        <v>13290</v>
      </c>
      <c r="G2118" s="34">
        <v>352</v>
      </c>
      <c r="H2118" s="35">
        <v>25</v>
      </c>
      <c r="I2118" s="38">
        <f t="shared" si="32"/>
        <v>13327.5</v>
      </c>
    </row>
    <row r="2119" spans="1:9" x14ac:dyDescent="0.2">
      <c r="A2119" s="33">
        <v>42179</v>
      </c>
      <c r="B2119" s="36">
        <v>13300</v>
      </c>
      <c r="C2119" s="7">
        <v>13307</v>
      </c>
      <c r="D2119" s="7">
        <v>13305</v>
      </c>
      <c r="E2119" s="7">
        <v>13250</v>
      </c>
      <c r="F2119" s="7">
        <v>13250</v>
      </c>
      <c r="G2119" s="34">
        <v>368</v>
      </c>
      <c r="H2119" s="35">
        <v>50</v>
      </c>
      <c r="I2119" s="38">
        <f t="shared" si="32"/>
        <v>13303.5</v>
      </c>
    </row>
    <row r="2120" spans="1:9" x14ac:dyDescent="0.2">
      <c r="A2120" s="33">
        <v>42178</v>
      </c>
      <c r="B2120" s="36">
        <v>13250</v>
      </c>
      <c r="C2120" s="7">
        <v>13260</v>
      </c>
      <c r="D2120" s="7">
        <v>13320</v>
      </c>
      <c r="E2120" s="7">
        <v>13245</v>
      </c>
      <c r="F2120" s="7">
        <v>13300</v>
      </c>
      <c r="G2120" s="34">
        <v>587</v>
      </c>
      <c r="H2120" s="35">
        <v>-55</v>
      </c>
      <c r="I2120" s="38">
        <f t="shared" si="32"/>
        <v>13255</v>
      </c>
    </row>
    <row r="2121" spans="1:9" x14ac:dyDescent="0.2">
      <c r="A2121" s="33">
        <v>42177</v>
      </c>
      <c r="B2121" s="36">
        <v>13305</v>
      </c>
      <c r="C2121" s="7">
        <v>13315</v>
      </c>
      <c r="D2121" s="7">
        <v>13330</v>
      </c>
      <c r="E2121" s="7">
        <v>13300</v>
      </c>
      <c r="F2121" s="7">
        <v>13320</v>
      </c>
      <c r="G2121" s="34">
        <v>248</v>
      </c>
      <c r="H2121" s="35">
        <v>-25</v>
      </c>
      <c r="I2121" s="38">
        <f t="shared" si="32"/>
        <v>13310</v>
      </c>
    </row>
    <row r="2122" spans="1:9" x14ac:dyDescent="0.2">
      <c r="A2122" s="33">
        <v>42174</v>
      </c>
      <c r="B2122" s="36">
        <v>13330</v>
      </c>
      <c r="C2122" s="7">
        <v>13333</v>
      </c>
      <c r="D2122" s="7">
        <v>13333</v>
      </c>
      <c r="E2122" s="7">
        <v>13300</v>
      </c>
      <c r="F2122" s="7">
        <v>13305</v>
      </c>
      <c r="G2122" s="34">
        <v>309</v>
      </c>
      <c r="H2122" s="35">
        <v>28</v>
      </c>
      <c r="I2122" s="38">
        <f t="shared" si="32"/>
        <v>13331.5</v>
      </c>
    </row>
    <row r="2123" spans="1:9" x14ac:dyDescent="0.2">
      <c r="A2123" s="33">
        <v>42173</v>
      </c>
      <c r="B2123" s="36">
        <v>13302</v>
      </c>
      <c r="C2123" s="7">
        <v>13308</v>
      </c>
      <c r="D2123" s="7">
        <v>13345</v>
      </c>
      <c r="E2123" s="7">
        <v>13295</v>
      </c>
      <c r="F2123" s="7">
        <v>13335</v>
      </c>
      <c r="G2123" s="34">
        <v>442</v>
      </c>
      <c r="H2123" s="35">
        <v>-63</v>
      </c>
      <c r="I2123" s="38">
        <f t="shared" si="32"/>
        <v>13305</v>
      </c>
    </row>
    <row r="2124" spans="1:9" x14ac:dyDescent="0.2">
      <c r="A2124" s="33">
        <v>42172</v>
      </c>
      <c r="B2124" s="36">
        <v>13365</v>
      </c>
      <c r="C2124" s="7">
        <v>13370</v>
      </c>
      <c r="D2124" s="7">
        <v>13371</v>
      </c>
      <c r="E2124" s="7">
        <v>13345</v>
      </c>
      <c r="F2124" s="7">
        <v>13345</v>
      </c>
      <c r="G2124" s="34">
        <v>227</v>
      </c>
      <c r="H2124" s="35">
        <v>17</v>
      </c>
      <c r="I2124" s="38">
        <f t="shared" si="32"/>
        <v>13367.5</v>
      </c>
    </row>
    <row r="2125" spans="1:9" x14ac:dyDescent="0.2">
      <c r="A2125" s="33">
        <v>42171</v>
      </c>
      <c r="B2125" s="36">
        <v>13348</v>
      </c>
      <c r="C2125" s="7">
        <v>13358</v>
      </c>
      <c r="D2125" s="7">
        <v>13350</v>
      </c>
      <c r="E2125" s="7">
        <v>13320</v>
      </c>
      <c r="F2125" s="7">
        <v>13325</v>
      </c>
      <c r="G2125" s="34">
        <v>287</v>
      </c>
      <c r="H2125" s="35">
        <v>18</v>
      </c>
      <c r="I2125" s="38">
        <f t="shared" si="32"/>
        <v>13353</v>
      </c>
    </row>
    <row r="2126" spans="1:9" x14ac:dyDescent="0.2">
      <c r="A2126" s="33">
        <v>42170</v>
      </c>
      <c r="B2126" s="36">
        <v>13330</v>
      </c>
      <c r="C2126" s="7">
        <v>13340</v>
      </c>
      <c r="D2126" s="7">
        <v>13335</v>
      </c>
      <c r="E2126" s="7">
        <v>13310</v>
      </c>
      <c r="F2126" s="7">
        <v>13311</v>
      </c>
      <c r="G2126" s="34">
        <v>166</v>
      </c>
      <c r="H2126" s="35">
        <v>0</v>
      </c>
      <c r="I2126" s="38">
        <f t="shared" si="32"/>
        <v>13335</v>
      </c>
    </row>
    <row r="2127" spans="1:9" x14ac:dyDescent="0.2">
      <c r="A2127" s="33">
        <v>42167</v>
      </c>
      <c r="B2127" s="36">
        <v>13330</v>
      </c>
      <c r="C2127" s="7">
        <v>13335</v>
      </c>
      <c r="D2127" s="7">
        <v>13335</v>
      </c>
      <c r="E2127" s="7">
        <v>13300</v>
      </c>
      <c r="F2127" s="7">
        <v>13300</v>
      </c>
      <c r="G2127" s="34">
        <v>216</v>
      </c>
      <c r="H2127" s="35">
        <v>14</v>
      </c>
      <c r="I2127" s="38">
        <f t="shared" si="32"/>
        <v>13332.5</v>
      </c>
    </row>
    <row r="2128" spans="1:9" x14ac:dyDescent="0.2">
      <c r="A2128" s="33">
        <v>42166</v>
      </c>
      <c r="B2128" s="36">
        <v>13316</v>
      </c>
      <c r="C2128" s="7">
        <v>13325</v>
      </c>
      <c r="D2128" s="7">
        <v>13321</v>
      </c>
      <c r="E2128" s="7">
        <v>13250</v>
      </c>
      <c r="F2128" s="7">
        <v>13260</v>
      </c>
      <c r="G2128" s="34">
        <v>283</v>
      </c>
      <c r="H2128" s="35">
        <v>6</v>
      </c>
      <c r="I2128" s="38">
        <f t="shared" si="32"/>
        <v>13320.5</v>
      </c>
    </row>
    <row r="2129" spans="1:9" x14ac:dyDescent="0.2">
      <c r="A2129" s="33">
        <v>42165</v>
      </c>
      <c r="B2129" s="36">
        <v>13310</v>
      </c>
      <c r="C2129" s="7">
        <v>13315</v>
      </c>
      <c r="D2129" s="7">
        <v>13337</v>
      </c>
      <c r="E2129" s="7">
        <v>13285</v>
      </c>
      <c r="F2129" s="7">
        <v>13305</v>
      </c>
      <c r="G2129" s="34">
        <v>313</v>
      </c>
      <c r="H2129" s="35">
        <v>10</v>
      </c>
      <c r="I2129" s="38">
        <f t="shared" si="32"/>
        <v>13312.5</v>
      </c>
    </row>
    <row r="2130" spans="1:9" x14ac:dyDescent="0.2">
      <c r="A2130" s="33">
        <v>42164</v>
      </c>
      <c r="B2130" s="36">
        <v>13300</v>
      </c>
      <c r="C2130" s="7">
        <v>13305</v>
      </c>
      <c r="D2130" s="7">
        <v>13384</v>
      </c>
      <c r="E2130" s="7">
        <v>13294</v>
      </c>
      <c r="F2130" s="7">
        <v>13330</v>
      </c>
      <c r="G2130" s="34">
        <v>581</v>
      </c>
      <c r="H2130" s="35">
        <v>-74</v>
      </c>
      <c r="I2130" s="38">
        <f t="shared" si="32"/>
        <v>13302.5</v>
      </c>
    </row>
    <row r="2131" spans="1:9" x14ac:dyDescent="0.2">
      <c r="A2131" s="33">
        <v>42163</v>
      </c>
      <c r="B2131" s="36">
        <v>13374</v>
      </c>
      <c r="C2131" s="7">
        <v>13385</v>
      </c>
      <c r="D2131" s="7">
        <v>13380</v>
      </c>
      <c r="E2131" s="7">
        <v>13330</v>
      </c>
      <c r="F2131" s="7">
        <v>13330</v>
      </c>
      <c r="G2131" s="34">
        <v>575</v>
      </c>
      <c r="H2131" s="35">
        <v>103</v>
      </c>
      <c r="I2131" s="38">
        <f t="shared" si="32"/>
        <v>13379.5</v>
      </c>
    </row>
    <row r="2132" spans="1:9" x14ac:dyDescent="0.2">
      <c r="A2132" s="33">
        <v>42160</v>
      </c>
      <c r="B2132" s="36">
        <v>13271</v>
      </c>
      <c r="C2132" s="7">
        <v>13280</v>
      </c>
      <c r="D2132" s="7">
        <v>13295</v>
      </c>
      <c r="E2132" s="7">
        <v>13270</v>
      </c>
      <c r="F2132" s="7">
        <v>13290</v>
      </c>
      <c r="G2132" s="34">
        <v>694</v>
      </c>
      <c r="H2132" s="35">
        <v>-8</v>
      </c>
      <c r="I2132" s="38">
        <f t="shared" si="32"/>
        <v>13275.5</v>
      </c>
    </row>
    <row r="2133" spans="1:9" x14ac:dyDescent="0.2">
      <c r="A2133" s="33">
        <v>42159</v>
      </c>
      <c r="B2133" s="36">
        <v>13279</v>
      </c>
      <c r="C2133" s="7">
        <v>13285</v>
      </c>
      <c r="D2133" s="7">
        <v>13290</v>
      </c>
      <c r="E2133" s="7">
        <v>13210</v>
      </c>
      <c r="F2133" s="7">
        <v>13210</v>
      </c>
      <c r="G2133" s="34">
        <v>873</v>
      </c>
      <c r="H2133" s="35">
        <v>59</v>
      </c>
      <c r="I2133" s="38">
        <f t="shared" si="32"/>
        <v>13282</v>
      </c>
    </row>
    <row r="2134" spans="1:9" x14ac:dyDescent="0.2">
      <c r="A2134" s="33">
        <v>42158</v>
      </c>
      <c r="B2134" s="36">
        <v>13220</v>
      </c>
      <c r="C2134" s="7">
        <v>13222</v>
      </c>
      <c r="D2134" s="7">
        <v>13220</v>
      </c>
      <c r="E2134" s="7">
        <v>13189</v>
      </c>
      <c r="F2134" s="7">
        <v>13190</v>
      </c>
      <c r="G2134" s="34">
        <v>268</v>
      </c>
      <c r="H2134" s="35">
        <v>0</v>
      </c>
      <c r="I2134" s="38">
        <f t="shared" si="32"/>
        <v>13221</v>
      </c>
    </row>
    <row r="2135" spans="1:9" x14ac:dyDescent="0.2">
      <c r="A2135" s="33">
        <v>42157</v>
      </c>
      <c r="B2135" s="36">
        <v>13220</v>
      </c>
      <c r="C2135" s="7">
        <v>13225</v>
      </c>
      <c r="D2135" s="7"/>
      <c r="E2135" s="7"/>
      <c r="F2135" s="7"/>
      <c r="G2135" s="34"/>
      <c r="H2135" s="35">
        <v>0</v>
      </c>
      <c r="I2135" s="38">
        <f t="shared" si="32"/>
        <v>13222.5</v>
      </c>
    </row>
    <row r="2136" spans="1:9" x14ac:dyDescent="0.2">
      <c r="A2136" s="33">
        <v>42156</v>
      </c>
      <c r="B2136" s="36">
        <v>13220</v>
      </c>
      <c r="C2136" s="7">
        <v>13225</v>
      </c>
      <c r="D2136" s="7">
        <v>13235</v>
      </c>
      <c r="E2136" s="7">
        <v>13200</v>
      </c>
      <c r="F2136" s="7">
        <v>13200</v>
      </c>
      <c r="G2136" s="34">
        <v>241</v>
      </c>
      <c r="H2136" s="35">
        <v>-3</v>
      </c>
      <c r="I2136" s="38">
        <f t="shared" si="32"/>
        <v>13222.5</v>
      </c>
    </row>
    <row r="2137" spans="1:9" x14ac:dyDescent="0.2">
      <c r="A2137" s="33">
        <v>42153</v>
      </c>
      <c r="B2137" s="36">
        <v>13223</v>
      </c>
      <c r="C2137" s="7">
        <v>13225</v>
      </c>
      <c r="D2137" s="7">
        <v>13225</v>
      </c>
      <c r="E2137" s="7">
        <v>13190</v>
      </c>
      <c r="F2137" s="7">
        <v>13190</v>
      </c>
      <c r="G2137" s="34">
        <v>340</v>
      </c>
      <c r="H2137" s="35">
        <v>3</v>
      </c>
      <c r="I2137" s="38">
        <f t="shared" si="32"/>
        <v>13224</v>
      </c>
    </row>
    <row r="2138" spans="1:9" x14ac:dyDescent="0.2">
      <c r="A2138" s="33">
        <v>42152</v>
      </c>
      <c r="B2138" s="36">
        <v>13220</v>
      </c>
      <c r="C2138" s="7">
        <v>13223</v>
      </c>
      <c r="D2138" s="7">
        <v>13224</v>
      </c>
      <c r="E2138" s="7">
        <v>13180</v>
      </c>
      <c r="F2138" s="7">
        <v>13180</v>
      </c>
      <c r="G2138" s="34">
        <v>490</v>
      </c>
      <c r="H2138" s="35">
        <v>23</v>
      </c>
      <c r="I2138" s="38">
        <f t="shared" si="32"/>
        <v>13221.5</v>
      </c>
    </row>
    <row r="2139" spans="1:9" x14ac:dyDescent="0.2">
      <c r="A2139" s="33">
        <v>42151</v>
      </c>
      <c r="B2139" s="36">
        <v>13197</v>
      </c>
      <c r="C2139" s="7">
        <v>13207</v>
      </c>
      <c r="D2139" s="7">
        <v>13236</v>
      </c>
      <c r="E2139" s="7">
        <v>13190</v>
      </c>
      <c r="F2139" s="7">
        <v>13210</v>
      </c>
      <c r="G2139" s="34">
        <v>379</v>
      </c>
      <c r="H2139" s="35">
        <v>-8</v>
      </c>
      <c r="I2139" s="38">
        <f t="shared" si="32"/>
        <v>13202</v>
      </c>
    </row>
    <row r="2140" spans="1:9" x14ac:dyDescent="0.2">
      <c r="A2140" s="33">
        <v>42150</v>
      </c>
      <c r="B2140" s="36">
        <v>13205</v>
      </c>
      <c r="C2140" s="7">
        <v>13215</v>
      </c>
      <c r="D2140" s="7">
        <v>13215</v>
      </c>
      <c r="E2140" s="7">
        <v>13170</v>
      </c>
      <c r="F2140" s="7">
        <v>13170</v>
      </c>
      <c r="G2140" s="34">
        <v>336</v>
      </c>
      <c r="H2140" s="35">
        <v>22</v>
      </c>
      <c r="I2140" s="38">
        <f t="shared" si="32"/>
        <v>13210</v>
      </c>
    </row>
    <row r="2141" spans="1:9" x14ac:dyDescent="0.2">
      <c r="A2141" s="33">
        <v>42149</v>
      </c>
      <c r="B2141" s="36">
        <v>13183</v>
      </c>
      <c r="C2141" s="7">
        <v>13190</v>
      </c>
      <c r="D2141" s="7">
        <v>13190</v>
      </c>
      <c r="E2141" s="7">
        <v>13165</v>
      </c>
      <c r="F2141" s="7">
        <v>13185</v>
      </c>
      <c r="G2141" s="34">
        <v>568</v>
      </c>
      <c r="H2141" s="35">
        <v>33</v>
      </c>
      <c r="I2141" s="38">
        <f t="shared" si="32"/>
        <v>13186.5</v>
      </c>
    </row>
    <row r="2142" spans="1:9" x14ac:dyDescent="0.2">
      <c r="A2142" s="33">
        <v>42146</v>
      </c>
      <c r="B2142" s="36">
        <v>13150</v>
      </c>
      <c r="C2142" s="7">
        <v>13160</v>
      </c>
      <c r="D2142" s="7">
        <v>13166</v>
      </c>
      <c r="E2142" s="7">
        <v>13100</v>
      </c>
      <c r="F2142" s="7">
        <v>13100</v>
      </c>
      <c r="G2142" s="34">
        <v>418</v>
      </c>
      <c r="H2142" s="35">
        <v>26</v>
      </c>
      <c r="I2142" s="38">
        <f t="shared" si="32"/>
        <v>13155</v>
      </c>
    </row>
    <row r="2143" spans="1:9" x14ac:dyDescent="0.2">
      <c r="A2143" s="33">
        <v>42145</v>
      </c>
      <c r="B2143" s="36">
        <v>13124</v>
      </c>
      <c r="C2143" s="7">
        <v>13135</v>
      </c>
      <c r="D2143" s="7">
        <v>13168</v>
      </c>
      <c r="E2143" s="7">
        <v>13100</v>
      </c>
      <c r="F2143" s="7">
        <v>13122</v>
      </c>
      <c r="G2143" s="34">
        <v>397</v>
      </c>
      <c r="H2143" s="35">
        <v>-46</v>
      </c>
      <c r="I2143" s="38">
        <f t="shared" si="32"/>
        <v>13129.5</v>
      </c>
    </row>
    <row r="2144" spans="1:9" x14ac:dyDescent="0.2">
      <c r="A2144" s="33">
        <v>42144</v>
      </c>
      <c r="B2144" s="36">
        <v>13170</v>
      </c>
      <c r="C2144" s="7">
        <v>13180</v>
      </c>
      <c r="D2144" s="7">
        <v>13180</v>
      </c>
      <c r="E2144" s="7">
        <v>13140</v>
      </c>
      <c r="F2144" s="7">
        <v>13140</v>
      </c>
      <c r="G2144" s="34">
        <v>362</v>
      </c>
      <c r="H2144" s="35">
        <v>59</v>
      </c>
      <c r="I2144" s="38">
        <f t="shared" ref="I2144:I2207" si="33">+(B2144+C2144)*0.5</f>
        <v>13175</v>
      </c>
    </row>
    <row r="2145" spans="1:9" x14ac:dyDescent="0.2">
      <c r="A2145" s="33">
        <v>42143</v>
      </c>
      <c r="B2145" s="36">
        <v>13111</v>
      </c>
      <c r="C2145" s="7">
        <v>13120</v>
      </c>
      <c r="D2145" s="7">
        <v>13185</v>
      </c>
      <c r="E2145" s="7">
        <v>13100</v>
      </c>
      <c r="F2145" s="7">
        <v>13155</v>
      </c>
      <c r="G2145" s="34">
        <v>370</v>
      </c>
      <c r="H2145" s="35">
        <v>-21</v>
      </c>
      <c r="I2145" s="38">
        <f t="shared" si="33"/>
        <v>13115.5</v>
      </c>
    </row>
    <row r="2146" spans="1:9" x14ac:dyDescent="0.2">
      <c r="A2146" s="33">
        <v>42142</v>
      </c>
      <c r="B2146" s="36">
        <v>13132</v>
      </c>
      <c r="C2146" s="7">
        <v>13142</v>
      </c>
      <c r="D2146" s="7">
        <v>13140</v>
      </c>
      <c r="E2146" s="7">
        <v>13080</v>
      </c>
      <c r="F2146" s="7">
        <v>13080</v>
      </c>
      <c r="G2146" s="34">
        <v>301</v>
      </c>
      <c r="H2146" s="35">
        <v>43</v>
      </c>
      <c r="I2146" s="38">
        <f t="shared" si="33"/>
        <v>13137</v>
      </c>
    </row>
    <row r="2147" spans="1:9" x14ac:dyDescent="0.2">
      <c r="A2147" s="33">
        <v>42139</v>
      </c>
      <c r="B2147" s="36">
        <v>13089</v>
      </c>
      <c r="C2147" s="7">
        <v>13093</v>
      </c>
      <c r="D2147" s="7">
        <v>13100</v>
      </c>
      <c r="E2147" s="7">
        <v>13050</v>
      </c>
      <c r="F2147" s="7">
        <v>13050</v>
      </c>
      <c r="G2147" s="34">
        <v>325</v>
      </c>
      <c r="H2147" s="35">
        <v>-46</v>
      </c>
      <c r="I2147" s="38">
        <f t="shared" si="33"/>
        <v>13091</v>
      </c>
    </row>
    <row r="2148" spans="1:9" x14ac:dyDescent="0.2">
      <c r="A2148" s="33">
        <v>42138</v>
      </c>
      <c r="B2148" s="36">
        <v>13135</v>
      </c>
      <c r="C2148" s="7">
        <v>13140</v>
      </c>
      <c r="D2148" s="7"/>
      <c r="E2148" s="7"/>
      <c r="F2148" s="7"/>
      <c r="G2148" s="34"/>
      <c r="H2148" s="35">
        <v>0</v>
      </c>
      <c r="I2148" s="38">
        <f t="shared" si="33"/>
        <v>13137.5</v>
      </c>
    </row>
    <row r="2149" spans="1:9" x14ac:dyDescent="0.2">
      <c r="A2149" s="33">
        <v>42137</v>
      </c>
      <c r="B2149" s="36">
        <v>13135</v>
      </c>
      <c r="C2149" s="7">
        <v>13140</v>
      </c>
      <c r="D2149" s="7">
        <v>13195</v>
      </c>
      <c r="E2149" s="7">
        <v>13125</v>
      </c>
      <c r="F2149" s="7">
        <v>13155</v>
      </c>
      <c r="G2149" s="34">
        <v>382</v>
      </c>
      <c r="H2149" s="35">
        <v>-62</v>
      </c>
      <c r="I2149" s="38">
        <f t="shared" si="33"/>
        <v>13137.5</v>
      </c>
    </row>
    <row r="2150" spans="1:9" x14ac:dyDescent="0.2">
      <c r="A2150" s="33">
        <v>42136</v>
      </c>
      <c r="B2150" s="36">
        <v>13197</v>
      </c>
      <c r="C2150" s="7">
        <v>13199</v>
      </c>
      <c r="D2150" s="7">
        <v>13212</v>
      </c>
      <c r="E2150" s="7">
        <v>13165</v>
      </c>
      <c r="F2150" s="7">
        <v>13165</v>
      </c>
      <c r="G2150" s="34">
        <v>359</v>
      </c>
      <c r="H2150" s="35">
        <v>47</v>
      </c>
      <c r="I2150" s="38">
        <f t="shared" si="33"/>
        <v>13198</v>
      </c>
    </row>
    <row r="2151" spans="1:9" x14ac:dyDescent="0.2">
      <c r="A2151" s="33">
        <v>42135</v>
      </c>
      <c r="B2151" s="36">
        <v>13150</v>
      </c>
      <c r="C2151" s="7">
        <v>13160</v>
      </c>
      <c r="D2151" s="7">
        <v>13160</v>
      </c>
      <c r="E2151" s="7">
        <v>13105</v>
      </c>
      <c r="F2151" s="7">
        <v>13110</v>
      </c>
      <c r="G2151" s="34">
        <v>273</v>
      </c>
      <c r="H2151" s="35">
        <v>25</v>
      </c>
      <c r="I2151" s="38">
        <f t="shared" si="33"/>
        <v>13155</v>
      </c>
    </row>
    <row r="2152" spans="1:9" x14ac:dyDescent="0.2">
      <c r="A2152" s="33">
        <v>42132</v>
      </c>
      <c r="B2152" s="36">
        <v>13125</v>
      </c>
      <c r="C2152" s="7">
        <v>13130</v>
      </c>
      <c r="D2152" s="7">
        <v>13190</v>
      </c>
      <c r="E2152" s="7">
        <v>13090</v>
      </c>
      <c r="F2152" s="7">
        <v>13120</v>
      </c>
      <c r="G2152" s="34">
        <v>327</v>
      </c>
      <c r="H2152" s="35">
        <v>-15</v>
      </c>
      <c r="I2152" s="38">
        <f t="shared" si="33"/>
        <v>13127.5</v>
      </c>
    </row>
    <row r="2153" spans="1:9" x14ac:dyDescent="0.2">
      <c r="A2153" s="33">
        <v>42131</v>
      </c>
      <c r="B2153" s="36">
        <v>13140</v>
      </c>
      <c r="C2153" s="7">
        <v>13150</v>
      </c>
      <c r="D2153" s="7">
        <v>13146</v>
      </c>
      <c r="E2153" s="7">
        <v>13020</v>
      </c>
      <c r="F2153" s="7">
        <v>13030</v>
      </c>
      <c r="G2153" s="34">
        <v>507</v>
      </c>
      <c r="H2153" s="35">
        <v>110</v>
      </c>
      <c r="I2153" s="38">
        <f t="shared" si="33"/>
        <v>13145</v>
      </c>
    </row>
    <row r="2154" spans="1:9" x14ac:dyDescent="0.2">
      <c r="A2154" s="33">
        <v>42130</v>
      </c>
      <c r="B2154" s="36">
        <v>13030</v>
      </c>
      <c r="C2154" s="7">
        <v>13040</v>
      </c>
      <c r="D2154" s="7">
        <v>13045</v>
      </c>
      <c r="E2154" s="7">
        <v>13000</v>
      </c>
      <c r="F2154" s="7">
        <v>13025</v>
      </c>
      <c r="G2154" s="34">
        <v>385</v>
      </c>
      <c r="H2154" s="35">
        <v>-15</v>
      </c>
      <c r="I2154" s="38">
        <f t="shared" si="33"/>
        <v>13035</v>
      </c>
    </row>
    <row r="2155" spans="1:9" x14ac:dyDescent="0.2">
      <c r="A2155" s="33">
        <v>42129</v>
      </c>
      <c r="B2155" s="36">
        <v>13045</v>
      </c>
      <c r="C2155" s="7">
        <v>13050</v>
      </c>
      <c r="D2155" s="7">
        <v>13045</v>
      </c>
      <c r="E2155" s="7">
        <v>12983</v>
      </c>
      <c r="F2155" s="7">
        <v>12990</v>
      </c>
      <c r="G2155" s="34">
        <v>371</v>
      </c>
      <c r="H2155" s="35">
        <v>70</v>
      </c>
      <c r="I2155" s="38">
        <f t="shared" si="33"/>
        <v>13047.5</v>
      </c>
    </row>
    <row r="2156" spans="1:9" x14ac:dyDescent="0.2">
      <c r="A2156" s="33">
        <v>42128</v>
      </c>
      <c r="B2156" s="36">
        <v>12975</v>
      </c>
      <c r="C2156" s="7">
        <v>12985</v>
      </c>
      <c r="D2156" s="7">
        <v>13025</v>
      </c>
      <c r="E2156" s="7">
        <v>12969</v>
      </c>
      <c r="F2156" s="7">
        <v>12970</v>
      </c>
      <c r="G2156" s="34">
        <v>280</v>
      </c>
      <c r="H2156" s="35">
        <v>15</v>
      </c>
      <c r="I2156" s="38">
        <f t="shared" si="33"/>
        <v>12980</v>
      </c>
    </row>
    <row r="2157" spans="1:9" x14ac:dyDescent="0.2">
      <c r="A2157" s="33">
        <v>42125</v>
      </c>
      <c r="B2157" s="36">
        <v>12960</v>
      </c>
      <c r="C2157" s="7">
        <v>12965</v>
      </c>
      <c r="D2157" s="7"/>
      <c r="E2157" s="7"/>
      <c r="F2157" s="7"/>
      <c r="G2157" s="34"/>
      <c r="H2157" s="35">
        <v>0</v>
      </c>
      <c r="I2157" s="38">
        <f t="shared" si="33"/>
        <v>12962.5</v>
      </c>
    </row>
    <row r="2158" spans="1:9" x14ac:dyDescent="0.2">
      <c r="A2158" s="33">
        <v>42124</v>
      </c>
      <c r="B2158" s="36">
        <v>12960</v>
      </c>
      <c r="C2158" s="7">
        <v>12965</v>
      </c>
      <c r="D2158" s="7">
        <v>12960</v>
      </c>
      <c r="E2158" s="7">
        <v>12910</v>
      </c>
      <c r="F2158" s="7">
        <v>12922</v>
      </c>
      <c r="G2158" s="34">
        <v>328</v>
      </c>
      <c r="H2158" s="35">
        <v>25</v>
      </c>
      <c r="I2158" s="38">
        <f t="shared" si="33"/>
        <v>12962.5</v>
      </c>
    </row>
    <row r="2159" spans="1:9" x14ac:dyDescent="0.2">
      <c r="A2159" s="33">
        <v>42123</v>
      </c>
      <c r="B2159" s="36">
        <v>12935</v>
      </c>
      <c r="C2159" s="7">
        <v>12945</v>
      </c>
      <c r="D2159" s="7">
        <v>12973</v>
      </c>
      <c r="E2159" s="7">
        <v>12930</v>
      </c>
      <c r="F2159" s="7">
        <v>12930</v>
      </c>
      <c r="G2159" s="34">
        <v>350</v>
      </c>
      <c r="H2159" s="35">
        <v>-40</v>
      </c>
      <c r="I2159" s="38">
        <f t="shared" si="33"/>
        <v>12940</v>
      </c>
    </row>
    <row r="2160" spans="1:9" x14ac:dyDescent="0.2">
      <c r="A2160" s="33">
        <v>42122</v>
      </c>
      <c r="B2160" s="36">
        <v>12975</v>
      </c>
      <c r="C2160" s="7">
        <v>12985</v>
      </c>
      <c r="D2160" s="7">
        <v>12990</v>
      </c>
      <c r="E2160" s="7">
        <v>12940</v>
      </c>
      <c r="F2160" s="7">
        <v>12940</v>
      </c>
      <c r="G2160" s="34">
        <v>409</v>
      </c>
      <c r="H2160" s="35">
        <v>0</v>
      </c>
      <c r="I2160" s="38">
        <f t="shared" si="33"/>
        <v>12980</v>
      </c>
    </row>
    <row r="2161" spans="1:9" x14ac:dyDescent="0.2">
      <c r="A2161" s="33">
        <v>42121</v>
      </c>
      <c r="B2161" s="36">
        <v>12975</v>
      </c>
      <c r="C2161" s="7">
        <v>12985</v>
      </c>
      <c r="D2161" s="7">
        <v>12980</v>
      </c>
      <c r="E2161" s="7">
        <v>12910</v>
      </c>
      <c r="F2161" s="7">
        <v>12925</v>
      </c>
      <c r="G2161" s="34">
        <v>480</v>
      </c>
      <c r="H2161" s="35">
        <v>60</v>
      </c>
      <c r="I2161" s="38">
        <f t="shared" si="33"/>
        <v>12980</v>
      </c>
    </row>
    <row r="2162" spans="1:9" x14ac:dyDescent="0.2">
      <c r="A2162" s="33">
        <v>42118</v>
      </c>
      <c r="B2162" s="36">
        <v>12915</v>
      </c>
      <c r="C2162" s="7">
        <v>12924</v>
      </c>
      <c r="D2162" s="7">
        <v>12944</v>
      </c>
      <c r="E2162" s="7">
        <v>12905</v>
      </c>
      <c r="F2162" s="7">
        <v>12920</v>
      </c>
      <c r="G2162" s="34">
        <v>347</v>
      </c>
      <c r="H2162" s="35">
        <v>-35</v>
      </c>
      <c r="I2162" s="38">
        <f t="shared" si="33"/>
        <v>12919.5</v>
      </c>
    </row>
    <row r="2163" spans="1:9" x14ac:dyDescent="0.2">
      <c r="A2163" s="33">
        <v>42117</v>
      </c>
      <c r="B2163" s="36">
        <v>12950</v>
      </c>
      <c r="C2163" s="7">
        <v>12960</v>
      </c>
      <c r="D2163" s="7">
        <v>12956</v>
      </c>
      <c r="E2163" s="7">
        <v>12914</v>
      </c>
      <c r="F2163" s="7">
        <v>12915</v>
      </c>
      <c r="G2163" s="34">
        <v>332</v>
      </c>
      <c r="H2163" s="35">
        <v>55</v>
      </c>
      <c r="I2163" s="38">
        <f t="shared" si="33"/>
        <v>12955</v>
      </c>
    </row>
    <row r="2164" spans="1:9" x14ac:dyDescent="0.2">
      <c r="A2164" s="33">
        <v>42116</v>
      </c>
      <c r="B2164" s="36">
        <v>12895</v>
      </c>
      <c r="C2164" s="7">
        <v>12905</v>
      </c>
      <c r="D2164" s="7">
        <v>12960</v>
      </c>
      <c r="E2164" s="7">
        <v>12880</v>
      </c>
      <c r="F2164" s="7">
        <v>12920</v>
      </c>
      <c r="G2164" s="34">
        <v>337</v>
      </c>
      <c r="H2164" s="35">
        <v>-60</v>
      </c>
      <c r="I2164" s="38">
        <f t="shared" si="33"/>
        <v>12900</v>
      </c>
    </row>
    <row r="2165" spans="1:9" x14ac:dyDescent="0.2">
      <c r="A2165" s="33">
        <v>42115</v>
      </c>
      <c r="B2165" s="36">
        <v>12955</v>
      </c>
      <c r="C2165" s="7">
        <v>12960</v>
      </c>
      <c r="D2165" s="7">
        <v>12970</v>
      </c>
      <c r="E2165" s="7">
        <v>12915</v>
      </c>
      <c r="F2165" s="7">
        <v>12935</v>
      </c>
      <c r="G2165" s="34">
        <v>449</v>
      </c>
      <c r="H2165" s="35">
        <v>70</v>
      </c>
      <c r="I2165" s="38">
        <f t="shared" si="33"/>
        <v>12957.5</v>
      </c>
    </row>
    <row r="2166" spans="1:9" x14ac:dyDescent="0.2">
      <c r="A2166" s="33">
        <v>42114</v>
      </c>
      <c r="B2166" s="36">
        <v>12885</v>
      </c>
      <c r="C2166" s="7">
        <v>12895</v>
      </c>
      <c r="D2166" s="7">
        <v>12895</v>
      </c>
      <c r="E2166" s="7">
        <v>12847</v>
      </c>
      <c r="F2166" s="7">
        <v>12850</v>
      </c>
      <c r="G2166" s="34">
        <v>362</v>
      </c>
      <c r="H2166" s="35">
        <v>40</v>
      </c>
      <c r="I2166" s="38">
        <f t="shared" si="33"/>
        <v>12890</v>
      </c>
    </row>
    <row r="2167" spans="1:9" x14ac:dyDescent="0.2">
      <c r="A2167" s="33">
        <v>42111</v>
      </c>
      <c r="B2167" s="36">
        <v>12845</v>
      </c>
      <c r="C2167" s="7">
        <v>12855</v>
      </c>
      <c r="D2167" s="7">
        <v>12870</v>
      </c>
      <c r="E2167" s="7">
        <v>12830</v>
      </c>
      <c r="F2167" s="7">
        <v>12833</v>
      </c>
      <c r="G2167" s="34">
        <v>331</v>
      </c>
      <c r="H2167" s="35">
        <v>-7</v>
      </c>
      <c r="I2167" s="38">
        <f t="shared" si="33"/>
        <v>12850</v>
      </c>
    </row>
    <row r="2168" spans="1:9" x14ac:dyDescent="0.2">
      <c r="A2168" s="33">
        <v>42110</v>
      </c>
      <c r="B2168" s="36">
        <v>12852</v>
      </c>
      <c r="C2168" s="7">
        <v>12860</v>
      </c>
      <c r="D2168" s="7">
        <v>12870</v>
      </c>
      <c r="E2168" s="7">
        <v>12800</v>
      </c>
      <c r="F2168" s="7">
        <v>12865</v>
      </c>
      <c r="G2168" s="34">
        <v>500</v>
      </c>
      <c r="H2168" s="35">
        <v>-44</v>
      </c>
      <c r="I2168" s="38">
        <f t="shared" si="33"/>
        <v>12856</v>
      </c>
    </row>
    <row r="2169" spans="1:9" x14ac:dyDescent="0.2">
      <c r="A2169" s="33">
        <v>42109</v>
      </c>
      <c r="B2169" s="36">
        <v>12896</v>
      </c>
      <c r="C2169" s="7">
        <v>12905</v>
      </c>
      <c r="D2169" s="7">
        <v>12983</v>
      </c>
      <c r="E2169" s="7">
        <v>12880</v>
      </c>
      <c r="F2169" s="7">
        <v>12955</v>
      </c>
      <c r="G2169" s="34">
        <v>655</v>
      </c>
      <c r="H2169" s="35">
        <v>-80</v>
      </c>
      <c r="I2169" s="38">
        <f t="shared" si="33"/>
        <v>12900.5</v>
      </c>
    </row>
    <row r="2170" spans="1:9" x14ac:dyDescent="0.2">
      <c r="A2170" s="33">
        <v>42108</v>
      </c>
      <c r="B2170" s="36">
        <v>12976</v>
      </c>
      <c r="C2170" s="7">
        <v>12985</v>
      </c>
      <c r="D2170" s="7">
        <v>12988</v>
      </c>
      <c r="E2170" s="7">
        <v>12960</v>
      </c>
      <c r="F2170" s="7">
        <v>12969</v>
      </c>
      <c r="G2170" s="34">
        <v>604</v>
      </c>
      <c r="H2170" s="35">
        <v>-4</v>
      </c>
      <c r="I2170" s="38">
        <f t="shared" si="33"/>
        <v>12980.5</v>
      </c>
    </row>
    <row r="2171" spans="1:9" x14ac:dyDescent="0.2">
      <c r="A2171" s="33">
        <v>42107</v>
      </c>
      <c r="B2171" s="36">
        <v>12980</v>
      </c>
      <c r="C2171" s="7">
        <v>12990</v>
      </c>
      <c r="D2171" s="7">
        <v>12985</v>
      </c>
      <c r="E2171" s="7">
        <v>12900</v>
      </c>
      <c r="F2171" s="7">
        <v>12900</v>
      </c>
      <c r="G2171" s="34">
        <v>493</v>
      </c>
      <c r="H2171" s="35">
        <v>70</v>
      </c>
      <c r="I2171" s="38">
        <f t="shared" si="33"/>
        <v>12985</v>
      </c>
    </row>
    <row r="2172" spans="1:9" x14ac:dyDescent="0.2">
      <c r="A2172" s="33">
        <v>42104</v>
      </c>
      <c r="B2172" s="36">
        <v>12910</v>
      </c>
      <c r="C2172" s="7">
        <v>12920</v>
      </c>
      <c r="D2172" s="7">
        <v>12930</v>
      </c>
      <c r="E2172" s="7">
        <v>12875</v>
      </c>
      <c r="F2172" s="7">
        <v>12905</v>
      </c>
      <c r="G2172" s="34">
        <v>645</v>
      </c>
      <c r="H2172" s="35">
        <v>14</v>
      </c>
      <c r="I2172" s="38">
        <f t="shared" si="33"/>
        <v>12915</v>
      </c>
    </row>
    <row r="2173" spans="1:9" x14ac:dyDescent="0.2">
      <c r="A2173" s="33">
        <v>42103</v>
      </c>
      <c r="B2173" s="36">
        <v>12896</v>
      </c>
      <c r="C2173" s="7">
        <v>12900</v>
      </c>
      <c r="D2173" s="7">
        <v>12980</v>
      </c>
      <c r="E2173" s="7">
        <v>12890</v>
      </c>
      <c r="F2173" s="7">
        <v>12960</v>
      </c>
      <c r="G2173" s="34">
        <v>688</v>
      </c>
      <c r="H2173" s="35">
        <v>-54</v>
      </c>
      <c r="I2173" s="38">
        <f t="shared" si="33"/>
        <v>12898</v>
      </c>
    </row>
    <row r="2174" spans="1:9" x14ac:dyDescent="0.2">
      <c r="A2174" s="33">
        <v>42102</v>
      </c>
      <c r="B2174" s="36">
        <v>12950</v>
      </c>
      <c r="C2174" s="7">
        <v>12960</v>
      </c>
      <c r="D2174" s="7">
        <v>13005</v>
      </c>
      <c r="E2174" s="7">
        <v>12949</v>
      </c>
      <c r="F2174" s="7">
        <v>12975</v>
      </c>
      <c r="G2174" s="34">
        <v>575</v>
      </c>
      <c r="H2174" s="35">
        <v>-30</v>
      </c>
      <c r="I2174" s="38">
        <f t="shared" si="33"/>
        <v>12955</v>
      </c>
    </row>
    <row r="2175" spans="1:9" x14ac:dyDescent="0.2">
      <c r="A2175" s="33">
        <v>42101</v>
      </c>
      <c r="B2175" s="36">
        <v>12980</v>
      </c>
      <c r="C2175" s="7">
        <v>12990</v>
      </c>
      <c r="D2175" s="7">
        <v>12985</v>
      </c>
      <c r="E2175" s="7">
        <v>12948</v>
      </c>
      <c r="F2175" s="7">
        <v>12950</v>
      </c>
      <c r="G2175" s="34">
        <v>417</v>
      </c>
      <c r="H2175" s="35">
        <v>23</v>
      </c>
      <c r="I2175" s="38">
        <f t="shared" si="33"/>
        <v>12985</v>
      </c>
    </row>
    <row r="2176" spans="1:9" x14ac:dyDescent="0.2">
      <c r="A2176" s="33">
        <v>42100</v>
      </c>
      <c r="B2176" s="36">
        <v>12957</v>
      </c>
      <c r="C2176" s="7">
        <v>12960</v>
      </c>
      <c r="D2176" s="7">
        <v>12957</v>
      </c>
      <c r="E2176" s="7">
        <v>12920</v>
      </c>
      <c r="F2176" s="7">
        <v>12950</v>
      </c>
      <c r="G2176" s="34">
        <v>311</v>
      </c>
      <c r="H2176" s="35">
        <v>-43</v>
      </c>
      <c r="I2176" s="38">
        <f t="shared" si="33"/>
        <v>12958.5</v>
      </c>
    </row>
    <row r="2177" spans="1:9" x14ac:dyDescent="0.2">
      <c r="A2177" s="33">
        <v>42097</v>
      </c>
      <c r="B2177" s="36">
        <v>13000</v>
      </c>
      <c r="C2177" s="7">
        <v>13005</v>
      </c>
      <c r="D2177" s="7"/>
      <c r="E2177" s="7"/>
      <c r="F2177" s="7"/>
      <c r="G2177" s="34"/>
      <c r="H2177" s="35">
        <v>0</v>
      </c>
      <c r="I2177" s="38">
        <f t="shared" si="33"/>
        <v>13002.5</v>
      </c>
    </row>
    <row r="2178" spans="1:9" x14ac:dyDescent="0.2">
      <c r="A2178" s="33">
        <v>42096</v>
      </c>
      <c r="B2178" s="36">
        <v>13000</v>
      </c>
      <c r="C2178" s="7">
        <v>13005</v>
      </c>
      <c r="D2178" s="7">
        <v>13010</v>
      </c>
      <c r="E2178" s="7">
        <v>12975</v>
      </c>
      <c r="F2178" s="7">
        <v>12980</v>
      </c>
      <c r="G2178" s="34">
        <v>278</v>
      </c>
      <c r="H2178" s="35">
        <v>-40</v>
      </c>
      <c r="I2178" s="38">
        <f t="shared" si="33"/>
        <v>13002.5</v>
      </c>
    </row>
    <row r="2179" spans="1:9" x14ac:dyDescent="0.2">
      <c r="A2179" s="33">
        <v>42095</v>
      </c>
      <c r="B2179" s="36">
        <v>13040</v>
      </c>
      <c r="C2179" s="7">
        <v>13045</v>
      </c>
      <c r="D2179" s="7">
        <v>13060</v>
      </c>
      <c r="E2179" s="7">
        <v>13000</v>
      </c>
      <c r="F2179" s="7">
        <v>13055</v>
      </c>
      <c r="G2179" s="34">
        <v>322</v>
      </c>
      <c r="H2179" s="35">
        <v>-30</v>
      </c>
      <c r="I2179" s="38">
        <f t="shared" si="33"/>
        <v>13042.5</v>
      </c>
    </row>
    <row r="2180" spans="1:9" x14ac:dyDescent="0.2">
      <c r="A2180" s="33">
        <v>42094</v>
      </c>
      <c r="B2180" s="36">
        <v>13070</v>
      </c>
      <c r="C2180" s="7">
        <v>13080</v>
      </c>
      <c r="D2180" s="7">
        <v>13090</v>
      </c>
      <c r="E2180" s="7">
        <v>13062</v>
      </c>
      <c r="F2180" s="7">
        <v>13065</v>
      </c>
      <c r="G2180" s="34">
        <v>594</v>
      </c>
      <c r="H2180" s="35">
        <v>0</v>
      </c>
      <c r="I2180" s="38">
        <f t="shared" si="33"/>
        <v>13075</v>
      </c>
    </row>
    <row r="2181" spans="1:9" x14ac:dyDescent="0.2">
      <c r="A2181" s="33">
        <v>42093</v>
      </c>
      <c r="B2181" s="36">
        <v>13070</v>
      </c>
      <c r="C2181" s="7">
        <v>13080</v>
      </c>
      <c r="D2181" s="7">
        <v>13087</v>
      </c>
      <c r="E2181" s="7">
        <v>13049</v>
      </c>
      <c r="F2181" s="7">
        <v>13049</v>
      </c>
      <c r="G2181" s="34">
        <v>394</v>
      </c>
      <c r="H2181" s="35">
        <v>10</v>
      </c>
      <c r="I2181" s="38">
        <f t="shared" si="33"/>
        <v>13075</v>
      </c>
    </row>
    <row r="2182" spans="1:9" x14ac:dyDescent="0.2">
      <c r="A2182" s="33">
        <v>42090</v>
      </c>
      <c r="B2182" s="36">
        <v>13060</v>
      </c>
      <c r="C2182" s="7">
        <v>13070</v>
      </c>
      <c r="D2182" s="7">
        <v>13075</v>
      </c>
      <c r="E2182" s="7">
        <v>13020</v>
      </c>
      <c r="F2182" s="7">
        <v>13020</v>
      </c>
      <c r="G2182" s="34">
        <v>586</v>
      </c>
      <c r="H2182" s="35">
        <v>42</v>
      </c>
      <c r="I2182" s="38">
        <f t="shared" si="33"/>
        <v>13065</v>
      </c>
    </row>
    <row r="2183" spans="1:9" x14ac:dyDescent="0.2">
      <c r="A2183" s="33">
        <v>42089</v>
      </c>
      <c r="B2183" s="36">
        <v>13018</v>
      </c>
      <c r="C2183" s="7">
        <v>13020</v>
      </c>
      <c r="D2183" s="7">
        <v>13025</v>
      </c>
      <c r="E2183" s="7">
        <v>12970</v>
      </c>
      <c r="F2183" s="7">
        <v>12970</v>
      </c>
      <c r="G2183" s="34">
        <v>426</v>
      </c>
      <c r="H2183" s="35">
        <v>36</v>
      </c>
      <c r="I2183" s="38">
        <f t="shared" si="33"/>
        <v>13019</v>
      </c>
    </row>
    <row r="2184" spans="1:9" x14ac:dyDescent="0.2">
      <c r="A2184" s="33">
        <v>42088</v>
      </c>
      <c r="B2184" s="36">
        <v>12982</v>
      </c>
      <c r="C2184" s="7">
        <v>12990</v>
      </c>
      <c r="D2184" s="7">
        <v>12985</v>
      </c>
      <c r="E2184" s="7">
        <v>12905</v>
      </c>
      <c r="F2184" s="7">
        <v>12910</v>
      </c>
      <c r="G2184" s="34">
        <v>271</v>
      </c>
      <c r="H2184" s="35">
        <v>82</v>
      </c>
      <c r="I2184" s="38">
        <f t="shared" si="33"/>
        <v>12986</v>
      </c>
    </row>
    <row r="2185" spans="1:9" x14ac:dyDescent="0.2">
      <c r="A2185" s="33">
        <v>42087</v>
      </c>
      <c r="B2185" s="36">
        <v>12900</v>
      </c>
      <c r="C2185" s="7">
        <v>12910</v>
      </c>
      <c r="D2185" s="7">
        <v>12990</v>
      </c>
      <c r="E2185" s="7">
        <v>12895</v>
      </c>
      <c r="F2185" s="7">
        <v>12980</v>
      </c>
      <c r="G2185" s="34">
        <v>289</v>
      </c>
      <c r="H2185" s="35">
        <v>-114</v>
      </c>
      <c r="I2185" s="38">
        <f t="shared" si="33"/>
        <v>12905</v>
      </c>
    </row>
    <row r="2186" spans="1:9" x14ac:dyDescent="0.2">
      <c r="A2186" s="33">
        <v>42086</v>
      </c>
      <c r="B2186" s="36">
        <v>13014</v>
      </c>
      <c r="C2186" s="7">
        <v>13025</v>
      </c>
      <c r="D2186" s="7">
        <v>13075</v>
      </c>
      <c r="E2186" s="7">
        <v>13000</v>
      </c>
      <c r="F2186" s="7">
        <v>13025</v>
      </c>
      <c r="G2186" s="34">
        <v>411</v>
      </c>
      <c r="H2186" s="35">
        <v>-98</v>
      </c>
      <c r="I2186" s="38">
        <f t="shared" si="33"/>
        <v>13019.5</v>
      </c>
    </row>
    <row r="2187" spans="1:9" x14ac:dyDescent="0.2">
      <c r="A2187" s="33">
        <v>42083</v>
      </c>
      <c r="B2187" s="36">
        <v>13112</v>
      </c>
      <c r="C2187" s="7">
        <v>13120</v>
      </c>
      <c r="D2187" s="7">
        <v>13120</v>
      </c>
      <c r="E2187" s="7">
        <v>13040</v>
      </c>
      <c r="F2187" s="7">
        <v>13040</v>
      </c>
      <c r="G2187" s="34">
        <v>1086</v>
      </c>
      <c r="H2187" s="35">
        <v>82</v>
      </c>
      <c r="I2187" s="38">
        <f t="shared" si="33"/>
        <v>13116</v>
      </c>
    </row>
    <row r="2188" spans="1:9" x14ac:dyDescent="0.2">
      <c r="A2188" s="33">
        <v>42082</v>
      </c>
      <c r="B2188" s="36">
        <v>13030</v>
      </c>
      <c r="C2188" s="7">
        <v>13040</v>
      </c>
      <c r="D2188" s="7">
        <v>13110</v>
      </c>
      <c r="E2188" s="7">
        <v>12979</v>
      </c>
      <c r="F2188" s="7">
        <v>13110</v>
      </c>
      <c r="G2188" s="34">
        <v>709</v>
      </c>
      <c r="H2188" s="35">
        <v>-135</v>
      </c>
      <c r="I2188" s="38">
        <f t="shared" si="33"/>
        <v>13035</v>
      </c>
    </row>
    <row r="2189" spans="1:9" x14ac:dyDescent="0.2">
      <c r="A2189" s="33">
        <v>42081</v>
      </c>
      <c r="B2189" s="36">
        <v>13165</v>
      </c>
      <c r="C2189" s="7">
        <v>13175</v>
      </c>
      <c r="D2189" s="7">
        <v>13185</v>
      </c>
      <c r="E2189" s="7">
        <v>13145</v>
      </c>
      <c r="F2189" s="7">
        <v>13155</v>
      </c>
      <c r="G2189" s="34">
        <v>866</v>
      </c>
      <c r="H2189" s="35">
        <v>0</v>
      </c>
      <c r="I2189" s="38">
        <f t="shared" si="33"/>
        <v>13170</v>
      </c>
    </row>
    <row r="2190" spans="1:9" x14ac:dyDescent="0.2">
      <c r="A2190" s="33">
        <v>42080</v>
      </c>
      <c r="B2190" s="36">
        <v>13165</v>
      </c>
      <c r="C2190" s="7">
        <v>13170</v>
      </c>
      <c r="D2190" s="7">
        <v>13245</v>
      </c>
      <c r="E2190" s="7">
        <v>13160</v>
      </c>
      <c r="F2190" s="7">
        <v>13220</v>
      </c>
      <c r="G2190" s="34">
        <v>1088</v>
      </c>
      <c r="H2190" s="35">
        <v>-74</v>
      </c>
      <c r="I2190" s="38">
        <f t="shared" si="33"/>
        <v>13167.5</v>
      </c>
    </row>
    <row r="2191" spans="1:9" x14ac:dyDescent="0.2">
      <c r="A2191" s="33">
        <v>42079</v>
      </c>
      <c r="B2191" s="36">
        <v>13239</v>
      </c>
      <c r="C2191" s="7">
        <v>13245</v>
      </c>
      <c r="D2191" s="7">
        <v>13244</v>
      </c>
      <c r="E2191" s="7">
        <v>13200</v>
      </c>
      <c r="F2191" s="7">
        <v>13200</v>
      </c>
      <c r="G2191" s="34">
        <v>615</v>
      </c>
      <c r="H2191" s="35">
        <v>49</v>
      </c>
      <c r="I2191" s="38">
        <f t="shared" si="33"/>
        <v>13242</v>
      </c>
    </row>
    <row r="2192" spans="1:9" x14ac:dyDescent="0.2">
      <c r="A2192" s="33">
        <v>42076</v>
      </c>
      <c r="B2192" s="36">
        <v>13190</v>
      </c>
      <c r="C2192" s="7">
        <v>13200</v>
      </c>
      <c r="D2192" s="7">
        <v>13200</v>
      </c>
      <c r="E2192" s="7">
        <v>13145</v>
      </c>
      <c r="F2192" s="7">
        <v>13150</v>
      </c>
      <c r="G2192" s="34">
        <v>754</v>
      </c>
      <c r="H2192" s="35">
        <v>10</v>
      </c>
      <c r="I2192" s="38">
        <f t="shared" si="33"/>
        <v>13195</v>
      </c>
    </row>
    <row r="2193" spans="1:9" x14ac:dyDescent="0.2">
      <c r="A2193" s="33">
        <v>42075</v>
      </c>
      <c r="B2193" s="36">
        <v>13180</v>
      </c>
      <c r="C2193" s="7">
        <v>13185</v>
      </c>
      <c r="D2193" s="7">
        <v>13215</v>
      </c>
      <c r="E2193" s="7">
        <v>13145</v>
      </c>
      <c r="F2193" s="7">
        <v>13145</v>
      </c>
      <c r="G2193" s="34">
        <v>528</v>
      </c>
      <c r="H2193" s="35">
        <v>-6</v>
      </c>
      <c r="I2193" s="38">
        <f t="shared" si="33"/>
        <v>13182.5</v>
      </c>
    </row>
    <row r="2194" spans="1:9" x14ac:dyDescent="0.2">
      <c r="A2194" s="33">
        <v>42074</v>
      </c>
      <c r="B2194" s="36">
        <v>13186</v>
      </c>
      <c r="C2194" s="7">
        <v>13195</v>
      </c>
      <c r="D2194" s="7">
        <v>13240</v>
      </c>
      <c r="E2194" s="7">
        <v>13120</v>
      </c>
      <c r="F2194" s="7">
        <v>13135</v>
      </c>
      <c r="G2194" s="34">
        <v>517</v>
      </c>
      <c r="H2194" s="35">
        <v>98</v>
      </c>
      <c r="I2194" s="38">
        <f t="shared" si="33"/>
        <v>13190.5</v>
      </c>
    </row>
    <row r="2195" spans="1:9" x14ac:dyDescent="0.2">
      <c r="A2195" s="33">
        <v>42073</v>
      </c>
      <c r="B2195" s="36">
        <v>13088</v>
      </c>
      <c r="C2195" s="7">
        <v>13095</v>
      </c>
      <c r="D2195" s="7">
        <v>13090</v>
      </c>
      <c r="E2195" s="7">
        <v>13044</v>
      </c>
      <c r="F2195" s="7">
        <v>13050</v>
      </c>
      <c r="G2195" s="34">
        <v>969</v>
      </c>
      <c r="H2195" s="35">
        <v>43</v>
      </c>
      <c r="I2195" s="38">
        <f t="shared" si="33"/>
        <v>13091.5</v>
      </c>
    </row>
    <row r="2196" spans="1:9" x14ac:dyDescent="0.2">
      <c r="A2196" s="33">
        <v>42072</v>
      </c>
      <c r="B2196" s="36">
        <v>13045</v>
      </c>
      <c r="C2196" s="7">
        <v>13055</v>
      </c>
      <c r="D2196" s="7">
        <v>13070</v>
      </c>
      <c r="E2196" s="7">
        <v>13000</v>
      </c>
      <c r="F2196" s="7">
        <v>13000</v>
      </c>
      <c r="G2196" s="34">
        <v>641</v>
      </c>
      <c r="H2196" s="35">
        <v>70</v>
      </c>
      <c r="I2196" s="38">
        <f t="shared" si="33"/>
        <v>13050</v>
      </c>
    </row>
    <row r="2197" spans="1:9" x14ac:dyDescent="0.2">
      <c r="A2197" s="33">
        <v>42069</v>
      </c>
      <c r="B2197" s="36">
        <v>12975</v>
      </c>
      <c r="C2197" s="7">
        <v>12985</v>
      </c>
      <c r="D2197" s="7">
        <v>13000</v>
      </c>
      <c r="E2197" s="7">
        <v>12945</v>
      </c>
      <c r="F2197" s="7">
        <v>12995</v>
      </c>
      <c r="G2197" s="34">
        <v>1455</v>
      </c>
      <c r="H2197" s="35">
        <v>-10</v>
      </c>
      <c r="I2197" s="38">
        <f t="shared" si="33"/>
        <v>12980</v>
      </c>
    </row>
    <row r="2198" spans="1:9" x14ac:dyDescent="0.2">
      <c r="A2198" s="33">
        <v>42068</v>
      </c>
      <c r="B2198" s="36">
        <v>12985</v>
      </c>
      <c r="C2198" s="7">
        <v>12995</v>
      </c>
      <c r="D2198" s="7">
        <v>13025</v>
      </c>
      <c r="E2198" s="7">
        <v>12974</v>
      </c>
      <c r="F2198" s="7">
        <v>12985</v>
      </c>
      <c r="G2198" s="34">
        <v>615</v>
      </c>
      <c r="H2198" s="35">
        <v>5</v>
      </c>
      <c r="I2198" s="38">
        <f t="shared" si="33"/>
        <v>12990</v>
      </c>
    </row>
    <row r="2199" spans="1:9" x14ac:dyDescent="0.2">
      <c r="A2199" s="33">
        <v>42067</v>
      </c>
      <c r="B2199" s="36">
        <v>12980</v>
      </c>
      <c r="C2199" s="7">
        <v>12985</v>
      </c>
      <c r="D2199" s="7">
        <v>12980</v>
      </c>
      <c r="E2199" s="7">
        <v>12940</v>
      </c>
      <c r="F2199" s="7">
        <v>12955</v>
      </c>
      <c r="G2199" s="34">
        <v>632</v>
      </c>
      <c r="H2199" s="35">
        <v>20</v>
      </c>
      <c r="I2199" s="38">
        <f t="shared" si="33"/>
        <v>12982.5</v>
      </c>
    </row>
    <row r="2200" spans="1:9" x14ac:dyDescent="0.2">
      <c r="A2200" s="33">
        <v>42066</v>
      </c>
      <c r="B2200" s="36">
        <v>12960</v>
      </c>
      <c r="C2200" s="7">
        <v>12970</v>
      </c>
      <c r="D2200" s="7">
        <v>12977</v>
      </c>
      <c r="E2200" s="7">
        <v>12940</v>
      </c>
      <c r="F2200" s="7">
        <v>12940</v>
      </c>
      <c r="G2200" s="34">
        <v>986</v>
      </c>
      <c r="H2200" s="35">
        <v>-5</v>
      </c>
      <c r="I2200" s="38">
        <f t="shared" si="33"/>
        <v>12965</v>
      </c>
    </row>
    <row r="2201" spans="1:9" x14ac:dyDescent="0.2">
      <c r="A2201" s="33">
        <v>42065</v>
      </c>
      <c r="B2201" s="36">
        <v>12965</v>
      </c>
      <c r="C2201" s="7">
        <v>12975</v>
      </c>
      <c r="D2201" s="7">
        <v>12995</v>
      </c>
      <c r="E2201" s="7">
        <v>12945</v>
      </c>
      <c r="F2201" s="7">
        <v>12950</v>
      </c>
      <c r="G2201" s="34">
        <v>716</v>
      </c>
      <c r="H2201" s="35">
        <v>45</v>
      </c>
      <c r="I2201" s="38">
        <f t="shared" si="33"/>
        <v>12970</v>
      </c>
    </row>
    <row r="2202" spans="1:9" x14ac:dyDescent="0.2">
      <c r="A2202" s="33">
        <v>42062</v>
      </c>
      <c r="B2202" s="36">
        <v>12920</v>
      </c>
      <c r="C2202" s="7">
        <v>12930</v>
      </c>
      <c r="D2202" s="7">
        <v>12940</v>
      </c>
      <c r="E2202" s="7">
        <v>12830</v>
      </c>
      <c r="F2202" s="7">
        <v>12830</v>
      </c>
      <c r="G2202" s="34">
        <v>1249</v>
      </c>
      <c r="H2202" s="35">
        <v>85</v>
      </c>
      <c r="I2202" s="38">
        <f t="shared" si="33"/>
        <v>12925</v>
      </c>
    </row>
    <row r="2203" spans="1:9" x14ac:dyDescent="0.2">
      <c r="A2203" s="33">
        <v>42061</v>
      </c>
      <c r="B2203" s="36">
        <v>12835</v>
      </c>
      <c r="C2203" s="7">
        <v>12840</v>
      </c>
      <c r="D2203" s="7">
        <v>12867</v>
      </c>
      <c r="E2203" s="7">
        <v>12825</v>
      </c>
      <c r="F2203" s="7">
        <v>12840</v>
      </c>
      <c r="G2203" s="34">
        <v>1911</v>
      </c>
      <c r="H2203" s="35">
        <v>-37</v>
      </c>
      <c r="I2203" s="38">
        <f t="shared" si="33"/>
        <v>12837.5</v>
      </c>
    </row>
    <row r="2204" spans="1:9" x14ac:dyDescent="0.2">
      <c r="A2204" s="33">
        <v>42060</v>
      </c>
      <c r="B2204" s="36">
        <v>12872</v>
      </c>
      <c r="C2204" s="7">
        <v>12875</v>
      </c>
      <c r="D2204" s="7">
        <v>12890</v>
      </c>
      <c r="E2204" s="7">
        <v>12850</v>
      </c>
      <c r="F2204" s="7">
        <v>12850</v>
      </c>
      <c r="G2204" s="34">
        <v>282</v>
      </c>
      <c r="H2204" s="35">
        <v>-23</v>
      </c>
      <c r="I2204" s="38">
        <f t="shared" si="33"/>
        <v>12873.5</v>
      </c>
    </row>
    <row r="2205" spans="1:9" x14ac:dyDescent="0.2">
      <c r="A2205" s="33">
        <v>42059</v>
      </c>
      <c r="B2205" s="36">
        <v>12895</v>
      </c>
      <c r="C2205" s="7">
        <v>12900</v>
      </c>
      <c r="D2205" s="7">
        <v>12897</v>
      </c>
      <c r="E2205" s="7">
        <v>12800</v>
      </c>
      <c r="F2205" s="7">
        <v>12840</v>
      </c>
      <c r="G2205" s="34">
        <v>196</v>
      </c>
      <c r="H2205" s="35">
        <v>63</v>
      </c>
      <c r="I2205" s="38">
        <f t="shared" si="33"/>
        <v>12897.5</v>
      </c>
    </row>
    <row r="2206" spans="1:9" x14ac:dyDescent="0.2">
      <c r="A2206" s="33">
        <v>42058</v>
      </c>
      <c r="B2206" s="36">
        <v>12832</v>
      </c>
      <c r="C2206" s="7">
        <v>12837</v>
      </c>
      <c r="D2206" s="7">
        <v>12833</v>
      </c>
      <c r="E2206" s="7">
        <v>12800</v>
      </c>
      <c r="F2206" s="7">
        <v>12810</v>
      </c>
      <c r="G2206" s="34">
        <v>170</v>
      </c>
      <c r="H2206" s="35">
        <v>22</v>
      </c>
      <c r="I2206" s="38">
        <f t="shared" si="33"/>
        <v>12834.5</v>
      </c>
    </row>
    <row r="2207" spans="1:9" x14ac:dyDescent="0.2">
      <c r="A2207" s="33">
        <v>42055</v>
      </c>
      <c r="B2207" s="36">
        <v>12810</v>
      </c>
      <c r="C2207" s="7">
        <v>12815</v>
      </c>
      <c r="D2207" s="7">
        <v>12865</v>
      </c>
      <c r="E2207" s="7">
        <v>12800</v>
      </c>
      <c r="F2207" s="7">
        <v>12850</v>
      </c>
      <c r="G2207" s="34">
        <v>146</v>
      </c>
      <c r="H2207" s="35">
        <v>-30</v>
      </c>
      <c r="I2207" s="38">
        <f t="shared" si="33"/>
        <v>12812.5</v>
      </c>
    </row>
    <row r="2208" spans="1:9" x14ac:dyDescent="0.2">
      <c r="A2208" s="33">
        <v>42054</v>
      </c>
      <c r="B2208" s="36">
        <v>12840</v>
      </c>
      <c r="C2208" s="7">
        <v>12845</v>
      </c>
      <c r="D2208" s="7"/>
      <c r="E2208" s="7"/>
      <c r="F2208" s="7"/>
      <c r="G2208" s="34"/>
      <c r="H2208" s="35">
        <v>0</v>
      </c>
      <c r="I2208" s="38">
        <f t="shared" ref="I2208:I2271" si="34">+(B2208+C2208)*0.5</f>
        <v>12842.5</v>
      </c>
    </row>
    <row r="2209" spans="1:9" x14ac:dyDescent="0.2">
      <c r="A2209" s="33">
        <v>42053</v>
      </c>
      <c r="B2209" s="36">
        <v>12840</v>
      </c>
      <c r="C2209" s="7">
        <v>12845</v>
      </c>
      <c r="D2209" s="7">
        <v>12845</v>
      </c>
      <c r="E2209" s="7">
        <v>12785</v>
      </c>
      <c r="F2209" s="7">
        <v>12785</v>
      </c>
      <c r="G2209" s="34">
        <v>174</v>
      </c>
      <c r="H2209" s="35">
        <v>72</v>
      </c>
      <c r="I2209" s="38">
        <f t="shared" si="34"/>
        <v>12842.5</v>
      </c>
    </row>
    <row r="2210" spans="1:9" x14ac:dyDescent="0.2">
      <c r="A2210" s="33">
        <v>42052</v>
      </c>
      <c r="B2210" s="36">
        <v>12768</v>
      </c>
      <c r="C2210" s="7">
        <v>12771</v>
      </c>
      <c r="D2210" s="7">
        <v>12770</v>
      </c>
      <c r="E2210" s="7">
        <v>12739</v>
      </c>
      <c r="F2210" s="7">
        <v>12740</v>
      </c>
      <c r="G2210" s="34">
        <v>163</v>
      </c>
      <c r="H2210" s="35">
        <v>18</v>
      </c>
      <c r="I2210" s="38">
        <f t="shared" si="34"/>
        <v>12769.5</v>
      </c>
    </row>
    <row r="2211" spans="1:9" x14ac:dyDescent="0.2">
      <c r="A2211" s="33">
        <v>42051</v>
      </c>
      <c r="B2211" s="36">
        <v>12750</v>
      </c>
      <c r="C2211" s="7">
        <v>12755</v>
      </c>
      <c r="D2211" s="7">
        <v>12765</v>
      </c>
      <c r="E2211" s="7">
        <v>12730</v>
      </c>
      <c r="F2211" s="7">
        <v>12750</v>
      </c>
      <c r="G2211" s="34">
        <v>168</v>
      </c>
      <c r="H2211" s="35">
        <v>-35</v>
      </c>
      <c r="I2211" s="38">
        <f t="shared" si="34"/>
        <v>12752.5</v>
      </c>
    </row>
    <row r="2212" spans="1:9" x14ac:dyDescent="0.2">
      <c r="A2212" s="33">
        <v>42048</v>
      </c>
      <c r="B2212" s="36">
        <v>12785</v>
      </c>
      <c r="C2212" s="7">
        <v>12790</v>
      </c>
      <c r="D2212" s="7">
        <v>12785</v>
      </c>
      <c r="E2212" s="7">
        <v>12735</v>
      </c>
      <c r="F2212" s="7">
        <v>12735</v>
      </c>
      <c r="G2212" s="34">
        <v>141</v>
      </c>
      <c r="H2212" s="35">
        <v>-5</v>
      </c>
      <c r="I2212" s="38">
        <f t="shared" si="34"/>
        <v>12787.5</v>
      </c>
    </row>
    <row r="2213" spans="1:9" x14ac:dyDescent="0.2">
      <c r="A2213" s="33">
        <v>42047</v>
      </c>
      <c r="B2213" s="36">
        <v>12790</v>
      </c>
      <c r="C2213" s="7">
        <v>12795</v>
      </c>
      <c r="D2213" s="7">
        <v>12835</v>
      </c>
      <c r="E2213" s="7">
        <v>12750</v>
      </c>
      <c r="F2213" s="7">
        <v>12750</v>
      </c>
      <c r="G2213" s="34">
        <v>225</v>
      </c>
      <c r="H2213" s="35">
        <v>80</v>
      </c>
      <c r="I2213" s="38">
        <f t="shared" si="34"/>
        <v>12792.5</v>
      </c>
    </row>
    <row r="2214" spans="1:9" x14ac:dyDescent="0.2">
      <c r="A2214" s="33">
        <v>42046</v>
      </c>
      <c r="B2214" s="36">
        <v>12710</v>
      </c>
      <c r="C2214" s="7">
        <v>12720</v>
      </c>
      <c r="D2214" s="7">
        <v>12715</v>
      </c>
      <c r="E2214" s="7">
        <v>12675</v>
      </c>
      <c r="F2214" s="7">
        <v>12675</v>
      </c>
      <c r="G2214" s="34">
        <v>304</v>
      </c>
      <c r="H2214" s="35">
        <v>40</v>
      </c>
      <c r="I2214" s="38">
        <f t="shared" si="34"/>
        <v>12715</v>
      </c>
    </row>
    <row r="2215" spans="1:9" x14ac:dyDescent="0.2">
      <c r="A2215" s="33">
        <v>42045</v>
      </c>
      <c r="B2215" s="36">
        <v>12670</v>
      </c>
      <c r="C2215" s="7">
        <v>12675</v>
      </c>
      <c r="D2215" s="7">
        <v>12670</v>
      </c>
      <c r="E2215" s="7">
        <v>12635</v>
      </c>
      <c r="F2215" s="7">
        <v>12650</v>
      </c>
      <c r="G2215" s="34">
        <v>158</v>
      </c>
      <c r="H2215" s="35">
        <v>25</v>
      </c>
      <c r="I2215" s="38">
        <f t="shared" si="34"/>
        <v>12672.5</v>
      </c>
    </row>
    <row r="2216" spans="1:9" x14ac:dyDescent="0.2">
      <c r="A2216" s="33">
        <v>42044</v>
      </c>
      <c r="B2216" s="36">
        <v>12645</v>
      </c>
      <c r="C2216" s="7">
        <v>12650</v>
      </c>
      <c r="D2216" s="7">
        <v>12690</v>
      </c>
      <c r="E2216" s="7">
        <v>12630</v>
      </c>
      <c r="F2216" s="7">
        <v>12630</v>
      </c>
      <c r="G2216" s="34">
        <v>123</v>
      </c>
      <c r="H2216" s="35">
        <v>34</v>
      </c>
      <c r="I2216" s="38">
        <f t="shared" si="34"/>
        <v>12647.5</v>
      </c>
    </row>
    <row r="2217" spans="1:9" x14ac:dyDescent="0.2">
      <c r="A2217" s="33">
        <v>42041</v>
      </c>
      <c r="B2217" s="36">
        <v>12611</v>
      </c>
      <c r="C2217" s="7">
        <v>12618</v>
      </c>
      <c r="D2217" s="7">
        <v>12630</v>
      </c>
      <c r="E2217" s="7">
        <v>12600</v>
      </c>
      <c r="F2217" s="7">
        <v>12630</v>
      </c>
      <c r="G2217" s="34">
        <v>229</v>
      </c>
      <c r="H2217" s="35">
        <v>-19</v>
      </c>
      <c r="I2217" s="38">
        <f t="shared" si="34"/>
        <v>12614.5</v>
      </c>
    </row>
    <row r="2218" spans="1:9" x14ac:dyDescent="0.2">
      <c r="A2218" s="33">
        <v>42040</v>
      </c>
      <c r="B2218" s="36">
        <v>12630</v>
      </c>
      <c r="C2218" s="7">
        <v>12635</v>
      </c>
      <c r="D2218" s="7">
        <v>12658</v>
      </c>
      <c r="E2218" s="7">
        <v>12625</v>
      </c>
      <c r="F2218" s="7">
        <v>12629</v>
      </c>
      <c r="G2218" s="34">
        <v>180</v>
      </c>
      <c r="H2218" s="35">
        <v>10</v>
      </c>
      <c r="I2218" s="38">
        <f t="shared" si="34"/>
        <v>12632.5</v>
      </c>
    </row>
    <row r="2219" spans="1:9" x14ac:dyDescent="0.2">
      <c r="A2219" s="33">
        <v>42039</v>
      </c>
      <c r="B2219" s="36">
        <v>12620</v>
      </c>
      <c r="C2219" s="7">
        <v>12630</v>
      </c>
      <c r="D2219" s="7">
        <v>12635</v>
      </c>
      <c r="E2219" s="7">
        <v>12580</v>
      </c>
      <c r="F2219" s="7">
        <v>12600</v>
      </c>
      <c r="G2219" s="34">
        <v>206</v>
      </c>
      <c r="H2219" s="35">
        <v>-30</v>
      </c>
      <c r="I2219" s="38">
        <f t="shared" si="34"/>
        <v>12625</v>
      </c>
    </row>
    <row r="2220" spans="1:9" x14ac:dyDescent="0.2">
      <c r="A2220" s="33">
        <v>42038</v>
      </c>
      <c r="B2220" s="36">
        <v>12650</v>
      </c>
      <c r="C2220" s="7">
        <v>12658</v>
      </c>
      <c r="D2220" s="7">
        <v>12670</v>
      </c>
      <c r="E2220" s="7">
        <v>12605</v>
      </c>
      <c r="F2220" s="7">
        <v>12670</v>
      </c>
      <c r="G2220" s="34">
        <v>155</v>
      </c>
      <c r="H2220" s="35">
        <v>-32</v>
      </c>
      <c r="I2220" s="38">
        <f t="shared" si="34"/>
        <v>12654</v>
      </c>
    </row>
    <row r="2221" spans="1:9" x14ac:dyDescent="0.2">
      <c r="A2221" s="33">
        <v>42037</v>
      </c>
      <c r="B2221" s="36">
        <v>12682</v>
      </c>
      <c r="C2221" s="7">
        <v>12688</v>
      </c>
      <c r="D2221" s="7">
        <v>12715</v>
      </c>
      <c r="E2221" s="7">
        <v>12677</v>
      </c>
      <c r="F2221" s="7">
        <v>12680</v>
      </c>
      <c r="G2221" s="34">
        <v>77</v>
      </c>
      <c r="H2221" s="35">
        <v>17</v>
      </c>
      <c r="I2221" s="38">
        <f t="shared" si="34"/>
        <v>12685</v>
      </c>
    </row>
    <row r="2222" spans="1:9" x14ac:dyDescent="0.2">
      <c r="A2222" s="33">
        <v>42034</v>
      </c>
      <c r="B2222" s="36">
        <v>12665</v>
      </c>
      <c r="C2222" s="7">
        <v>12670</v>
      </c>
      <c r="D2222" s="7">
        <v>12665</v>
      </c>
      <c r="E2222" s="7">
        <v>12580</v>
      </c>
      <c r="F2222" s="7">
        <v>12590</v>
      </c>
      <c r="G2222" s="34">
        <v>134</v>
      </c>
      <c r="H2222" s="35">
        <v>100</v>
      </c>
      <c r="I2222" s="38">
        <f t="shared" si="34"/>
        <v>12667.5</v>
      </c>
    </row>
    <row r="2223" spans="1:9" x14ac:dyDescent="0.2">
      <c r="A2223" s="33">
        <v>42033</v>
      </c>
      <c r="B2223" s="36">
        <v>12565</v>
      </c>
      <c r="C2223" s="7">
        <v>12570</v>
      </c>
      <c r="D2223" s="7">
        <v>12565</v>
      </c>
      <c r="E2223" s="7">
        <v>12500</v>
      </c>
      <c r="F2223" s="7">
        <v>12500</v>
      </c>
      <c r="G2223" s="34">
        <v>153</v>
      </c>
      <c r="H2223" s="35">
        <v>80</v>
      </c>
      <c r="I2223" s="38">
        <f t="shared" si="34"/>
        <v>12567.5</v>
      </c>
    </row>
    <row r="2224" spans="1:9" x14ac:dyDescent="0.2">
      <c r="A2224" s="33">
        <v>42032</v>
      </c>
      <c r="B2224" s="36">
        <v>12485</v>
      </c>
      <c r="C2224" s="7">
        <v>12487</v>
      </c>
      <c r="D2224" s="7">
        <v>12515</v>
      </c>
      <c r="E2224" s="7">
        <v>12465</v>
      </c>
      <c r="F2224" s="7">
        <v>12465</v>
      </c>
      <c r="G2224" s="34">
        <v>160</v>
      </c>
      <c r="H2224" s="35">
        <v>12</v>
      </c>
      <c r="I2224" s="38">
        <f t="shared" si="34"/>
        <v>12486</v>
      </c>
    </row>
    <row r="2225" spans="1:9" x14ac:dyDescent="0.2">
      <c r="A2225" s="33">
        <v>42031</v>
      </c>
      <c r="B2225" s="36">
        <v>12473</v>
      </c>
      <c r="C2225" s="7">
        <v>12480</v>
      </c>
      <c r="D2225" s="7">
        <v>12505</v>
      </c>
      <c r="E2225" s="7">
        <v>12465</v>
      </c>
      <c r="F2225" s="7">
        <v>12485</v>
      </c>
      <c r="G2225" s="34">
        <v>199</v>
      </c>
      <c r="H2225" s="35">
        <v>-32</v>
      </c>
      <c r="I2225" s="38">
        <f t="shared" si="34"/>
        <v>12476.5</v>
      </c>
    </row>
    <row r="2226" spans="1:9" x14ac:dyDescent="0.2">
      <c r="A2226" s="33">
        <v>42030</v>
      </c>
      <c r="B2226" s="36">
        <v>12505</v>
      </c>
      <c r="C2226" s="7">
        <v>12515</v>
      </c>
      <c r="D2226" s="7">
        <v>12535</v>
      </c>
      <c r="E2226" s="7">
        <v>12470</v>
      </c>
      <c r="F2226" s="7">
        <v>12470</v>
      </c>
      <c r="G2226" s="34">
        <v>130</v>
      </c>
      <c r="H2226" s="35">
        <v>35</v>
      </c>
      <c r="I2226" s="38">
        <f t="shared" si="34"/>
        <v>12510</v>
      </c>
    </row>
    <row r="2227" spans="1:9" x14ac:dyDescent="0.2">
      <c r="A2227" s="33">
        <v>42027</v>
      </c>
      <c r="B2227" s="36">
        <v>12470</v>
      </c>
      <c r="C2227" s="7">
        <v>12475</v>
      </c>
      <c r="D2227" s="7">
        <v>12515</v>
      </c>
      <c r="E2227" s="7">
        <v>12400</v>
      </c>
      <c r="F2227" s="7">
        <v>12400</v>
      </c>
      <c r="G2227" s="34">
        <v>197</v>
      </c>
      <c r="H2227" s="35">
        <v>-15</v>
      </c>
      <c r="I2227" s="38">
        <f t="shared" si="34"/>
        <v>12472.5</v>
      </c>
    </row>
    <row r="2228" spans="1:9" x14ac:dyDescent="0.2">
      <c r="A2228" s="33">
        <v>42026</v>
      </c>
      <c r="B2228" s="36">
        <v>12485</v>
      </c>
      <c r="C2228" s="7">
        <v>12490</v>
      </c>
      <c r="D2228" s="7">
        <v>12530</v>
      </c>
      <c r="E2228" s="7">
        <v>12420</v>
      </c>
      <c r="F2228" s="7">
        <v>12450</v>
      </c>
      <c r="G2228" s="34">
        <v>155</v>
      </c>
      <c r="H2228" s="35">
        <v>10</v>
      </c>
      <c r="I2228" s="38">
        <f t="shared" si="34"/>
        <v>12487.5</v>
      </c>
    </row>
    <row r="2229" spans="1:9" x14ac:dyDescent="0.2">
      <c r="A2229" s="33">
        <v>42025</v>
      </c>
      <c r="B2229" s="36">
        <v>12475</v>
      </c>
      <c r="C2229" s="7">
        <v>12485</v>
      </c>
      <c r="D2229" s="7">
        <v>12565</v>
      </c>
      <c r="E2229" s="7">
        <v>12470</v>
      </c>
      <c r="F2229" s="7">
        <v>12550</v>
      </c>
      <c r="G2229" s="34">
        <v>199</v>
      </c>
      <c r="H2229" s="35">
        <v>-105</v>
      </c>
      <c r="I2229" s="38">
        <f t="shared" si="34"/>
        <v>12480</v>
      </c>
    </row>
    <row r="2230" spans="1:9" x14ac:dyDescent="0.2">
      <c r="A2230" s="33">
        <v>42024</v>
      </c>
      <c r="B2230" s="36">
        <v>12580</v>
      </c>
      <c r="C2230" s="7">
        <v>12588</v>
      </c>
      <c r="D2230" s="7">
        <v>12665</v>
      </c>
      <c r="E2230" s="7">
        <v>12580</v>
      </c>
      <c r="F2230" s="7">
        <v>12620</v>
      </c>
      <c r="G2230" s="34">
        <v>183</v>
      </c>
      <c r="H2230" s="35">
        <v>-37</v>
      </c>
      <c r="I2230" s="38">
        <f t="shared" si="34"/>
        <v>12584</v>
      </c>
    </row>
    <row r="2231" spans="1:9" x14ac:dyDescent="0.2">
      <c r="A2231" s="33">
        <v>42023</v>
      </c>
      <c r="B2231" s="36">
        <v>12617</v>
      </c>
      <c r="C2231" s="7">
        <v>12620</v>
      </c>
      <c r="D2231" s="7">
        <v>12620</v>
      </c>
      <c r="E2231" s="7">
        <v>12590</v>
      </c>
      <c r="F2231" s="7">
        <v>12590</v>
      </c>
      <c r="G2231" s="34">
        <v>158</v>
      </c>
      <c r="H2231" s="35">
        <v>32</v>
      </c>
      <c r="I2231" s="38">
        <f t="shared" si="34"/>
        <v>12618.5</v>
      </c>
    </row>
    <row r="2232" spans="1:9" x14ac:dyDescent="0.2">
      <c r="A2232" s="33">
        <v>42020</v>
      </c>
      <c r="B2232" s="36">
        <v>12585</v>
      </c>
      <c r="C2232" s="7">
        <v>12590</v>
      </c>
      <c r="D2232" s="7">
        <v>12615</v>
      </c>
      <c r="E2232" s="7">
        <v>12540</v>
      </c>
      <c r="F2232" s="7">
        <v>12540</v>
      </c>
      <c r="G2232" s="34">
        <v>174</v>
      </c>
      <c r="H2232" s="35">
        <v>30</v>
      </c>
      <c r="I2232" s="38">
        <f t="shared" si="34"/>
        <v>12587.5</v>
      </c>
    </row>
    <row r="2233" spans="1:9" x14ac:dyDescent="0.2">
      <c r="A2233" s="33">
        <v>42019</v>
      </c>
      <c r="B2233" s="36">
        <v>12555</v>
      </c>
      <c r="C2233" s="7">
        <v>12565</v>
      </c>
      <c r="D2233" s="7">
        <v>12630</v>
      </c>
      <c r="E2233" s="7">
        <v>12550</v>
      </c>
      <c r="F2233" s="7">
        <v>12585</v>
      </c>
      <c r="G2233" s="34">
        <v>145</v>
      </c>
      <c r="H2233" s="35">
        <v>-57</v>
      </c>
      <c r="I2233" s="38">
        <f t="shared" si="34"/>
        <v>12560</v>
      </c>
    </row>
    <row r="2234" spans="1:9" x14ac:dyDescent="0.2">
      <c r="A2234" s="33">
        <v>42018</v>
      </c>
      <c r="B2234" s="36">
        <v>12612</v>
      </c>
      <c r="C2234" s="7">
        <v>12614</v>
      </c>
      <c r="D2234" s="7">
        <v>12625</v>
      </c>
      <c r="E2234" s="7">
        <v>12565</v>
      </c>
      <c r="F2234" s="7">
        <v>12580</v>
      </c>
      <c r="G2234" s="34">
        <v>154</v>
      </c>
      <c r="H2234" s="35">
        <v>17</v>
      </c>
      <c r="I2234" s="38">
        <f t="shared" si="34"/>
        <v>12613</v>
      </c>
    </row>
    <row r="2235" spans="1:9" x14ac:dyDescent="0.2">
      <c r="A2235" s="33">
        <v>42017</v>
      </c>
      <c r="B2235" s="36">
        <v>12595</v>
      </c>
      <c r="C2235" s="7">
        <v>12600</v>
      </c>
      <c r="D2235" s="7">
        <v>12615</v>
      </c>
      <c r="E2235" s="7">
        <v>12560</v>
      </c>
      <c r="F2235" s="7">
        <v>12560</v>
      </c>
      <c r="G2235" s="34">
        <v>176</v>
      </c>
      <c r="H2235" s="35">
        <v>0</v>
      </c>
      <c r="I2235" s="38">
        <f t="shared" si="34"/>
        <v>12597.5</v>
      </c>
    </row>
    <row r="2236" spans="1:9" x14ac:dyDescent="0.2">
      <c r="A2236" s="33">
        <v>42016</v>
      </c>
      <c r="B2236" s="36">
        <v>12595</v>
      </c>
      <c r="C2236" s="7">
        <v>12600</v>
      </c>
      <c r="D2236" s="7">
        <v>12595</v>
      </c>
      <c r="E2236" s="7">
        <v>12550</v>
      </c>
      <c r="F2236" s="7">
        <v>12590</v>
      </c>
      <c r="G2236" s="34">
        <v>128</v>
      </c>
      <c r="H2236" s="35">
        <v>-55</v>
      </c>
      <c r="I2236" s="38">
        <f t="shared" si="34"/>
        <v>12597.5</v>
      </c>
    </row>
    <row r="2237" spans="1:9" x14ac:dyDescent="0.2">
      <c r="A2237" s="33">
        <v>42013</v>
      </c>
      <c r="B2237" s="36">
        <v>12650</v>
      </c>
      <c r="C2237" s="7">
        <v>12653</v>
      </c>
      <c r="D2237" s="7">
        <v>12651</v>
      </c>
      <c r="E2237" s="7">
        <v>12625</v>
      </c>
      <c r="F2237" s="7">
        <v>12650</v>
      </c>
      <c r="G2237" s="34">
        <v>169</v>
      </c>
      <c r="H2237" s="35">
        <v>-25</v>
      </c>
      <c r="I2237" s="38">
        <f t="shared" si="34"/>
        <v>12651.5</v>
      </c>
    </row>
    <row r="2238" spans="1:9" x14ac:dyDescent="0.2">
      <c r="A2238" s="33">
        <v>42012</v>
      </c>
      <c r="B2238" s="36">
        <v>12675</v>
      </c>
      <c r="C2238" s="7">
        <v>12685</v>
      </c>
      <c r="D2238" s="7">
        <v>12740</v>
      </c>
      <c r="E2238" s="7">
        <v>12670</v>
      </c>
      <c r="F2238" s="7">
        <v>12680</v>
      </c>
      <c r="G2238" s="34">
        <v>140</v>
      </c>
      <c r="H2238" s="35">
        <v>-62</v>
      </c>
      <c r="I2238" s="38">
        <f t="shared" si="34"/>
        <v>12680</v>
      </c>
    </row>
    <row r="2239" spans="1:9" x14ac:dyDescent="0.2">
      <c r="A2239" s="33">
        <v>42011</v>
      </c>
      <c r="B2239" s="36">
        <v>12737</v>
      </c>
      <c r="C2239" s="7">
        <v>12740</v>
      </c>
      <c r="D2239" s="7">
        <v>12750</v>
      </c>
      <c r="E2239" s="7">
        <v>12640</v>
      </c>
      <c r="F2239" s="7">
        <v>12640</v>
      </c>
      <c r="G2239" s="34">
        <v>134</v>
      </c>
      <c r="H2239" s="35">
        <v>82</v>
      </c>
      <c r="I2239" s="38">
        <f t="shared" si="34"/>
        <v>12738.5</v>
      </c>
    </row>
    <row r="2240" spans="1:9" x14ac:dyDescent="0.2">
      <c r="A2240" s="33">
        <v>42010</v>
      </c>
      <c r="B2240" s="36">
        <v>12655</v>
      </c>
      <c r="C2240" s="7">
        <v>12660</v>
      </c>
      <c r="D2240" s="7">
        <v>12670</v>
      </c>
      <c r="E2240" s="7">
        <v>12600</v>
      </c>
      <c r="F2240" s="7">
        <v>12600</v>
      </c>
      <c r="G2240" s="34">
        <v>91</v>
      </c>
      <c r="H2240" s="35">
        <v>30</v>
      </c>
      <c r="I2240" s="38">
        <f t="shared" si="34"/>
        <v>12657.5</v>
      </c>
    </row>
    <row r="2241" spans="1:9" x14ac:dyDescent="0.2">
      <c r="A2241" s="33">
        <v>42009</v>
      </c>
      <c r="B2241" s="36">
        <v>12625</v>
      </c>
      <c r="C2241" s="7">
        <v>12630</v>
      </c>
      <c r="D2241" s="7">
        <v>12670</v>
      </c>
      <c r="E2241" s="7">
        <v>12520</v>
      </c>
      <c r="F2241" s="7">
        <v>12520</v>
      </c>
      <c r="G2241" s="34">
        <v>105</v>
      </c>
      <c r="H2241" s="35">
        <v>90</v>
      </c>
      <c r="I2241" s="38">
        <f t="shared" si="34"/>
        <v>12627.5</v>
      </c>
    </row>
    <row r="2242" spans="1:9" x14ac:dyDescent="0.2">
      <c r="A2242" s="33">
        <v>42006</v>
      </c>
      <c r="B2242" s="36">
        <v>12535</v>
      </c>
      <c r="C2242" s="7">
        <v>12550</v>
      </c>
      <c r="D2242" s="7">
        <v>12535</v>
      </c>
      <c r="E2242" s="7">
        <v>12400</v>
      </c>
      <c r="F2242" s="7">
        <v>12400</v>
      </c>
      <c r="G2242" s="34">
        <v>59</v>
      </c>
      <c r="H2242" s="35">
        <v>155</v>
      </c>
      <c r="I2242" s="38">
        <f t="shared" si="34"/>
        <v>12542.5</v>
      </c>
    </row>
    <row r="2243" spans="1:9" x14ac:dyDescent="0.2">
      <c r="A2243" s="33">
        <v>42005</v>
      </c>
      <c r="B2243" s="36">
        <v>12380</v>
      </c>
      <c r="C2243" s="7">
        <v>12390</v>
      </c>
      <c r="D2243" s="7"/>
      <c r="E2243" s="7"/>
      <c r="F2243" s="7"/>
      <c r="G2243" s="34"/>
      <c r="H2243" s="35">
        <v>0</v>
      </c>
      <c r="I2243" s="38">
        <f t="shared" si="34"/>
        <v>12385</v>
      </c>
    </row>
    <row r="2244" spans="1:9" x14ac:dyDescent="0.2">
      <c r="A2244" s="33">
        <v>42004</v>
      </c>
      <c r="B2244" s="36">
        <v>12380</v>
      </c>
      <c r="C2244" s="7">
        <v>12390</v>
      </c>
      <c r="D2244" s="7">
        <v>12450</v>
      </c>
      <c r="E2244" s="7">
        <v>12350</v>
      </c>
      <c r="F2244" s="7">
        <v>12410</v>
      </c>
      <c r="G2244" s="34">
        <v>106</v>
      </c>
      <c r="H2244" s="35">
        <v>-65</v>
      </c>
      <c r="I2244" s="38">
        <f t="shared" si="34"/>
        <v>12385</v>
      </c>
    </row>
    <row r="2245" spans="1:9" x14ac:dyDescent="0.2">
      <c r="A2245" s="33">
        <v>42003</v>
      </c>
      <c r="B2245" s="36">
        <v>12445</v>
      </c>
      <c r="C2245" s="7">
        <v>12448</v>
      </c>
      <c r="D2245" s="7">
        <v>12465</v>
      </c>
      <c r="E2245" s="7">
        <v>12400</v>
      </c>
      <c r="F2245" s="7">
        <v>12420</v>
      </c>
      <c r="G2245" s="34">
        <v>63</v>
      </c>
      <c r="H2245" s="35">
        <v>3</v>
      </c>
      <c r="I2245" s="38">
        <f t="shared" si="34"/>
        <v>12446.5</v>
      </c>
    </row>
    <row r="2246" spans="1:9" x14ac:dyDescent="0.2">
      <c r="A2246" s="33">
        <v>42002</v>
      </c>
      <c r="B2246" s="36">
        <v>12442</v>
      </c>
      <c r="C2246" s="7">
        <v>12452</v>
      </c>
      <c r="D2246" s="7">
        <v>12465</v>
      </c>
      <c r="E2246" s="7">
        <v>12390</v>
      </c>
      <c r="F2246" s="7">
        <v>12465</v>
      </c>
      <c r="G2246" s="34">
        <v>116</v>
      </c>
      <c r="H2246" s="35">
        <v>-23</v>
      </c>
      <c r="I2246" s="38">
        <f t="shared" si="34"/>
        <v>12447</v>
      </c>
    </row>
    <row r="2247" spans="1:9" x14ac:dyDescent="0.2">
      <c r="A2247" s="33">
        <v>41999</v>
      </c>
      <c r="B2247" s="36">
        <v>12465</v>
      </c>
      <c r="C2247" s="7">
        <v>12470</v>
      </c>
      <c r="D2247" s="7"/>
      <c r="E2247" s="7"/>
      <c r="F2247" s="7"/>
      <c r="G2247" s="34"/>
      <c r="H2247" s="35">
        <v>0</v>
      </c>
      <c r="I2247" s="38">
        <f t="shared" si="34"/>
        <v>12467.5</v>
      </c>
    </row>
    <row r="2248" spans="1:9" x14ac:dyDescent="0.2">
      <c r="A2248" s="33">
        <v>41998</v>
      </c>
      <c r="B2248" s="36">
        <v>12465</v>
      </c>
      <c r="C2248" s="7">
        <v>12470</v>
      </c>
      <c r="D2248" s="7"/>
      <c r="E2248" s="7"/>
      <c r="F2248" s="7"/>
      <c r="G2248" s="34"/>
      <c r="H2248" s="35">
        <v>0</v>
      </c>
      <c r="I2248" s="38">
        <f t="shared" si="34"/>
        <v>12467.5</v>
      </c>
    </row>
    <row r="2249" spans="1:9" x14ac:dyDescent="0.2">
      <c r="A2249" s="33">
        <v>41997</v>
      </c>
      <c r="B2249" s="36">
        <v>12465</v>
      </c>
      <c r="C2249" s="7">
        <v>12470</v>
      </c>
      <c r="D2249" s="7">
        <v>12470</v>
      </c>
      <c r="E2249" s="7">
        <v>12445</v>
      </c>
      <c r="F2249" s="7">
        <v>12445</v>
      </c>
      <c r="G2249" s="34">
        <v>143</v>
      </c>
      <c r="H2249" s="35">
        <v>20</v>
      </c>
      <c r="I2249" s="38">
        <f t="shared" si="34"/>
        <v>12467.5</v>
      </c>
    </row>
    <row r="2250" spans="1:9" x14ac:dyDescent="0.2">
      <c r="A2250" s="33">
        <v>41996</v>
      </c>
      <c r="B2250" s="36">
        <v>12445</v>
      </c>
      <c r="C2250" s="7">
        <v>12455</v>
      </c>
      <c r="D2250" s="7">
        <v>12465</v>
      </c>
      <c r="E2250" s="7">
        <v>12430</v>
      </c>
      <c r="F2250" s="7">
        <v>12430</v>
      </c>
      <c r="G2250" s="34">
        <v>141</v>
      </c>
      <c r="H2250" s="35">
        <v>7</v>
      </c>
      <c r="I2250" s="38">
        <f t="shared" si="34"/>
        <v>12450</v>
      </c>
    </row>
    <row r="2251" spans="1:9" x14ac:dyDescent="0.2">
      <c r="A2251" s="33">
        <v>41995</v>
      </c>
      <c r="B2251" s="36">
        <v>12438</v>
      </c>
      <c r="C2251" s="7">
        <v>12440</v>
      </c>
      <c r="D2251" s="7">
        <v>12445</v>
      </c>
      <c r="E2251" s="7">
        <v>12420</v>
      </c>
      <c r="F2251" s="7">
        <v>12430</v>
      </c>
      <c r="G2251" s="34">
        <v>141</v>
      </c>
      <c r="H2251" s="35">
        <v>-37</v>
      </c>
      <c r="I2251" s="38">
        <f t="shared" si="34"/>
        <v>12439</v>
      </c>
    </row>
    <row r="2252" spans="1:9" x14ac:dyDescent="0.2">
      <c r="A2252" s="33">
        <v>41992</v>
      </c>
      <c r="B2252" s="36">
        <v>12475</v>
      </c>
      <c r="C2252" s="7">
        <v>12495</v>
      </c>
      <c r="D2252" s="7">
        <v>12545</v>
      </c>
      <c r="E2252" s="7">
        <v>12475</v>
      </c>
      <c r="F2252" s="7">
        <v>12500</v>
      </c>
      <c r="G2252" s="34">
        <v>230</v>
      </c>
      <c r="H2252" s="35">
        <v>-85</v>
      </c>
      <c r="I2252" s="38">
        <f t="shared" si="34"/>
        <v>12485</v>
      </c>
    </row>
    <row r="2253" spans="1:9" x14ac:dyDescent="0.2">
      <c r="A2253" s="33">
        <v>41991</v>
      </c>
      <c r="B2253" s="36">
        <v>12560</v>
      </c>
      <c r="C2253" s="7">
        <v>12565</v>
      </c>
      <c r="D2253" s="7">
        <v>12660</v>
      </c>
      <c r="E2253" s="7">
        <v>12520</v>
      </c>
      <c r="F2253" s="7">
        <v>12660</v>
      </c>
      <c r="G2253" s="34">
        <v>300</v>
      </c>
      <c r="H2253" s="35">
        <v>-95</v>
      </c>
      <c r="I2253" s="38">
        <f t="shared" si="34"/>
        <v>12562.5</v>
      </c>
    </row>
    <row r="2254" spans="1:9" x14ac:dyDescent="0.2">
      <c r="A2254" s="33">
        <v>41990</v>
      </c>
      <c r="B2254" s="36">
        <v>12655</v>
      </c>
      <c r="C2254" s="7">
        <v>12660</v>
      </c>
      <c r="D2254" s="7">
        <v>12750</v>
      </c>
      <c r="E2254" s="7">
        <v>12620</v>
      </c>
      <c r="F2254" s="7">
        <v>12700</v>
      </c>
      <c r="G2254" s="34">
        <v>357</v>
      </c>
      <c r="H2254" s="35">
        <v>-15</v>
      </c>
      <c r="I2254" s="38">
        <f t="shared" si="34"/>
        <v>12657.5</v>
      </c>
    </row>
    <row r="2255" spans="1:9" x14ac:dyDescent="0.2">
      <c r="A2255" s="33">
        <v>41989</v>
      </c>
      <c r="B2255" s="36">
        <v>12670</v>
      </c>
      <c r="C2255" s="7">
        <v>12690</v>
      </c>
      <c r="D2255" s="7">
        <v>12930</v>
      </c>
      <c r="E2255" s="7">
        <v>12625</v>
      </c>
      <c r="F2255" s="7">
        <v>12750</v>
      </c>
      <c r="G2255" s="34">
        <v>381</v>
      </c>
      <c r="H2255" s="35">
        <v>-25</v>
      </c>
      <c r="I2255" s="38">
        <f t="shared" si="34"/>
        <v>12680</v>
      </c>
    </row>
    <row r="2256" spans="1:9" x14ac:dyDescent="0.2">
      <c r="A2256" s="33">
        <v>41988</v>
      </c>
      <c r="B2256" s="36">
        <v>12695</v>
      </c>
      <c r="C2256" s="7">
        <v>12700</v>
      </c>
      <c r="D2256" s="7">
        <v>12698</v>
      </c>
      <c r="E2256" s="7">
        <v>12480</v>
      </c>
      <c r="F2256" s="7">
        <v>12480</v>
      </c>
      <c r="G2256" s="34">
        <v>136</v>
      </c>
      <c r="H2256" s="35">
        <v>240</v>
      </c>
      <c r="I2256" s="38">
        <f t="shared" si="34"/>
        <v>12697.5</v>
      </c>
    </row>
    <row r="2257" spans="1:9" x14ac:dyDescent="0.2">
      <c r="A2257" s="33">
        <v>41985</v>
      </c>
      <c r="B2257" s="36">
        <v>12455</v>
      </c>
      <c r="C2257" s="7">
        <v>12460</v>
      </c>
      <c r="D2257" s="7">
        <v>12455</v>
      </c>
      <c r="E2257" s="7">
        <v>12365</v>
      </c>
      <c r="F2257" s="7">
        <v>12365</v>
      </c>
      <c r="G2257" s="34">
        <v>112</v>
      </c>
      <c r="H2257" s="35">
        <v>108</v>
      </c>
      <c r="I2257" s="38">
        <f t="shared" si="34"/>
        <v>12457.5</v>
      </c>
    </row>
    <row r="2258" spans="1:9" x14ac:dyDescent="0.2">
      <c r="A2258" s="33">
        <v>41984</v>
      </c>
      <c r="B2258" s="36">
        <v>12347</v>
      </c>
      <c r="C2258" s="7">
        <v>12350</v>
      </c>
      <c r="D2258" s="7">
        <v>12347</v>
      </c>
      <c r="E2258" s="7">
        <v>12300</v>
      </c>
      <c r="F2258" s="7">
        <v>12325</v>
      </c>
      <c r="G2258" s="34">
        <v>92</v>
      </c>
      <c r="H2258" s="35">
        <v>12</v>
      </c>
      <c r="I2258" s="38">
        <f t="shared" si="34"/>
        <v>12348.5</v>
      </c>
    </row>
    <row r="2259" spans="1:9" x14ac:dyDescent="0.2">
      <c r="A2259" s="33">
        <v>41983</v>
      </c>
      <c r="B2259" s="36">
        <v>12335</v>
      </c>
      <c r="C2259" s="7">
        <v>12338</v>
      </c>
      <c r="D2259" s="7">
        <v>12341</v>
      </c>
      <c r="E2259" s="7">
        <v>12320</v>
      </c>
      <c r="F2259" s="7">
        <v>12320</v>
      </c>
      <c r="G2259" s="34">
        <v>89</v>
      </c>
      <c r="H2259" s="35">
        <v>8</v>
      </c>
      <c r="I2259" s="38">
        <f t="shared" si="34"/>
        <v>12336.5</v>
      </c>
    </row>
    <row r="2260" spans="1:9" x14ac:dyDescent="0.2">
      <c r="A2260" s="33">
        <v>41982</v>
      </c>
      <c r="B2260" s="36">
        <v>12327</v>
      </c>
      <c r="C2260" s="7">
        <v>12332</v>
      </c>
      <c r="D2260" s="7">
        <v>12355</v>
      </c>
      <c r="E2260" s="7">
        <v>12319</v>
      </c>
      <c r="F2260" s="7">
        <v>12345</v>
      </c>
      <c r="G2260" s="34">
        <v>126</v>
      </c>
      <c r="H2260" s="35">
        <v>-20</v>
      </c>
      <c r="I2260" s="38">
        <f t="shared" si="34"/>
        <v>12329.5</v>
      </c>
    </row>
    <row r="2261" spans="1:9" x14ac:dyDescent="0.2">
      <c r="A2261" s="33">
        <v>41981</v>
      </c>
      <c r="B2261" s="36">
        <v>12347</v>
      </c>
      <c r="C2261" s="7">
        <v>12350</v>
      </c>
      <c r="D2261" s="7">
        <v>12365</v>
      </c>
      <c r="E2261" s="7">
        <v>12300</v>
      </c>
      <c r="F2261" s="7">
        <v>12300</v>
      </c>
      <c r="G2261" s="34">
        <v>99</v>
      </c>
      <c r="H2261" s="35">
        <v>52</v>
      </c>
      <c r="I2261" s="38">
        <f t="shared" si="34"/>
        <v>12348.5</v>
      </c>
    </row>
    <row r="2262" spans="1:9" x14ac:dyDescent="0.2">
      <c r="A2262" s="33">
        <v>41978</v>
      </c>
      <c r="B2262" s="36">
        <v>12295</v>
      </c>
      <c r="C2262" s="7">
        <v>12298</v>
      </c>
      <c r="D2262" s="7">
        <v>12303</v>
      </c>
      <c r="E2262" s="7">
        <v>12290</v>
      </c>
      <c r="F2262" s="7">
        <v>12300</v>
      </c>
      <c r="G2262" s="34">
        <v>103</v>
      </c>
      <c r="H2262" s="35">
        <v>-10</v>
      </c>
      <c r="I2262" s="38">
        <f t="shared" si="34"/>
        <v>12296.5</v>
      </c>
    </row>
    <row r="2263" spans="1:9" x14ac:dyDescent="0.2">
      <c r="A2263" s="33">
        <v>41977</v>
      </c>
      <c r="B2263" s="36">
        <v>12305</v>
      </c>
      <c r="C2263" s="7">
        <v>12310</v>
      </c>
      <c r="D2263" s="7">
        <v>12319</v>
      </c>
      <c r="E2263" s="7">
        <v>12295</v>
      </c>
      <c r="F2263" s="7">
        <v>12305</v>
      </c>
      <c r="G2263" s="34">
        <v>94</v>
      </c>
      <c r="H2263" s="35">
        <v>8</v>
      </c>
      <c r="I2263" s="38">
        <f t="shared" si="34"/>
        <v>12307.5</v>
      </c>
    </row>
    <row r="2264" spans="1:9" x14ac:dyDescent="0.2">
      <c r="A2264" s="33">
        <v>41976</v>
      </c>
      <c r="B2264" s="36">
        <v>12297</v>
      </c>
      <c r="C2264" s="7">
        <v>12300</v>
      </c>
      <c r="D2264" s="7">
        <v>12298</v>
      </c>
      <c r="E2264" s="7">
        <v>12270</v>
      </c>
      <c r="F2264" s="7">
        <v>12270</v>
      </c>
      <c r="G2264" s="34">
        <v>95</v>
      </c>
      <c r="H2264" s="35">
        <v>30</v>
      </c>
      <c r="I2264" s="38">
        <f t="shared" si="34"/>
        <v>12298.5</v>
      </c>
    </row>
    <row r="2265" spans="1:9" x14ac:dyDescent="0.2">
      <c r="A2265" s="33">
        <v>41975</v>
      </c>
      <c r="B2265" s="36">
        <v>12267</v>
      </c>
      <c r="C2265" s="7">
        <v>12273</v>
      </c>
      <c r="D2265" s="7">
        <v>12278</v>
      </c>
      <c r="E2265" s="7">
        <v>12255</v>
      </c>
      <c r="F2265" s="7">
        <v>12265</v>
      </c>
      <c r="G2265" s="34">
        <v>109</v>
      </c>
      <c r="H2265" s="35">
        <v>-3</v>
      </c>
      <c r="I2265" s="38">
        <f t="shared" si="34"/>
        <v>12270</v>
      </c>
    </row>
    <row r="2266" spans="1:9" x14ac:dyDescent="0.2">
      <c r="A2266" s="33">
        <v>41974</v>
      </c>
      <c r="B2266" s="36">
        <v>12270</v>
      </c>
      <c r="C2266" s="7">
        <v>12275</v>
      </c>
      <c r="D2266" s="7">
        <v>12273</v>
      </c>
      <c r="E2266" s="7">
        <v>12220</v>
      </c>
      <c r="F2266" s="7">
        <v>12220</v>
      </c>
      <c r="G2266" s="34">
        <v>119</v>
      </c>
      <c r="H2266" s="35">
        <v>71</v>
      </c>
      <c r="I2266" s="38">
        <f t="shared" si="34"/>
        <v>12272.5</v>
      </c>
    </row>
    <row r="2267" spans="1:9" x14ac:dyDescent="0.2">
      <c r="A2267" s="33">
        <v>41971</v>
      </c>
      <c r="B2267" s="36">
        <v>12199</v>
      </c>
      <c r="C2267" s="7">
        <v>12209</v>
      </c>
      <c r="D2267" s="7">
        <v>12205</v>
      </c>
      <c r="E2267" s="7">
        <v>12170</v>
      </c>
      <c r="F2267" s="7">
        <v>12180</v>
      </c>
      <c r="G2267" s="34">
        <v>88</v>
      </c>
      <c r="H2267" s="35">
        <v>23</v>
      </c>
      <c r="I2267" s="38">
        <f t="shared" si="34"/>
        <v>12204</v>
      </c>
    </row>
    <row r="2268" spans="1:9" x14ac:dyDescent="0.2">
      <c r="A2268" s="33">
        <v>41970</v>
      </c>
      <c r="B2268" s="36">
        <v>12176</v>
      </c>
      <c r="C2268" s="7">
        <v>12178</v>
      </c>
      <c r="D2268" s="7">
        <v>12185</v>
      </c>
      <c r="E2268" s="7">
        <v>12155</v>
      </c>
      <c r="F2268" s="7">
        <v>12168</v>
      </c>
      <c r="G2268" s="34">
        <v>136</v>
      </c>
      <c r="H2268" s="35">
        <v>6</v>
      </c>
      <c r="I2268" s="38">
        <f t="shared" si="34"/>
        <v>12177</v>
      </c>
    </row>
    <row r="2269" spans="1:9" x14ac:dyDescent="0.2">
      <c r="A2269" s="33">
        <v>41969</v>
      </c>
      <c r="B2269" s="36">
        <v>12170</v>
      </c>
      <c r="C2269" s="7">
        <v>12180</v>
      </c>
      <c r="D2269" s="7">
        <v>12175</v>
      </c>
      <c r="E2269" s="7">
        <v>12150</v>
      </c>
      <c r="F2269" s="7">
        <v>12162</v>
      </c>
      <c r="G2269" s="34">
        <v>117</v>
      </c>
      <c r="H2269" s="35">
        <v>11</v>
      </c>
      <c r="I2269" s="38">
        <f t="shared" si="34"/>
        <v>12175</v>
      </c>
    </row>
    <row r="2270" spans="1:9" x14ac:dyDescent="0.2">
      <c r="A2270" s="33">
        <v>41968</v>
      </c>
      <c r="B2270" s="36">
        <v>12159</v>
      </c>
      <c r="C2270" s="7">
        <v>12169</v>
      </c>
      <c r="D2270" s="7">
        <v>12170</v>
      </c>
      <c r="E2270" s="7">
        <v>12140</v>
      </c>
      <c r="F2270" s="7">
        <v>12140</v>
      </c>
      <c r="G2270" s="34">
        <v>145</v>
      </c>
      <c r="H2270" s="35">
        <v>11</v>
      </c>
      <c r="I2270" s="38">
        <f t="shared" si="34"/>
        <v>12164</v>
      </c>
    </row>
    <row r="2271" spans="1:9" x14ac:dyDescent="0.2">
      <c r="A2271" s="33">
        <v>41967</v>
      </c>
      <c r="B2271" s="36">
        <v>12148</v>
      </c>
      <c r="C2271" s="7">
        <v>12155</v>
      </c>
      <c r="D2271" s="7">
        <v>12150</v>
      </c>
      <c r="E2271" s="7">
        <v>12085</v>
      </c>
      <c r="F2271" s="7">
        <v>12110</v>
      </c>
      <c r="G2271" s="34">
        <v>127</v>
      </c>
      <c r="H2271" s="35">
        <v>3</v>
      </c>
      <c r="I2271" s="38">
        <f t="shared" si="34"/>
        <v>12151.5</v>
      </c>
    </row>
    <row r="2272" spans="1:9" x14ac:dyDescent="0.2">
      <c r="A2272" s="33">
        <v>41964</v>
      </c>
      <c r="B2272" s="36">
        <v>12145</v>
      </c>
      <c r="C2272" s="7">
        <v>12152</v>
      </c>
      <c r="D2272" s="7">
        <v>12170</v>
      </c>
      <c r="E2272" s="7">
        <v>12120</v>
      </c>
      <c r="F2272" s="7">
        <v>12140</v>
      </c>
      <c r="G2272" s="34">
        <v>134</v>
      </c>
      <c r="H2272" s="35">
        <v>-25</v>
      </c>
      <c r="I2272" s="38">
        <f t="shared" ref="I2272:I2335" si="35">+(B2272+C2272)*0.5</f>
        <v>12148.5</v>
      </c>
    </row>
    <row r="2273" spans="1:9" x14ac:dyDescent="0.2">
      <c r="A2273" s="33">
        <v>41963</v>
      </c>
      <c r="B2273" s="36">
        <v>12170</v>
      </c>
      <c r="C2273" s="7">
        <v>12180</v>
      </c>
      <c r="D2273" s="7">
        <v>12180</v>
      </c>
      <c r="E2273" s="7">
        <v>12125</v>
      </c>
      <c r="F2273" s="7">
        <v>12125</v>
      </c>
      <c r="G2273" s="34">
        <v>109</v>
      </c>
      <c r="H2273" s="35">
        <v>25</v>
      </c>
      <c r="I2273" s="38">
        <f t="shared" si="35"/>
        <v>12175</v>
      </c>
    </row>
    <row r="2274" spans="1:9" x14ac:dyDescent="0.2">
      <c r="A2274" s="33">
        <v>41962</v>
      </c>
      <c r="B2274" s="36">
        <v>12145</v>
      </c>
      <c r="C2274" s="7">
        <v>12150</v>
      </c>
      <c r="D2274" s="7">
        <v>12145</v>
      </c>
      <c r="E2274" s="7">
        <v>12085</v>
      </c>
      <c r="F2274" s="7">
        <v>12085</v>
      </c>
      <c r="G2274" s="34">
        <v>84</v>
      </c>
      <c r="H2274" s="35">
        <v>0</v>
      </c>
      <c r="I2274" s="38">
        <f t="shared" si="35"/>
        <v>12147.5</v>
      </c>
    </row>
    <row r="2275" spans="1:9" x14ac:dyDescent="0.2">
      <c r="A2275" s="33">
        <v>41961</v>
      </c>
      <c r="B2275" s="36">
        <v>12145</v>
      </c>
      <c r="C2275" s="7">
        <v>12155</v>
      </c>
      <c r="D2275" s="7">
        <v>12155</v>
      </c>
      <c r="E2275" s="7">
        <v>12100</v>
      </c>
      <c r="F2275" s="7">
        <v>12100</v>
      </c>
      <c r="G2275" s="34">
        <v>141</v>
      </c>
      <c r="H2275" s="35">
        <v>-57</v>
      </c>
      <c r="I2275" s="38">
        <f t="shared" si="35"/>
        <v>12150</v>
      </c>
    </row>
    <row r="2276" spans="1:9" x14ac:dyDescent="0.2">
      <c r="A2276" s="33">
        <v>41960</v>
      </c>
      <c r="B2276" s="36">
        <v>12202</v>
      </c>
      <c r="C2276" s="7">
        <v>12207</v>
      </c>
      <c r="D2276" s="7">
        <v>12206</v>
      </c>
      <c r="E2276" s="7">
        <v>12170</v>
      </c>
      <c r="F2276" s="7">
        <v>12170</v>
      </c>
      <c r="G2276" s="34">
        <v>176</v>
      </c>
      <c r="H2276" s="35">
        <v>-8</v>
      </c>
      <c r="I2276" s="38">
        <f t="shared" si="35"/>
        <v>12204.5</v>
      </c>
    </row>
    <row r="2277" spans="1:9" x14ac:dyDescent="0.2">
      <c r="A2277" s="33">
        <v>41957</v>
      </c>
      <c r="B2277" s="36">
        <v>12210</v>
      </c>
      <c r="C2277" s="7">
        <v>12212</v>
      </c>
      <c r="D2277" s="7">
        <v>12216</v>
      </c>
      <c r="E2277" s="7">
        <v>12190</v>
      </c>
      <c r="F2277" s="7">
        <v>12200</v>
      </c>
      <c r="G2277" s="34">
        <v>223</v>
      </c>
      <c r="H2277" s="35">
        <v>10</v>
      </c>
      <c r="I2277" s="38">
        <f t="shared" si="35"/>
        <v>12211</v>
      </c>
    </row>
    <row r="2278" spans="1:9" x14ac:dyDescent="0.2">
      <c r="A2278" s="33">
        <v>41956</v>
      </c>
      <c r="B2278" s="36">
        <v>12200</v>
      </c>
      <c r="C2278" s="7">
        <v>12205</v>
      </c>
      <c r="D2278" s="7">
        <v>12210</v>
      </c>
      <c r="E2278" s="7">
        <v>12180</v>
      </c>
      <c r="F2278" s="7">
        <v>12200</v>
      </c>
      <c r="G2278" s="34">
        <v>136</v>
      </c>
      <c r="H2278" s="35">
        <v>3</v>
      </c>
      <c r="I2278" s="38">
        <f t="shared" si="35"/>
        <v>12202.5</v>
      </c>
    </row>
    <row r="2279" spans="1:9" x14ac:dyDescent="0.2">
      <c r="A2279" s="33">
        <v>41955</v>
      </c>
      <c r="B2279" s="36">
        <v>12197</v>
      </c>
      <c r="C2279" s="7">
        <v>12200</v>
      </c>
      <c r="D2279" s="7">
        <v>12215</v>
      </c>
      <c r="E2279" s="7">
        <v>12185</v>
      </c>
      <c r="F2279" s="7">
        <v>12200</v>
      </c>
      <c r="G2279" s="34">
        <v>200</v>
      </c>
      <c r="H2279" s="35">
        <v>-3</v>
      </c>
      <c r="I2279" s="38">
        <f t="shared" si="35"/>
        <v>12198.5</v>
      </c>
    </row>
    <row r="2280" spans="1:9" x14ac:dyDescent="0.2">
      <c r="A2280" s="33">
        <v>41954</v>
      </c>
      <c r="B2280" s="36">
        <v>12200</v>
      </c>
      <c r="C2280" s="7">
        <v>12210</v>
      </c>
      <c r="D2280" s="7">
        <v>12200</v>
      </c>
      <c r="E2280" s="7">
        <v>12150</v>
      </c>
      <c r="F2280" s="7">
        <v>12150</v>
      </c>
      <c r="G2280" s="34">
        <v>152</v>
      </c>
      <c r="H2280" s="35">
        <v>50</v>
      </c>
      <c r="I2280" s="38">
        <f t="shared" si="35"/>
        <v>12205</v>
      </c>
    </row>
    <row r="2281" spans="1:9" x14ac:dyDescent="0.2">
      <c r="A2281" s="33">
        <v>41953</v>
      </c>
      <c r="B2281" s="36">
        <v>12150</v>
      </c>
      <c r="C2281" s="7">
        <v>12155</v>
      </c>
      <c r="D2281" s="7">
        <v>12155</v>
      </c>
      <c r="E2281" s="7">
        <v>12120</v>
      </c>
      <c r="F2281" s="7">
        <v>12120</v>
      </c>
      <c r="G2281" s="34">
        <v>111</v>
      </c>
      <c r="H2281" s="35">
        <v>-20</v>
      </c>
      <c r="I2281" s="38">
        <f t="shared" si="35"/>
        <v>12152.5</v>
      </c>
    </row>
    <row r="2282" spans="1:9" x14ac:dyDescent="0.2">
      <c r="A2282" s="33">
        <v>41950</v>
      </c>
      <c r="B2282" s="36">
        <v>12170</v>
      </c>
      <c r="C2282" s="7">
        <v>12175</v>
      </c>
      <c r="D2282" s="7">
        <v>12172</v>
      </c>
      <c r="E2282" s="7">
        <v>12130</v>
      </c>
      <c r="F2282" s="7">
        <v>12170</v>
      </c>
      <c r="G2282" s="34">
        <v>142</v>
      </c>
      <c r="H2282" s="35">
        <v>35</v>
      </c>
      <c r="I2282" s="38">
        <f t="shared" si="35"/>
        <v>12172.5</v>
      </c>
    </row>
    <row r="2283" spans="1:9" x14ac:dyDescent="0.2">
      <c r="A2283" s="33">
        <v>41949</v>
      </c>
      <c r="B2283" s="36">
        <v>12135</v>
      </c>
      <c r="C2283" s="7">
        <v>12145</v>
      </c>
      <c r="D2283" s="7">
        <v>12190</v>
      </c>
      <c r="E2283" s="7">
        <v>12125</v>
      </c>
      <c r="F2283" s="7">
        <v>12150</v>
      </c>
      <c r="G2283" s="34">
        <v>157</v>
      </c>
      <c r="H2283" s="35">
        <v>-5</v>
      </c>
      <c r="I2283" s="38">
        <f t="shared" si="35"/>
        <v>12140</v>
      </c>
    </row>
    <row r="2284" spans="1:9" x14ac:dyDescent="0.2">
      <c r="A2284" s="33">
        <v>41948</v>
      </c>
      <c r="B2284" s="36">
        <v>12140</v>
      </c>
      <c r="C2284" s="7">
        <v>12145</v>
      </c>
      <c r="D2284" s="7">
        <v>12140</v>
      </c>
      <c r="E2284" s="7">
        <v>12075</v>
      </c>
      <c r="F2284" s="7">
        <v>12100</v>
      </c>
      <c r="G2284" s="34">
        <v>147</v>
      </c>
      <c r="H2284" s="35">
        <v>35</v>
      </c>
      <c r="I2284" s="38">
        <f t="shared" si="35"/>
        <v>12142.5</v>
      </c>
    </row>
    <row r="2285" spans="1:9" x14ac:dyDescent="0.2">
      <c r="A2285" s="33">
        <v>41947</v>
      </c>
      <c r="B2285" s="36">
        <v>12105</v>
      </c>
      <c r="C2285" s="7">
        <v>12110</v>
      </c>
      <c r="D2285" s="7">
        <v>12133</v>
      </c>
      <c r="E2285" s="7">
        <v>12095</v>
      </c>
      <c r="F2285" s="7">
        <v>12120</v>
      </c>
      <c r="G2285" s="34">
        <v>217</v>
      </c>
      <c r="H2285" s="35">
        <v>0</v>
      </c>
      <c r="I2285" s="38">
        <f t="shared" si="35"/>
        <v>12107.5</v>
      </c>
    </row>
    <row r="2286" spans="1:9" x14ac:dyDescent="0.2">
      <c r="A2286" s="33">
        <v>41946</v>
      </c>
      <c r="B2286" s="36">
        <v>12105</v>
      </c>
      <c r="C2286" s="7">
        <v>12110</v>
      </c>
      <c r="D2286" s="7">
        <v>12120</v>
      </c>
      <c r="E2286" s="7">
        <v>12087</v>
      </c>
      <c r="F2286" s="7">
        <v>12100</v>
      </c>
      <c r="G2286" s="34">
        <v>124</v>
      </c>
      <c r="H2286" s="35">
        <v>25</v>
      </c>
      <c r="I2286" s="38">
        <f t="shared" si="35"/>
        <v>12107.5</v>
      </c>
    </row>
    <row r="2287" spans="1:9" x14ac:dyDescent="0.2">
      <c r="A2287" s="33">
        <v>41943</v>
      </c>
      <c r="B2287" s="36">
        <v>12080</v>
      </c>
      <c r="C2287" s="7">
        <v>12090</v>
      </c>
      <c r="D2287" s="7">
        <v>12120</v>
      </c>
      <c r="E2287" s="7">
        <v>12055</v>
      </c>
      <c r="F2287" s="7">
        <v>12095</v>
      </c>
      <c r="G2287" s="34">
        <v>205</v>
      </c>
      <c r="H2287" s="35">
        <v>-40</v>
      </c>
      <c r="I2287" s="38">
        <f t="shared" si="35"/>
        <v>12085</v>
      </c>
    </row>
    <row r="2288" spans="1:9" x14ac:dyDescent="0.2">
      <c r="A2288" s="33">
        <v>41942</v>
      </c>
      <c r="B2288" s="36">
        <v>12120</v>
      </c>
      <c r="C2288" s="7">
        <v>12130</v>
      </c>
      <c r="D2288" s="7">
        <v>12180</v>
      </c>
      <c r="E2288" s="7">
        <v>12090</v>
      </c>
      <c r="F2288" s="7">
        <v>12100</v>
      </c>
      <c r="G2288" s="34">
        <v>246</v>
      </c>
      <c r="H2288" s="35">
        <v>45</v>
      </c>
      <c r="I2288" s="38">
        <f t="shared" si="35"/>
        <v>12125</v>
      </c>
    </row>
    <row r="2289" spans="1:9" x14ac:dyDescent="0.2">
      <c r="A2289" s="33">
        <v>41941</v>
      </c>
      <c r="B2289" s="36">
        <v>12075</v>
      </c>
      <c r="C2289" s="7">
        <v>12085</v>
      </c>
      <c r="D2289" s="7">
        <v>12175</v>
      </c>
      <c r="E2289" s="7">
        <v>12070</v>
      </c>
      <c r="F2289" s="7">
        <v>12120</v>
      </c>
      <c r="G2289" s="34">
        <v>174</v>
      </c>
      <c r="H2289" s="35">
        <v>-90</v>
      </c>
      <c r="I2289" s="38">
        <f t="shared" si="35"/>
        <v>12080</v>
      </c>
    </row>
    <row r="2290" spans="1:9" x14ac:dyDescent="0.2">
      <c r="A2290" s="33">
        <v>41940</v>
      </c>
      <c r="B2290" s="36">
        <v>12165</v>
      </c>
      <c r="C2290" s="7">
        <v>12175</v>
      </c>
      <c r="D2290" s="7">
        <v>12190</v>
      </c>
      <c r="E2290" s="7">
        <v>12095</v>
      </c>
      <c r="F2290" s="7">
        <v>12100</v>
      </c>
      <c r="G2290" s="34">
        <v>181</v>
      </c>
      <c r="H2290" s="35">
        <v>55</v>
      </c>
      <c r="I2290" s="38">
        <f t="shared" si="35"/>
        <v>12170</v>
      </c>
    </row>
    <row r="2291" spans="1:9" x14ac:dyDescent="0.2">
      <c r="A2291" s="33">
        <v>41939</v>
      </c>
      <c r="B2291" s="36">
        <v>12110</v>
      </c>
      <c r="C2291" s="7">
        <v>12115</v>
      </c>
      <c r="D2291" s="7">
        <v>12110</v>
      </c>
      <c r="E2291" s="7">
        <v>12030</v>
      </c>
      <c r="F2291" s="7">
        <v>12030</v>
      </c>
      <c r="G2291" s="34">
        <v>92</v>
      </c>
      <c r="H2291" s="35">
        <v>48</v>
      </c>
      <c r="I2291" s="38">
        <f t="shared" si="35"/>
        <v>12112.5</v>
      </c>
    </row>
    <row r="2292" spans="1:9" x14ac:dyDescent="0.2">
      <c r="A2292" s="33">
        <v>41936</v>
      </c>
      <c r="B2292" s="36">
        <v>12062</v>
      </c>
      <c r="C2292" s="7">
        <v>12070</v>
      </c>
      <c r="D2292" s="7">
        <v>12075</v>
      </c>
      <c r="E2292" s="7">
        <v>12050</v>
      </c>
      <c r="F2292" s="7">
        <v>12055</v>
      </c>
      <c r="G2292" s="34">
        <v>117</v>
      </c>
      <c r="H2292" s="35">
        <v>7</v>
      </c>
      <c r="I2292" s="38">
        <f t="shared" si="35"/>
        <v>12066</v>
      </c>
    </row>
    <row r="2293" spans="1:9" x14ac:dyDescent="0.2">
      <c r="A2293" s="33">
        <v>41935</v>
      </c>
      <c r="B2293" s="36">
        <v>12055</v>
      </c>
      <c r="C2293" s="7">
        <v>12065</v>
      </c>
      <c r="D2293" s="7">
        <v>12060</v>
      </c>
      <c r="E2293" s="7">
        <v>12015</v>
      </c>
      <c r="F2293" s="7">
        <v>12015</v>
      </c>
      <c r="G2293" s="34">
        <v>96</v>
      </c>
      <c r="H2293" s="35">
        <v>45</v>
      </c>
      <c r="I2293" s="38">
        <f t="shared" si="35"/>
        <v>12060</v>
      </c>
    </row>
    <row r="2294" spans="1:9" x14ac:dyDescent="0.2">
      <c r="A2294" s="33">
        <v>41934</v>
      </c>
      <c r="B2294" s="36">
        <v>12010</v>
      </c>
      <c r="C2294" s="7">
        <v>12015</v>
      </c>
      <c r="D2294" s="7">
        <v>12030</v>
      </c>
      <c r="E2294" s="7">
        <v>12000</v>
      </c>
      <c r="F2294" s="7">
        <v>12000</v>
      </c>
      <c r="G2294" s="34">
        <v>164</v>
      </c>
      <c r="H2294" s="35">
        <v>15</v>
      </c>
      <c r="I2294" s="38">
        <f t="shared" si="35"/>
        <v>12012.5</v>
      </c>
    </row>
    <row r="2295" spans="1:9" x14ac:dyDescent="0.2">
      <c r="A2295" s="33">
        <v>41933</v>
      </c>
      <c r="B2295" s="36">
        <v>11995</v>
      </c>
      <c r="C2295" s="7">
        <v>12005</v>
      </c>
      <c r="D2295" s="7">
        <v>12000</v>
      </c>
      <c r="E2295" s="7">
        <v>11950</v>
      </c>
      <c r="F2295" s="7">
        <v>11970</v>
      </c>
      <c r="G2295" s="34">
        <v>217</v>
      </c>
      <c r="H2295" s="35">
        <v>-35</v>
      </c>
      <c r="I2295" s="38">
        <f t="shared" si="35"/>
        <v>12000</v>
      </c>
    </row>
    <row r="2296" spans="1:9" x14ac:dyDescent="0.2">
      <c r="A2296" s="33">
        <v>41932</v>
      </c>
      <c r="B2296" s="36">
        <v>12030</v>
      </c>
      <c r="C2296" s="7">
        <v>12035</v>
      </c>
      <c r="D2296" s="7">
        <v>12060</v>
      </c>
      <c r="E2296" s="7">
        <v>11994</v>
      </c>
      <c r="F2296" s="7">
        <v>12050</v>
      </c>
      <c r="G2296" s="34">
        <v>120</v>
      </c>
      <c r="H2296" s="35">
        <v>-75</v>
      </c>
      <c r="I2296" s="38">
        <f t="shared" si="35"/>
        <v>12032.5</v>
      </c>
    </row>
    <row r="2297" spans="1:9" x14ac:dyDescent="0.2">
      <c r="A2297" s="33">
        <v>41929</v>
      </c>
      <c r="B2297" s="36">
        <v>12105</v>
      </c>
      <c r="C2297" s="7">
        <v>12108</v>
      </c>
      <c r="D2297" s="7">
        <v>12227</v>
      </c>
      <c r="E2297" s="7">
        <v>12100</v>
      </c>
      <c r="F2297" s="7">
        <v>12225</v>
      </c>
      <c r="G2297" s="34">
        <v>153</v>
      </c>
      <c r="H2297" s="35">
        <v>-140</v>
      </c>
      <c r="I2297" s="38">
        <f t="shared" si="35"/>
        <v>12106.5</v>
      </c>
    </row>
    <row r="2298" spans="1:9" x14ac:dyDescent="0.2">
      <c r="A2298" s="33">
        <v>41928</v>
      </c>
      <c r="B2298" s="36">
        <v>12245</v>
      </c>
      <c r="C2298" s="7">
        <v>12250</v>
      </c>
      <c r="D2298" s="7">
        <v>12250</v>
      </c>
      <c r="E2298" s="7">
        <v>12195</v>
      </c>
      <c r="F2298" s="7">
        <v>12195</v>
      </c>
      <c r="G2298" s="34">
        <v>110</v>
      </c>
      <c r="H2298" s="35">
        <v>22</v>
      </c>
      <c r="I2298" s="38">
        <f t="shared" si="35"/>
        <v>12247.5</v>
      </c>
    </row>
    <row r="2299" spans="1:9" x14ac:dyDescent="0.2">
      <c r="A2299" s="33">
        <v>41927</v>
      </c>
      <c r="B2299" s="36">
        <v>12223</v>
      </c>
      <c r="C2299" s="7">
        <v>12227</v>
      </c>
      <c r="D2299" s="7">
        <v>12235</v>
      </c>
      <c r="E2299" s="7">
        <v>12200</v>
      </c>
      <c r="F2299" s="7">
        <v>12210</v>
      </c>
      <c r="G2299" s="34">
        <v>121</v>
      </c>
      <c r="H2299" s="35">
        <v>18</v>
      </c>
      <c r="I2299" s="38">
        <f t="shared" si="35"/>
        <v>12225</v>
      </c>
    </row>
    <row r="2300" spans="1:9" x14ac:dyDescent="0.2">
      <c r="A2300" s="33">
        <v>41926</v>
      </c>
      <c r="B2300" s="36">
        <v>12205</v>
      </c>
      <c r="C2300" s="7">
        <v>12210</v>
      </c>
      <c r="D2300" s="7">
        <v>12207</v>
      </c>
      <c r="E2300" s="7">
        <v>12184</v>
      </c>
      <c r="F2300" s="7">
        <v>12200</v>
      </c>
      <c r="G2300" s="34">
        <v>142</v>
      </c>
      <c r="H2300" s="35">
        <v>-10</v>
      </c>
      <c r="I2300" s="38">
        <f t="shared" si="35"/>
        <v>12207.5</v>
      </c>
    </row>
    <row r="2301" spans="1:9" x14ac:dyDescent="0.2">
      <c r="A2301" s="33">
        <v>41925</v>
      </c>
      <c r="B2301" s="36">
        <v>12215</v>
      </c>
      <c r="C2301" s="7">
        <v>12217</v>
      </c>
      <c r="D2301" s="7">
        <v>12217</v>
      </c>
      <c r="E2301" s="7">
        <v>12185</v>
      </c>
      <c r="F2301" s="7">
        <v>12200</v>
      </c>
      <c r="G2301" s="34">
        <v>100</v>
      </c>
      <c r="H2301" s="35">
        <v>0</v>
      </c>
      <c r="I2301" s="38">
        <f t="shared" si="35"/>
        <v>12216</v>
      </c>
    </row>
    <row r="2302" spans="1:9" x14ac:dyDescent="0.2">
      <c r="A2302" s="33">
        <v>41922</v>
      </c>
      <c r="B2302" s="36">
        <v>12215</v>
      </c>
      <c r="C2302" s="7">
        <v>12225</v>
      </c>
      <c r="D2302" s="7">
        <v>12220</v>
      </c>
      <c r="E2302" s="7">
        <v>12190</v>
      </c>
      <c r="F2302" s="7">
        <v>12190</v>
      </c>
      <c r="G2302" s="34">
        <v>165</v>
      </c>
      <c r="H2302" s="35">
        <v>35</v>
      </c>
      <c r="I2302" s="38">
        <f t="shared" si="35"/>
        <v>12220</v>
      </c>
    </row>
    <row r="2303" spans="1:9" x14ac:dyDescent="0.2">
      <c r="A2303" s="33">
        <v>41921</v>
      </c>
      <c r="B2303" s="36">
        <v>12180</v>
      </c>
      <c r="C2303" s="7">
        <v>12190</v>
      </c>
      <c r="D2303" s="7">
        <v>12195</v>
      </c>
      <c r="E2303" s="7">
        <v>12155</v>
      </c>
      <c r="F2303" s="7">
        <v>12180</v>
      </c>
      <c r="G2303" s="34">
        <v>164</v>
      </c>
      <c r="H2303" s="35">
        <v>-55</v>
      </c>
      <c r="I2303" s="38">
        <f t="shared" si="35"/>
        <v>12185</v>
      </c>
    </row>
    <row r="2304" spans="1:9" x14ac:dyDescent="0.2">
      <c r="A2304" s="33">
        <v>41920</v>
      </c>
      <c r="B2304" s="36">
        <v>12235</v>
      </c>
      <c r="C2304" s="7">
        <v>12245</v>
      </c>
      <c r="D2304" s="7">
        <v>12248</v>
      </c>
      <c r="E2304" s="7">
        <v>12180</v>
      </c>
      <c r="F2304" s="7">
        <v>12180</v>
      </c>
      <c r="G2304" s="34">
        <v>96</v>
      </c>
      <c r="H2304" s="35">
        <v>35</v>
      </c>
      <c r="I2304" s="38">
        <f t="shared" si="35"/>
        <v>12240</v>
      </c>
    </row>
    <row r="2305" spans="1:9" x14ac:dyDescent="0.2">
      <c r="A2305" s="33">
        <v>41919</v>
      </c>
      <c r="B2305" s="36">
        <v>12200</v>
      </c>
      <c r="C2305" s="7">
        <v>12205</v>
      </c>
      <c r="D2305" s="7">
        <v>12200</v>
      </c>
      <c r="E2305" s="7">
        <v>12170</v>
      </c>
      <c r="F2305" s="7">
        <v>12170</v>
      </c>
      <c r="G2305" s="34">
        <v>116</v>
      </c>
      <c r="H2305" s="35">
        <v>-9</v>
      </c>
      <c r="I2305" s="38">
        <f t="shared" si="35"/>
        <v>12202.5</v>
      </c>
    </row>
    <row r="2306" spans="1:9" x14ac:dyDescent="0.2">
      <c r="A2306" s="33">
        <v>41918</v>
      </c>
      <c r="B2306" s="36">
        <v>12209</v>
      </c>
      <c r="C2306" s="7">
        <v>12211</v>
      </c>
      <c r="D2306" s="7">
        <v>12220</v>
      </c>
      <c r="E2306" s="7">
        <v>12190</v>
      </c>
      <c r="F2306" s="7">
        <v>12190</v>
      </c>
      <c r="G2306" s="34">
        <v>81</v>
      </c>
      <c r="H2306" s="35">
        <v>34</v>
      </c>
      <c r="I2306" s="38">
        <f t="shared" si="35"/>
        <v>12210</v>
      </c>
    </row>
    <row r="2307" spans="1:9" x14ac:dyDescent="0.2">
      <c r="A2307" s="33">
        <v>41915</v>
      </c>
      <c r="B2307" s="36">
        <v>12175</v>
      </c>
      <c r="C2307" s="7">
        <v>12178</v>
      </c>
      <c r="D2307" s="7">
        <v>12175</v>
      </c>
      <c r="E2307" s="7">
        <v>12120</v>
      </c>
      <c r="F2307" s="7">
        <v>12120</v>
      </c>
      <c r="G2307" s="34">
        <v>96</v>
      </c>
      <c r="H2307" s="35">
        <v>30</v>
      </c>
      <c r="I2307" s="38">
        <f t="shared" si="35"/>
        <v>12176.5</v>
      </c>
    </row>
    <row r="2308" spans="1:9" x14ac:dyDescent="0.2">
      <c r="A2308" s="33">
        <v>41914</v>
      </c>
      <c r="B2308" s="36">
        <v>12145</v>
      </c>
      <c r="C2308" s="7">
        <v>12155</v>
      </c>
      <c r="D2308" s="7">
        <v>12170</v>
      </c>
      <c r="E2308" s="7">
        <v>12115</v>
      </c>
      <c r="F2308" s="7">
        <v>12140</v>
      </c>
      <c r="G2308" s="34">
        <v>118</v>
      </c>
      <c r="H2308" s="35">
        <v>20</v>
      </c>
      <c r="I2308" s="38">
        <f t="shared" si="35"/>
        <v>12150</v>
      </c>
    </row>
    <row r="2309" spans="1:9" x14ac:dyDescent="0.2">
      <c r="A2309" s="33">
        <v>41913</v>
      </c>
      <c r="B2309" s="36">
        <v>12125</v>
      </c>
      <c r="C2309" s="7">
        <v>12130</v>
      </c>
      <c r="D2309" s="7">
        <v>12200</v>
      </c>
      <c r="E2309" s="7">
        <v>12125</v>
      </c>
      <c r="F2309" s="7">
        <v>12165</v>
      </c>
      <c r="G2309" s="34">
        <v>105</v>
      </c>
      <c r="H2309" s="35">
        <v>-55</v>
      </c>
      <c r="I2309" s="38">
        <f t="shared" si="35"/>
        <v>12127.5</v>
      </c>
    </row>
    <row r="2310" spans="1:9" x14ac:dyDescent="0.2">
      <c r="A2310" s="33">
        <v>41912</v>
      </c>
      <c r="B2310" s="36">
        <v>12180</v>
      </c>
      <c r="C2310" s="7">
        <v>12190</v>
      </c>
      <c r="D2310" s="7">
        <v>12230</v>
      </c>
      <c r="E2310" s="7">
        <v>12150</v>
      </c>
      <c r="F2310" s="7">
        <v>12200</v>
      </c>
      <c r="G2310" s="34">
        <v>89</v>
      </c>
      <c r="H2310" s="35">
        <v>15</v>
      </c>
      <c r="I2310" s="38">
        <f t="shared" si="35"/>
        <v>12185</v>
      </c>
    </row>
    <row r="2311" spans="1:9" x14ac:dyDescent="0.2">
      <c r="A2311" s="33">
        <v>41911</v>
      </c>
      <c r="B2311" s="36">
        <v>12165</v>
      </c>
      <c r="C2311" s="7">
        <v>12175</v>
      </c>
      <c r="D2311" s="7">
        <v>12165</v>
      </c>
      <c r="E2311" s="7">
        <v>12003</v>
      </c>
      <c r="F2311" s="7">
        <v>12003</v>
      </c>
      <c r="G2311" s="34">
        <v>77</v>
      </c>
      <c r="H2311" s="35">
        <v>145</v>
      </c>
      <c r="I2311" s="38">
        <f t="shared" si="35"/>
        <v>12170</v>
      </c>
    </row>
    <row r="2312" spans="1:9" x14ac:dyDescent="0.2">
      <c r="A2312" s="33">
        <v>41908</v>
      </c>
      <c r="B2312" s="36">
        <v>12020</v>
      </c>
      <c r="C2312" s="7">
        <v>12025</v>
      </c>
      <c r="D2312" s="7">
        <v>12035</v>
      </c>
      <c r="E2312" s="7">
        <v>11980</v>
      </c>
      <c r="F2312" s="7">
        <v>11980</v>
      </c>
      <c r="G2312" s="34">
        <v>94</v>
      </c>
      <c r="H2312" s="35">
        <v>45</v>
      </c>
      <c r="I2312" s="38">
        <f t="shared" si="35"/>
        <v>12022.5</v>
      </c>
    </row>
    <row r="2313" spans="1:9" x14ac:dyDescent="0.2">
      <c r="A2313" s="33">
        <v>41907</v>
      </c>
      <c r="B2313" s="36">
        <v>11975</v>
      </c>
      <c r="C2313" s="7">
        <v>11982</v>
      </c>
      <c r="D2313" s="7">
        <v>11980</v>
      </c>
      <c r="E2313" s="7">
        <v>11935</v>
      </c>
      <c r="F2313" s="7">
        <v>11955</v>
      </c>
      <c r="G2313" s="34">
        <v>107</v>
      </c>
      <c r="H2313" s="35">
        <v>25</v>
      </c>
      <c r="I2313" s="38">
        <f t="shared" si="35"/>
        <v>11978.5</v>
      </c>
    </row>
    <row r="2314" spans="1:9" x14ac:dyDescent="0.2">
      <c r="A2314" s="33">
        <v>41906</v>
      </c>
      <c r="B2314" s="36">
        <v>11950</v>
      </c>
      <c r="C2314" s="7">
        <v>11955</v>
      </c>
      <c r="D2314" s="7">
        <v>11980</v>
      </c>
      <c r="E2314" s="7">
        <v>11935</v>
      </c>
      <c r="F2314" s="7">
        <v>11969</v>
      </c>
      <c r="G2314" s="34">
        <v>149</v>
      </c>
      <c r="H2314" s="35">
        <v>-20</v>
      </c>
      <c r="I2314" s="38">
        <f t="shared" si="35"/>
        <v>11952.5</v>
      </c>
    </row>
    <row r="2315" spans="1:9" x14ac:dyDescent="0.2">
      <c r="A2315" s="33">
        <v>41905</v>
      </c>
      <c r="B2315" s="36">
        <v>11970</v>
      </c>
      <c r="C2315" s="7">
        <v>11975</v>
      </c>
      <c r="D2315" s="7">
        <v>11990</v>
      </c>
      <c r="E2315" s="7">
        <v>11970</v>
      </c>
      <c r="F2315" s="7">
        <v>11970</v>
      </c>
      <c r="G2315" s="34">
        <v>105</v>
      </c>
      <c r="H2315" s="35">
        <v>-2</v>
      </c>
      <c r="I2315" s="38">
        <f t="shared" si="35"/>
        <v>11972.5</v>
      </c>
    </row>
    <row r="2316" spans="1:9" x14ac:dyDescent="0.2">
      <c r="A2316" s="33">
        <v>41904</v>
      </c>
      <c r="B2316" s="36">
        <v>11972</v>
      </c>
      <c r="C2316" s="7">
        <v>11975</v>
      </c>
      <c r="D2316" s="7">
        <v>11975</v>
      </c>
      <c r="E2316" s="7">
        <v>11950</v>
      </c>
      <c r="F2316" s="7">
        <v>11960</v>
      </c>
      <c r="G2316" s="34">
        <v>120</v>
      </c>
      <c r="H2316" s="35">
        <v>7</v>
      </c>
      <c r="I2316" s="38">
        <f t="shared" si="35"/>
        <v>11973.5</v>
      </c>
    </row>
    <row r="2317" spans="1:9" x14ac:dyDescent="0.2">
      <c r="A2317" s="33">
        <v>41901</v>
      </c>
      <c r="B2317" s="36">
        <v>11965</v>
      </c>
      <c r="C2317" s="7">
        <v>11970</v>
      </c>
      <c r="D2317" s="7">
        <v>11990</v>
      </c>
      <c r="E2317" s="7">
        <v>11964</v>
      </c>
      <c r="F2317" s="7">
        <v>11970</v>
      </c>
      <c r="G2317" s="34">
        <v>160</v>
      </c>
      <c r="H2317" s="35">
        <v>-10</v>
      </c>
      <c r="I2317" s="38">
        <f t="shared" si="35"/>
        <v>11967.5</v>
      </c>
    </row>
    <row r="2318" spans="1:9" x14ac:dyDescent="0.2">
      <c r="A2318" s="33">
        <v>41900</v>
      </c>
      <c r="B2318" s="36">
        <v>11975</v>
      </c>
      <c r="C2318" s="7">
        <v>11985</v>
      </c>
      <c r="D2318" s="7">
        <v>12035</v>
      </c>
      <c r="E2318" s="7">
        <v>11975</v>
      </c>
      <c r="F2318" s="7">
        <v>12000</v>
      </c>
      <c r="G2318" s="34">
        <v>159</v>
      </c>
      <c r="H2318" s="35">
        <v>25</v>
      </c>
      <c r="I2318" s="38">
        <f t="shared" si="35"/>
        <v>11980</v>
      </c>
    </row>
    <row r="2319" spans="1:9" x14ac:dyDescent="0.2">
      <c r="A2319" s="33">
        <v>41899</v>
      </c>
      <c r="B2319" s="36">
        <v>11950</v>
      </c>
      <c r="C2319" s="7">
        <v>11960</v>
      </c>
      <c r="D2319" s="7">
        <v>11955</v>
      </c>
      <c r="E2319" s="7">
        <v>11885</v>
      </c>
      <c r="F2319" s="7">
        <v>11900</v>
      </c>
      <c r="G2319" s="34">
        <v>136</v>
      </c>
      <c r="H2319" s="35">
        <v>-10</v>
      </c>
      <c r="I2319" s="38">
        <f t="shared" si="35"/>
        <v>11955</v>
      </c>
    </row>
    <row r="2320" spans="1:9" x14ac:dyDescent="0.2">
      <c r="A2320" s="33">
        <v>41898</v>
      </c>
      <c r="B2320" s="36">
        <v>11960</v>
      </c>
      <c r="C2320" s="7">
        <v>11970</v>
      </c>
      <c r="D2320" s="7">
        <v>11960</v>
      </c>
      <c r="E2320" s="7">
        <v>11885</v>
      </c>
      <c r="F2320" s="7">
        <v>11900</v>
      </c>
      <c r="G2320" s="34">
        <v>105</v>
      </c>
      <c r="H2320" s="35">
        <v>35</v>
      </c>
      <c r="I2320" s="38">
        <f t="shared" si="35"/>
        <v>11965</v>
      </c>
    </row>
    <row r="2321" spans="1:9" x14ac:dyDescent="0.2">
      <c r="A2321" s="33">
        <v>41897</v>
      </c>
      <c r="B2321" s="36">
        <v>11925</v>
      </c>
      <c r="C2321" s="7">
        <v>11930</v>
      </c>
      <c r="D2321" s="7">
        <v>11925</v>
      </c>
      <c r="E2321" s="7">
        <v>11835</v>
      </c>
      <c r="F2321" s="7">
        <v>11835</v>
      </c>
      <c r="G2321" s="34">
        <v>93</v>
      </c>
      <c r="H2321" s="35">
        <v>107</v>
      </c>
      <c r="I2321" s="38">
        <f t="shared" si="35"/>
        <v>11927.5</v>
      </c>
    </row>
    <row r="2322" spans="1:9" x14ac:dyDescent="0.2">
      <c r="A2322" s="33">
        <v>41894</v>
      </c>
      <c r="B2322" s="36">
        <v>11818</v>
      </c>
      <c r="C2322" s="7">
        <v>11822</v>
      </c>
      <c r="D2322" s="7">
        <v>11835</v>
      </c>
      <c r="E2322" s="7">
        <v>11805</v>
      </c>
      <c r="F2322" s="7">
        <v>11810</v>
      </c>
      <c r="G2322" s="34">
        <v>152</v>
      </c>
      <c r="H2322" s="35">
        <v>-2</v>
      </c>
      <c r="I2322" s="38">
        <f t="shared" si="35"/>
        <v>11820</v>
      </c>
    </row>
    <row r="2323" spans="1:9" x14ac:dyDescent="0.2">
      <c r="A2323" s="33">
        <v>41893</v>
      </c>
      <c r="B2323" s="36">
        <v>11820</v>
      </c>
      <c r="C2323" s="7">
        <v>11830</v>
      </c>
      <c r="D2323" s="7">
        <v>11835</v>
      </c>
      <c r="E2323" s="7">
        <v>11800</v>
      </c>
      <c r="F2323" s="7">
        <v>11810</v>
      </c>
      <c r="G2323" s="34">
        <v>100</v>
      </c>
      <c r="H2323" s="35">
        <v>13</v>
      </c>
      <c r="I2323" s="38">
        <f t="shared" si="35"/>
        <v>11825</v>
      </c>
    </row>
    <row r="2324" spans="1:9" x14ac:dyDescent="0.2">
      <c r="A2324" s="33">
        <v>41892</v>
      </c>
      <c r="B2324" s="36">
        <v>11807</v>
      </c>
      <c r="C2324" s="7">
        <v>11817</v>
      </c>
      <c r="D2324" s="7">
        <v>11815</v>
      </c>
      <c r="E2324" s="7">
        <v>11760</v>
      </c>
      <c r="F2324" s="7">
        <v>11760</v>
      </c>
      <c r="G2324" s="34">
        <v>143</v>
      </c>
      <c r="H2324" s="35">
        <v>42</v>
      </c>
      <c r="I2324" s="38">
        <f t="shared" si="35"/>
        <v>11812</v>
      </c>
    </row>
    <row r="2325" spans="1:9" x14ac:dyDescent="0.2">
      <c r="A2325" s="33">
        <v>41891</v>
      </c>
      <c r="B2325" s="36">
        <v>11765</v>
      </c>
      <c r="C2325" s="7">
        <v>11768</v>
      </c>
      <c r="D2325" s="7">
        <v>11772</v>
      </c>
      <c r="E2325" s="7">
        <v>11730</v>
      </c>
      <c r="F2325" s="7">
        <v>11735</v>
      </c>
      <c r="G2325" s="34">
        <v>101</v>
      </c>
      <c r="H2325" s="35">
        <v>38</v>
      </c>
      <c r="I2325" s="38">
        <f t="shared" si="35"/>
        <v>11766.5</v>
      </c>
    </row>
    <row r="2326" spans="1:9" x14ac:dyDescent="0.2">
      <c r="A2326" s="33">
        <v>41890</v>
      </c>
      <c r="B2326" s="36">
        <v>11727</v>
      </c>
      <c r="C2326" s="7">
        <v>11732</v>
      </c>
      <c r="D2326" s="7">
        <v>11730</v>
      </c>
      <c r="E2326" s="7">
        <v>11713</v>
      </c>
      <c r="F2326" s="7">
        <v>11720</v>
      </c>
      <c r="G2326" s="34">
        <v>92</v>
      </c>
      <c r="H2326" s="35">
        <v>-23</v>
      </c>
      <c r="I2326" s="38">
        <f t="shared" si="35"/>
        <v>11729.5</v>
      </c>
    </row>
    <row r="2327" spans="1:9" x14ac:dyDescent="0.2">
      <c r="A2327" s="33">
        <v>41887</v>
      </c>
      <c r="B2327" s="36">
        <v>11750</v>
      </c>
      <c r="C2327" s="7">
        <v>11760</v>
      </c>
      <c r="D2327" s="7">
        <v>11780</v>
      </c>
      <c r="E2327" s="7">
        <v>11740</v>
      </c>
      <c r="F2327" s="7">
        <v>11780</v>
      </c>
      <c r="G2327" s="34">
        <v>119</v>
      </c>
      <c r="H2327" s="35">
        <v>-13</v>
      </c>
      <c r="I2327" s="38">
        <f t="shared" si="35"/>
        <v>11755</v>
      </c>
    </row>
    <row r="2328" spans="1:9" x14ac:dyDescent="0.2">
      <c r="A2328" s="33">
        <v>41886</v>
      </c>
      <c r="B2328" s="36">
        <v>11763</v>
      </c>
      <c r="C2328" s="7">
        <v>11765</v>
      </c>
      <c r="D2328" s="7">
        <v>11765</v>
      </c>
      <c r="E2328" s="7">
        <v>11750</v>
      </c>
      <c r="F2328" s="7">
        <v>11750</v>
      </c>
      <c r="G2328" s="34">
        <v>111</v>
      </c>
      <c r="H2328" s="35">
        <v>3</v>
      </c>
      <c r="I2328" s="38">
        <f t="shared" si="35"/>
        <v>11764</v>
      </c>
    </row>
    <row r="2329" spans="1:9" x14ac:dyDescent="0.2">
      <c r="A2329" s="33">
        <v>41885</v>
      </c>
      <c r="B2329" s="36">
        <v>11760</v>
      </c>
      <c r="C2329" s="7">
        <v>11770</v>
      </c>
      <c r="D2329" s="7">
        <v>11795</v>
      </c>
      <c r="E2329" s="7">
        <v>11745</v>
      </c>
      <c r="F2329" s="7">
        <v>11745</v>
      </c>
      <c r="G2329" s="34">
        <v>107</v>
      </c>
      <c r="H2329" s="35">
        <v>15</v>
      </c>
      <c r="I2329" s="38">
        <f t="shared" si="35"/>
        <v>11765</v>
      </c>
    </row>
    <row r="2330" spans="1:9" x14ac:dyDescent="0.2">
      <c r="A2330" s="33">
        <v>41884</v>
      </c>
      <c r="B2330" s="36">
        <v>11745</v>
      </c>
      <c r="C2330" s="7">
        <v>11750</v>
      </c>
      <c r="D2330" s="7">
        <v>11745</v>
      </c>
      <c r="E2330" s="7">
        <v>11705</v>
      </c>
      <c r="F2330" s="7">
        <v>11705</v>
      </c>
      <c r="G2330" s="34">
        <v>92</v>
      </c>
      <c r="H2330" s="35">
        <v>30</v>
      </c>
      <c r="I2330" s="38">
        <f t="shared" si="35"/>
        <v>11747.5</v>
      </c>
    </row>
    <row r="2331" spans="1:9" x14ac:dyDescent="0.2">
      <c r="A2331" s="33">
        <v>41883</v>
      </c>
      <c r="B2331" s="36">
        <v>11715</v>
      </c>
      <c r="C2331" s="7">
        <v>11717</v>
      </c>
      <c r="D2331" s="7">
        <v>11715</v>
      </c>
      <c r="E2331" s="7">
        <v>11690</v>
      </c>
      <c r="F2331" s="7">
        <v>11695</v>
      </c>
      <c r="G2331" s="34">
        <v>102</v>
      </c>
      <c r="H2331" s="35">
        <v>30</v>
      </c>
      <c r="I2331" s="38">
        <f t="shared" si="35"/>
        <v>11716</v>
      </c>
    </row>
    <row r="2332" spans="1:9" x14ac:dyDescent="0.2">
      <c r="A2332" s="33">
        <v>41880</v>
      </c>
      <c r="B2332" s="36">
        <v>11685</v>
      </c>
      <c r="C2332" s="7">
        <v>11695</v>
      </c>
      <c r="D2332" s="7">
        <v>11725</v>
      </c>
      <c r="E2332" s="7">
        <v>11685</v>
      </c>
      <c r="F2332" s="7">
        <v>11710</v>
      </c>
      <c r="G2332" s="34">
        <v>106</v>
      </c>
      <c r="H2332" s="35">
        <v>-13</v>
      </c>
      <c r="I2332" s="38">
        <f t="shared" si="35"/>
        <v>11690</v>
      </c>
    </row>
    <row r="2333" spans="1:9" x14ac:dyDescent="0.2">
      <c r="A2333" s="33">
        <v>41879</v>
      </c>
      <c r="B2333" s="36">
        <v>11698</v>
      </c>
      <c r="C2333" s="7">
        <v>11703</v>
      </c>
      <c r="D2333" s="7">
        <v>11715</v>
      </c>
      <c r="E2333" s="7">
        <v>11670</v>
      </c>
      <c r="F2333" s="7">
        <v>11672</v>
      </c>
      <c r="G2333" s="34">
        <v>108</v>
      </c>
      <c r="H2333" s="35">
        <v>18</v>
      </c>
      <c r="I2333" s="38">
        <f t="shared" si="35"/>
        <v>11700.5</v>
      </c>
    </row>
    <row r="2334" spans="1:9" x14ac:dyDescent="0.2">
      <c r="A2334" s="33">
        <v>41878</v>
      </c>
      <c r="B2334" s="36">
        <v>11680</v>
      </c>
      <c r="C2334" s="7">
        <v>11683</v>
      </c>
      <c r="D2334" s="7">
        <v>11710</v>
      </c>
      <c r="E2334" s="7">
        <v>11675</v>
      </c>
      <c r="F2334" s="7">
        <v>11700</v>
      </c>
      <c r="G2334" s="34">
        <v>147</v>
      </c>
      <c r="H2334" s="35">
        <v>-32</v>
      </c>
      <c r="I2334" s="38">
        <f t="shared" si="35"/>
        <v>11681.5</v>
      </c>
    </row>
    <row r="2335" spans="1:9" x14ac:dyDescent="0.2">
      <c r="A2335" s="33">
        <v>41877</v>
      </c>
      <c r="B2335" s="36">
        <v>11712</v>
      </c>
      <c r="C2335" s="7">
        <v>11714</v>
      </c>
      <c r="D2335" s="7">
        <v>11720</v>
      </c>
      <c r="E2335" s="7">
        <v>11700</v>
      </c>
      <c r="F2335" s="7">
        <v>11710</v>
      </c>
      <c r="G2335" s="34">
        <v>116</v>
      </c>
      <c r="H2335" s="35">
        <v>-4</v>
      </c>
      <c r="I2335" s="38">
        <f t="shared" si="35"/>
        <v>11713</v>
      </c>
    </row>
    <row r="2336" spans="1:9" x14ac:dyDescent="0.2">
      <c r="A2336" s="33">
        <v>41876</v>
      </c>
      <c r="B2336" s="36">
        <v>11716</v>
      </c>
      <c r="C2336" s="7">
        <v>11720</v>
      </c>
      <c r="D2336" s="7">
        <v>11720</v>
      </c>
      <c r="E2336" s="7">
        <v>11690</v>
      </c>
      <c r="F2336" s="7">
        <v>11690</v>
      </c>
      <c r="G2336" s="34">
        <v>71</v>
      </c>
      <c r="H2336" s="35">
        <v>41</v>
      </c>
      <c r="I2336" s="38">
        <f t="shared" ref="I2336:I2399" si="36">+(B2336+C2336)*0.5</f>
        <v>11718</v>
      </c>
    </row>
    <row r="2337" spans="1:9" x14ac:dyDescent="0.2">
      <c r="A2337" s="33">
        <v>41873</v>
      </c>
      <c r="B2337" s="36">
        <v>11675</v>
      </c>
      <c r="C2337" s="7">
        <v>11682</v>
      </c>
      <c r="D2337" s="7">
        <v>11680</v>
      </c>
      <c r="E2337" s="7">
        <v>11630</v>
      </c>
      <c r="F2337" s="7">
        <v>11630</v>
      </c>
      <c r="G2337" s="34">
        <v>145</v>
      </c>
      <c r="H2337" s="35">
        <v>-10</v>
      </c>
      <c r="I2337" s="38">
        <f t="shared" si="36"/>
        <v>11678.5</v>
      </c>
    </row>
    <row r="2338" spans="1:9" x14ac:dyDescent="0.2">
      <c r="A2338" s="33">
        <v>41872</v>
      </c>
      <c r="B2338" s="36">
        <v>11685</v>
      </c>
      <c r="C2338" s="7">
        <v>11695</v>
      </c>
      <c r="D2338" s="7">
        <v>11735</v>
      </c>
      <c r="E2338" s="7">
        <v>11685</v>
      </c>
      <c r="F2338" s="7">
        <v>11715</v>
      </c>
      <c r="G2338" s="34">
        <v>115</v>
      </c>
      <c r="H2338" s="35">
        <v>-13</v>
      </c>
      <c r="I2338" s="38">
        <f t="shared" si="36"/>
        <v>11690</v>
      </c>
    </row>
    <row r="2339" spans="1:9" x14ac:dyDescent="0.2">
      <c r="A2339" s="33">
        <v>41871</v>
      </c>
      <c r="B2339" s="36">
        <v>11698</v>
      </c>
      <c r="C2339" s="7">
        <v>11702</v>
      </c>
      <c r="D2339" s="7">
        <v>11715</v>
      </c>
      <c r="E2339" s="7">
        <v>11690</v>
      </c>
      <c r="F2339" s="7">
        <v>11690</v>
      </c>
      <c r="G2339" s="34">
        <v>138</v>
      </c>
      <c r="H2339" s="35">
        <v>20</v>
      </c>
      <c r="I2339" s="38">
        <f t="shared" si="36"/>
        <v>11700</v>
      </c>
    </row>
    <row r="2340" spans="1:9" x14ac:dyDescent="0.2">
      <c r="A2340" s="33">
        <v>41870</v>
      </c>
      <c r="B2340" s="36">
        <v>11678</v>
      </c>
      <c r="C2340" s="7">
        <v>11680</v>
      </c>
      <c r="D2340" s="7">
        <v>11685</v>
      </c>
      <c r="E2340" s="7">
        <v>11670</v>
      </c>
      <c r="F2340" s="7">
        <v>11677</v>
      </c>
      <c r="G2340" s="34">
        <v>110</v>
      </c>
      <c r="H2340" s="35">
        <v>-5</v>
      </c>
      <c r="I2340" s="38">
        <f t="shared" si="36"/>
        <v>11679</v>
      </c>
    </row>
    <row r="2341" spans="1:9" x14ac:dyDescent="0.2">
      <c r="A2341" s="33">
        <v>41869</v>
      </c>
      <c r="B2341" s="36">
        <v>11683</v>
      </c>
      <c r="C2341" s="7">
        <v>11686</v>
      </c>
      <c r="D2341" s="7">
        <v>11685</v>
      </c>
      <c r="E2341" s="7">
        <v>11667</v>
      </c>
      <c r="F2341" s="7">
        <v>11670</v>
      </c>
      <c r="G2341" s="34">
        <v>82</v>
      </c>
      <c r="H2341" s="35">
        <v>13</v>
      </c>
      <c r="I2341" s="38">
        <f t="shared" si="36"/>
        <v>11684.5</v>
      </c>
    </row>
    <row r="2342" spans="1:9" x14ac:dyDescent="0.2">
      <c r="A2342" s="33">
        <v>41866</v>
      </c>
      <c r="B2342" s="36">
        <v>11670</v>
      </c>
      <c r="C2342" s="7">
        <v>11680</v>
      </c>
      <c r="D2342" s="7">
        <v>11693</v>
      </c>
      <c r="E2342" s="7">
        <v>11662</v>
      </c>
      <c r="F2342" s="7">
        <v>11670</v>
      </c>
      <c r="G2342" s="34">
        <v>94</v>
      </c>
      <c r="H2342" s="35">
        <v>0</v>
      </c>
      <c r="I2342" s="38">
        <f t="shared" si="36"/>
        <v>11675</v>
      </c>
    </row>
    <row r="2343" spans="1:9" x14ac:dyDescent="0.2">
      <c r="A2343" s="33">
        <v>41865</v>
      </c>
      <c r="B2343" s="36">
        <v>11670</v>
      </c>
      <c r="C2343" s="7">
        <v>11675</v>
      </c>
      <c r="D2343" s="7">
        <v>11695</v>
      </c>
      <c r="E2343" s="7">
        <v>11655</v>
      </c>
      <c r="F2343" s="7">
        <v>11665</v>
      </c>
      <c r="G2343" s="34">
        <v>95</v>
      </c>
      <c r="H2343" s="35">
        <v>-20</v>
      </c>
      <c r="I2343" s="38">
        <f t="shared" si="36"/>
        <v>11672.5</v>
      </c>
    </row>
    <row r="2344" spans="1:9" x14ac:dyDescent="0.2">
      <c r="A2344" s="33">
        <v>41864</v>
      </c>
      <c r="B2344" s="36">
        <v>11690</v>
      </c>
      <c r="C2344" s="7">
        <v>11692</v>
      </c>
      <c r="D2344" s="7">
        <v>11696</v>
      </c>
      <c r="E2344" s="7">
        <v>11670</v>
      </c>
      <c r="F2344" s="7">
        <v>11675</v>
      </c>
      <c r="G2344" s="34">
        <v>103</v>
      </c>
      <c r="H2344" s="35">
        <v>5</v>
      </c>
      <c r="I2344" s="38">
        <f t="shared" si="36"/>
        <v>11691</v>
      </c>
    </row>
    <row r="2345" spans="1:9" x14ac:dyDescent="0.2">
      <c r="A2345" s="33">
        <v>41863</v>
      </c>
      <c r="B2345" s="36">
        <v>11685</v>
      </c>
      <c r="C2345" s="7">
        <v>11690</v>
      </c>
      <c r="D2345" s="7">
        <v>11690</v>
      </c>
      <c r="E2345" s="7">
        <v>11655</v>
      </c>
      <c r="F2345" s="7">
        <v>11660</v>
      </c>
      <c r="G2345" s="34">
        <v>77</v>
      </c>
      <c r="H2345" s="35">
        <v>20</v>
      </c>
      <c r="I2345" s="38">
        <f t="shared" si="36"/>
        <v>11687.5</v>
      </c>
    </row>
    <row r="2346" spans="1:9" x14ac:dyDescent="0.2">
      <c r="A2346" s="33">
        <v>41862</v>
      </c>
      <c r="B2346" s="36">
        <v>11665</v>
      </c>
      <c r="C2346" s="7">
        <v>11675</v>
      </c>
      <c r="D2346" s="7">
        <v>11740</v>
      </c>
      <c r="E2346" s="7">
        <v>11655</v>
      </c>
      <c r="F2346" s="7">
        <v>11730</v>
      </c>
      <c r="G2346" s="34">
        <v>98</v>
      </c>
      <c r="H2346" s="35">
        <v>-105</v>
      </c>
      <c r="I2346" s="38">
        <f t="shared" si="36"/>
        <v>11670</v>
      </c>
    </row>
    <row r="2347" spans="1:9" x14ac:dyDescent="0.2">
      <c r="A2347" s="33">
        <v>41859</v>
      </c>
      <c r="B2347" s="36">
        <v>11770</v>
      </c>
      <c r="C2347" s="7">
        <v>11785</v>
      </c>
      <c r="D2347" s="7">
        <v>11835</v>
      </c>
      <c r="E2347" s="7">
        <v>11770</v>
      </c>
      <c r="F2347" s="7">
        <v>11780</v>
      </c>
      <c r="G2347" s="34">
        <v>78</v>
      </c>
      <c r="H2347" s="35">
        <v>-20</v>
      </c>
      <c r="I2347" s="38">
        <f t="shared" si="36"/>
        <v>11777.5</v>
      </c>
    </row>
    <row r="2348" spans="1:9" x14ac:dyDescent="0.2">
      <c r="A2348" s="33">
        <v>41858</v>
      </c>
      <c r="B2348" s="36">
        <v>11790</v>
      </c>
      <c r="C2348" s="7">
        <v>11800</v>
      </c>
      <c r="D2348" s="7">
        <v>11810</v>
      </c>
      <c r="E2348" s="7">
        <v>11750</v>
      </c>
      <c r="F2348" s="7">
        <v>11760</v>
      </c>
      <c r="G2348" s="34">
        <v>63</v>
      </c>
      <c r="H2348" s="35">
        <v>45</v>
      </c>
      <c r="I2348" s="38">
        <f t="shared" si="36"/>
        <v>11795</v>
      </c>
    </row>
    <row r="2349" spans="1:9" x14ac:dyDescent="0.2">
      <c r="A2349" s="33">
        <v>41857</v>
      </c>
      <c r="B2349" s="36">
        <v>11745</v>
      </c>
      <c r="C2349" s="7">
        <v>11755</v>
      </c>
      <c r="D2349" s="7">
        <v>11770</v>
      </c>
      <c r="E2349" s="7">
        <v>11725</v>
      </c>
      <c r="F2349" s="7">
        <v>11725</v>
      </c>
      <c r="G2349" s="34">
        <v>93</v>
      </c>
      <c r="H2349" s="35">
        <v>50</v>
      </c>
      <c r="I2349" s="38">
        <f t="shared" si="36"/>
        <v>11750</v>
      </c>
    </row>
    <row r="2350" spans="1:9" x14ac:dyDescent="0.2">
      <c r="A2350" s="33">
        <v>41856</v>
      </c>
      <c r="B2350" s="36">
        <v>11695</v>
      </c>
      <c r="C2350" s="7">
        <v>11699</v>
      </c>
      <c r="D2350" s="7">
        <v>11745</v>
      </c>
      <c r="E2350" s="7">
        <v>11680</v>
      </c>
      <c r="F2350" s="7">
        <v>11745</v>
      </c>
      <c r="G2350" s="34">
        <v>81</v>
      </c>
      <c r="H2350" s="35">
        <v>-58</v>
      </c>
      <c r="I2350" s="38">
        <f t="shared" si="36"/>
        <v>11697</v>
      </c>
    </row>
    <row r="2351" spans="1:9" x14ac:dyDescent="0.2">
      <c r="A2351" s="33">
        <v>41855</v>
      </c>
      <c r="B2351" s="36">
        <v>11753</v>
      </c>
      <c r="C2351" s="7">
        <v>11763</v>
      </c>
      <c r="D2351" s="7">
        <v>11760</v>
      </c>
      <c r="E2351" s="7">
        <v>11700</v>
      </c>
      <c r="F2351" s="7">
        <v>11720</v>
      </c>
      <c r="G2351" s="34">
        <v>61</v>
      </c>
      <c r="H2351" s="35">
        <v>-22</v>
      </c>
      <c r="I2351" s="38">
        <f t="shared" si="36"/>
        <v>11758</v>
      </c>
    </row>
    <row r="2352" spans="1:9" x14ac:dyDescent="0.2">
      <c r="A2352" s="33">
        <v>41852</v>
      </c>
      <c r="B2352" s="36">
        <v>11775</v>
      </c>
      <c r="C2352" s="7">
        <v>11825</v>
      </c>
      <c r="D2352" s="7">
        <v>11810</v>
      </c>
      <c r="E2352" s="7">
        <v>11580</v>
      </c>
      <c r="F2352" s="7">
        <v>11580</v>
      </c>
      <c r="G2352" s="34">
        <v>26</v>
      </c>
      <c r="H2352" s="35">
        <v>200</v>
      </c>
      <c r="I2352" s="38">
        <f t="shared" si="36"/>
        <v>11800</v>
      </c>
    </row>
    <row r="2353" spans="1:9" x14ac:dyDescent="0.2">
      <c r="A2353" s="33">
        <v>41851</v>
      </c>
      <c r="B2353" s="36">
        <v>11575</v>
      </c>
      <c r="C2353" s="7">
        <v>11580</v>
      </c>
      <c r="D2353" s="7"/>
      <c r="E2353" s="7"/>
      <c r="F2353" s="7"/>
      <c r="G2353" s="34"/>
      <c r="H2353" s="35">
        <v>0</v>
      </c>
      <c r="I2353" s="38">
        <f t="shared" si="36"/>
        <v>11577.5</v>
      </c>
    </row>
    <row r="2354" spans="1:9" x14ac:dyDescent="0.2">
      <c r="A2354" s="33">
        <v>41850</v>
      </c>
      <c r="B2354" s="36">
        <v>11575</v>
      </c>
      <c r="C2354" s="7">
        <v>11580</v>
      </c>
      <c r="D2354" s="7"/>
      <c r="E2354" s="7"/>
      <c r="F2354" s="7"/>
      <c r="G2354" s="34"/>
      <c r="H2354" s="35">
        <v>0</v>
      </c>
      <c r="I2354" s="38">
        <f t="shared" si="36"/>
        <v>11577.5</v>
      </c>
    </row>
    <row r="2355" spans="1:9" x14ac:dyDescent="0.2">
      <c r="A2355" s="33">
        <v>41849</v>
      </c>
      <c r="B2355" s="36">
        <v>11575</v>
      </c>
      <c r="C2355" s="7">
        <v>11580</v>
      </c>
      <c r="D2355" s="7"/>
      <c r="E2355" s="7"/>
      <c r="F2355" s="7"/>
      <c r="G2355" s="34"/>
      <c r="H2355" s="35">
        <v>0</v>
      </c>
      <c r="I2355" s="38">
        <f t="shared" si="36"/>
        <v>11577.5</v>
      </c>
    </row>
    <row r="2356" spans="1:9" x14ac:dyDescent="0.2">
      <c r="A2356" s="33">
        <v>41848</v>
      </c>
      <c r="B2356" s="36">
        <v>11575</v>
      </c>
      <c r="C2356" s="7">
        <v>11580</v>
      </c>
      <c r="D2356" s="7"/>
      <c r="E2356" s="7"/>
      <c r="F2356" s="7"/>
      <c r="G2356" s="34"/>
      <c r="H2356" s="35">
        <v>0</v>
      </c>
      <c r="I2356" s="38">
        <f t="shared" si="36"/>
        <v>11577.5</v>
      </c>
    </row>
    <row r="2357" spans="1:9" x14ac:dyDescent="0.2">
      <c r="A2357" s="33">
        <v>41845</v>
      </c>
      <c r="B2357" s="36">
        <v>11575</v>
      </c>
      <c r="C2357" s="7">
        <v>11580</v>
      </c>
      <c r="D2357" s="7">
        <v>11607</v>
      </c>
      <c r="E2357" s="7">
        <v>11552</v>
      </c>
      <c r="F2357" s="7">
        <v>11565</v>
      </c>
      <c r="G2357" s="34">
        <v>62</v>
      </c>
      <c r="H2357" s="35">
        <v>10</v>
      </c>
      <c r="I2357" s="38">
        <f t="shared" si="36"/>
        <v>11577.5</v>
      </c>
    </row>
    <row r="2358" spans="1:9" x14ac:dyDescent="0.2">
      <c r="A2358" s="33">
        <v>41844</v>
      </c>
      <c r="B2358" s="36">
        <v>11565</v>
      </c>
      <c r="C2358" s="7">
        <v>11570</v>
      </c>
      <c r="D2358" s="7">
        <v>11565</v>
      </c>
      <c r="E2358" s="7">
        <v>11500</v>
      </c>
      <c r="F2358" s="7">
        <v>11500</v>
      </c>
      <c r="G2358" s="34">
        <v>58</v>
      </c>
      <c r="H2358" s="35">
        <v>70</v>
      </c>
      <c r="I2358" s="38">
        <f t="shared" si="36"/>
        <v>11567.5</v>
      </c>
    </row>
    <row r="2359" spans="1:9" x14ac:dyDescent="0.2">
      <c r="A2359" s="33">
        <v>41843</v>
      </c>
      <c r="B2359" s="36">
        <v>11495</v>
      </c>
      <c r="C2359" s="7">
        <v>11505</v>
      </c>
      <c r="D2359" s="7">
        <v>11550</v>
      </c>
      <c r="E2359" s="7">
        <v>11475</v>
      </c>
      <c r="F2359" s="7">
        <v>11550</v>
      </c>
      <c r="G2359" s="34">
        <v>74</v>
      </c>
      <c r="H2359" s="35">
        <v>-95</v>
      </c>
      <c r="I2359" s="38">
        <f t="shared" si="36"/>
        <v>11500</v>
      </c>
    </row>
    <row r="2360" spans="1:9" x14ac:dyDescent="0.2">
      <c r="A2360" s="33">
        <v>41842</v>
      </c>
      <c r="B2360" s="36">
        <v>11590</v>
      </c>
      <c r="C2360" s="7">
        <v>11620</v>
      </c>
      <c r="D2360" s="7">
        <v>11620</v>
      </c>
      <c r="E2360" s="7">
        <v>11500</v>
      </c>
      <c r="F2360" s="7">
        <v>11520</v>
      </c>
      <c r="G2360" s="34">
        <v>91</v>
      </c>
      <c r="H2360" s="35">
        <v>23</v>
      </c>
      <c r="I2360" s="38">
        <f t="shared" si="36"/>
        <v>11605</v>
      </c>
    </row>
    <row r="2361" spans="1:9" x14ac:dyDescent="0.2">
      <c r="A2361" s="33">
        <v>41841</v>
      </c>
      <c r="B2361" s="36">
        <v>11567</v>
      </c>
      <c r="C2361" s="7">
        <v>11573</v>
      </c>
      <c r="D2361" s="7">
        <v>11585</v>
      </c>
      <c r="E2361" s="7">
        <v>11550</v>
      </c>
      <c r="F2361" s="7">
        <v>11580</v>
      </c>
      <c r="G2361" s="34">
        <v>79</v>
      </c>
      <c r="H2361" s="35">
        <v>-43</v>
      </c>
      <c r="I2361" s="38">
        <f t="shared" si="36"/>
        <v>11570</v>
      </c>
    </row>
    <row r="2362" spans="1:9" x14ac:dyDescent="0.2">
      <c r="A2362" s="33">
        <v>41838</v>
      </c>
      <c r="B2362" s="36">
        <v>11610</v>
      </c>
      <c r="C2362" s="7">
        <v>11620</v>
      </c>
      <c r="D2362" s="7">
        <v>11715</v>
      </c>
      <c r="E2362" s="7">
        <v>11599</v>
      </c>
      <c r="F2362" s="7">
        <v>11690</v>
      </c>
      <c r="G2362" s="34">
        <v>65</v>
      </c>
      <c r="H2362" s="35">
        <v>-70</v>
      </c>
      <c r="I2362" s="38">
        <f t="shared" si="36"/>
        <v>11615</v>
      </c>
    </row>
    <row r="2363" spans="1:9" x14ac:dyDescent="0.2">
      <c r="A2363" s="33">
        <v>41837</v>
      </c>
      <c r="B2363" s="36">
        <v>11680</v>
      </c>
      <c r="C2363" s="7">
        <v>11690</v>
      </c>
      <c r="D2363" s="7">
        <v>11705</v>
      </c>
      <c r="E2363" s="7">
        <v>11630</v>
      </c>
      <c r="F2363" s="7">
        <v>11660</v>
      </c>
      <c r="G2363" s="34">
        <v>69</v>
      </c>
      <c r="H2363" s="35">
        <v>-10</v>
      </c>
      <c r="I2363" s="38">
        <f t="shared" si="36"/>
        <v>11685</v>
      </c>
    </row>
    <row r="2364" spans="1:9" x14ac:dyDescent="0.2">
      <c r="A2364" s="33">
        <v>41836</v>
      </c>
      <c r="B2364" s="36">
        <v>11690</v>
      </c>
      <c r="C2364" s="7">
        <v>11700</v>
      </c>
      <c r="D2364" s="7">
        <v>11825</v>
      </c>
      <c r="E2364" s="7">
        <v>11685</v>
      </c>
      <c r="F2364" s="7">
        <v>11760</v>
      </c>
      <c r="G2364" s="34">
        <v>110</v>
      </c>
      <c r="H2364" s="35">
        <v>-40</v>
      </c>
      <c r="I2364" s="38">
        <f t="shared" si="36"/>
        <v>11695</v>
      </c>
    </row>
    <row r="2365" spans="1:9" x14ac:dyDescent="0.2">
      <c r="A2365" s="33">
        <v>41835</v>
      </c>
      <c r="B2365" s="36">
        <v>11730</v>
      </c>
      <c r="C2365" s="7">
        <v>11740</v>
      </c>
      <c r="D2365" s="7">
        <v>11735</v>
      </c>
      <c r="E2365" s="7">
        <v>11650</v>
      </c>
      <c r="F2365" s="7">
        <v>11650</v>
      </c>
      <c r="G2365" s="34">
        <v>81</v>
      </c>
      <c r="H2365" s="35">
        <v>70</v>
      </c>
      <c r="I2365" s="38">
        <f t="shared" si="36"/>
        <v>11735</v>
      </c>
    </row>
    <row r="2366" spans="1:9" x14ac:dyDescent="0.2">
      <c r="A2366" s="33">
        <v>41834</v>
      </c>
      <c r="B2366" s="36">
        <v>11660</v>
      </c>
      <c r="C2366" s="7">
        <v>11663</v>
      </c>
      <c r="D2366" s="7">
        <v>11660</v>
      </c>
      <c r="E2366" s="7">
        <v>11600</v>
      </c>
      <c r="F2366" s="7">
        <v>11605</v>
      </c>
      <c r="G2366" s="34">
        <v>70</v>
      </c>
      <c r="H2366" s="35">
        <v>80</v>
      </c>
      <c r="I2366" s="38">
        <f t="shared" si="36"/>
        <v>11661.5</v>
      </c>
    </row>
    <row r="2367" spans="1:9" x14ac:dyDescent="0.2">
      <c r="A2367" s="33">
        <v>41831</v>
      </c>
      <c r="B2367" s="36">
        <v>11580</v>
      </c>
      <c r="C2367" s="7">
        <v>11590</v>
      </c>
      <c r="D2367" s="7">
        <v>11630</v>
      </c>
      <c r="E2367" s="7">
        <v>11572</v>
      </c>
      <c r="F2367" s="7">
        <v>11590</v>
      </c>
      <c r="G2367" s="34">
        <v>88</v>
      </c>
      <c r="H2367" s="35">
        <v>10</v>
      </c>
      <c r="I2367" s="38">
        <f t="shared" si="36"/>
        <v>11585</v>
      </c>
    </row>
    <row r="2368" spans="1:9" x14ac:dyDescent="0.2">
      <c r="A2368" s="33">
        <v>41830</v>
      </c>
      <c r="B2368" s="36">
        <v>11570</v>
      </c>
      <c r="C2368" s="7">
        <v>11580</v>
      </c>
      <c r="D2368" s="7">
        <v>11585</v>
      </c>
      <c r="E2368" s="7">
        <v>11500</v>
      </c>
      <c r="F2368" s="7">
        <v>11550</v>
      </c>
      <c r="G2368" s="34">
        <v>86</v>
      </c>
      <c r="H2368" s="35">
        <v>-50</v>
      </c>
      <c r="I2368" s="38">
        <f t="shared" si="36"/>
        <v>11575</v>
      </c>
    </row>
    <row r="2369" spans="1:9" x14ac:dyDescent="0.2">
      <c r="A2369" s="33">
        <v>41829</v>
      </c>
      <c r="B2369" s="36">
        <v>11620</v>
      </c>
      <c r="C2369" s="7">
        <v>11630</v>
      </c>
      <c r="D2369" s="7"/>
      <c r="E2369" s="7"/>
      <c r="F2369" s="7"/>
      <c r="G2369" s="34"/>
      <c r="H2369" s="35">
        <v>0</v>
      </c>
      <c r="I2369" s="38">
        <f t="shared" si="36"/>
        <v>11625</v>
      </c>
    </row>
    <row r="2370" spans="1:9" x14ac:dyDescent="0.2">
      <c r="A2370" s="33">
        <v>41828</v>
      </c>
      <c r="B2370" s="36">
        <v>11620</v>
      </c>
      <c r="C2370" s="7">
        <v>11630</v>
      </c>
      <c r="D2370" s="7">
        <v>11710</v>
      </c>
      <c r="E2370" s="7">
        <v>11590</v>
      </c>
      <c r="F2370" s="7">
        <v>11685</v>
      </c>
      <c r="G2370" s="34">
        <v>99</v>
      </c>
      <c r="H2370" s="35">
        <v>-75</v>
      </c>
      <c r="I2370" s="38">
        <f t="shared" si="36"/>
        <v>11625</v>
      </c>
    </row>
    <row r="2371" spans="1:9" x14ac:dyDescent="0.2">
      <c r="A2371" s="33">
        <v>41827</v>
      </c>
      <c r="B2371" s="36">
        <v>11695</v>
      </c>
      <c r="C2371" s="7">
        <v>11705</v>
      </c>
      <c r="D2371" s="7">
        <v>11850</v>
      </c>
      <c r="E2371" s="7">
        <v>11677</v>
      </c>
      <c r="F2371" s="7">
        <v>11850</v>
      </c>
      <c r="G2371" s="34">
        <v>120</v>
      </c>
      <c r="H2371" s="35">
        <v>-175</v>
      </c>
      <c r="I2371" s="38">
        <f t="shared" si="36"/>
        <v>11700</v>
      </c>
    </row>
    <row r="2372" spans="1:9" x14ac:dyDescent="0.2">
      <c r="A2372" s="33">
        <v>41824</v>
      </c>
      <c r="B2372" s="36">
        <v>11870</v>
      </c>
      <c r="C2372" s="7">
        <v>11875</v>
      </c>
      <c r="D2372" s="7">
        <v>11915</v>
      </c>
      <c r="E2372" s="7">
        <v>11855</v>
      </c>
      <c r="F2372" s="7">
        <v>11915</v>
      </c>
      <c r="G2372" s="34">
        <v>156</v>
      </c>
      <c r="H2372" s="35">
        <v>-45</v>
      </c>
      <c r="I2372" s="38">
        <f t="shared" si="36"/>
        <v>11872.5</v>
      </c>
    </row>
    <row r="2373" spans="1:9" x14ac:dyDescent="0.2">
      <c r="A2373" s="33">
        <v>41823</v>
      </c>
      <c r="B2373" s="36">
        <v>11915</v>
      </c>
      <c r="C2373" s="7">
        <v>11920</v>
      </c>
      <c r="D2373" s="7">
        <v>11965</v>
      </c>
      <c r="E2373" s="7">
        <v>11900</v>
      </c>
      <c r="F2373" s="7">
        <v>11930</v>
      </c>
      <c r="G2373" s="34">
        <v>87</v>
      </c>
      <c r="H2373" s="35">
        <v>10</v>
      </c>
      <c r="I2373" s="38">
        <f t="shared" si="36"/>
        <v>11917.5</v>
      </c>
    </row>
    <row r="2374" spans="1:9" x14ac:dyDescent="0.2">
      <c r="A2374" s="33">
        <v>41822</v>
      </c>
      <c r="B2374" s="36">
        <v>11905</v>
      </c>
      <c r="C2374" s="7">
        <v>11915</v>
      </c>
      <c r="D2374" s="7">
        <v>11930</v>
      </c>
      <c r="E2374" s="7">
        <v>11800</v>
      </c>
      <c r="F2374" s="7">
        <v>11840</v>
      </c>
      <c r="G2374" s="34">
        <v>84</v>
      </c>
      <c r="H2374" s="35">
        <v>60</v>
      </c>
      <c r="I2374" s="38">
        <f t="shared" si="36"/>
        <v>11910</v>
      </c>
    </row>
    <row r="2375" spans="1:9" x14ac:dyDescent="0.2">
      <c r="A2375" s="33">
        <v>41821</v>
      </c>
      <c r="B2375" s="36">
        <v>11845</v>
      </c>
      <c r="C2375" s="7">
        <v>11865</v>
      </c>
      <c r="D2375" s="7">
        <v>11890</v>
      </c>
      <c r="E2375" s="7">
        <v>11755</v>
      </c>
      <c r="F2375" s="7">
        <v>11825</v>
      </c>
      <c r="G2375" s="34">
        <v>97</v>
      </c>
      <c r="H2375" s="35">
        <v>0</v>
      </c>
      <c r="I2375" s="38">
        <f t="shared" si="36"/>
        <v>11855</v>
      </c>
    </row>
    <row r="2376" spans="1:9" x14ac:dyDescent="0.2">
      <c r="A2376" s="33">
        <v>41820</v>
      </c>
      <c r="B2376" s="36">
        <v>11845</v>
      </c>
      <c r="C2376" s="7">
        <v>11865</v>
      </c>
      <c r="D2376" s="7">
        <v>12005</v>
      </c>
      <c r="E2376" s="7">
        <v>11815</v>
      </c>
      <c r="F2376" s="7">
        <v>12000</v>
      </c>
      <c r="G2376" s="34">
        <v>52</v>
      </c>
      <c r="H2376" s="35">
        <v>-145</v>
      </c>
      <c r="I2376" s="38">
        <f t="shared" si="36"/>
        <v>11855</v>
      </c>
    </row>
    <row r="2377" spans="1:9" x14ac:dyDescent="0.2">
      <c r="A2377" s="33">
        <v>41817</v>
      </c>
      <c r="B2377" s="36">
        <v>11990</v>
      </c>
      <c r="C2377" s="7">
        <v>12000</v>
      </c>
      <c r="D2377" s="7">
        <v>12105</v>
      </c>
      <c r="E2377" s="7">
        <v>11980</v>
      </c>
      <c r="F2377" s="7">
        <v>12095</v>
      </c>
      <c r="G2377" s="34">
        <v>119</v>
      </c>
      <c r="H2377" s="35">
        <v>-108</v>
      </c>
      <c r="I2377" s="38">
        <f t="shared" si="36"/>
        <v>11995</v>
      </c>
    </row>
    <row r="2378" spans="1:9" x14ac:dyDescent="0.2">
      <c r="A2378" s="33">
        <v>41816</v>
      </c>
      <c r="B2378" s="36">
        <v>12098</v>
      </c>
      <c r="C2378" s="7">
        <v>12100</v>
      </c>
      <c r="D2378" s="7">
        <v>12098</v>
      </c>
      <c r="E2378" s="7">
        <v>12070</v>
      </c>
      <c r="F2378" s="7">
        <v>12070</v>
      </c>
      <c r="G2378" s="34">
        <v>70</v>
      </c>
      <c r="H2378" s="35">
        <v>13</v>
      </c>
      <c r="I2378" s="38">
        <f t="shared" si="36"/>
        <v>12099</v>
      </c>
    </row>
    <row r="2379" spans="1:9" x14ac:dyDescent="0.2">
      <c r="A2379" s="33">
        <v>41815</v>
      </c>
      <c r="B2379" s="36">
        <v>12085</v>
      </c>
      <c r="C2379" s="7">
        <v>12095</v>
      </c>
      <c r="D2379" s="7">
        <v>12090</v>
      </c>
      <c r="E2379" s="7">
        <v>11990</v>
      </c>
      <c r="F2379" s="7">
        <v>11990</v>
      </c>
      <c r="G2379" s="34">
        <v>73</v>
      </c>
      <c r="H2379" s="35">
        <v>100</v>
      </c>
      <c r="I2379" s="38">
        <f t="shared" si="36"/>
        <v>12090</v>
      </c>
    </row>
    <row r="2380" spans="1:9" x14ac:dyDescent="0.2">
      <c r="A2380" s="33">
        <v>41814</v>
      </c>
      <c r="B2380" s="36">
        <v>11985</v>
      </c>
      <c r="C2380" s="7">
        <v>11990</v>
      </c>
      <c r="D2380" s="7">
        <v>11998</v>
      </c>
      <c r="E2380" s="7">
        <v>11980</v>
      </c>
      <c r="F2380" s="7">
        <v>11980</v>
      </c>
      <c r="G2380" s="34">
        <v>77</v>
      </c>
      <c r="H2380" s="35">
        <v>0</v>
      </c>
      <c r="I2380" s="38">
        <f t="shared" si="36"/>
        <v>11987.5</v>
      </c>
    </row>
    <row r="2381" spans="1:9" x14ac:dyDescent="0.2">
      <c r="A2381" s="33">
        <v>41813</v>
      </c>
      <c r="B2381" s="36">
        <v>11985</v>
      </c>
      <c r="C2381" s="7">
        <v>11995</v>
      </c>
      <c r="D2381" s="7">
        <v>11985</v>
      </c>
      <c r="E2381" s="7">
        <v>11955</v>
      </c>
      <c r="F2381" s="7">
        <v>11955</v>
      </c>
      <c r="G2381" s="34">
        <v>54</v>
      </c>
      <c r="H2381" s="35">
        <v>17</v>
      </c>
      <c r="I2381" s="38">
        <f t="shared" si="36"/>
        <v>11990</v>
      </c>
    </row>
    <row r="2382" spans="1:9" x14ac:dyDescent="0.2">
      <c r="A2382" s="33">
        <v>41810</v>
      </c>
      <c r="B2382" s="36">
        <v>11968</v>
      </c>
      <c r="C2382" s="7">
        <v>11975</v>
      </c>
      <c r="D2382" s="7">
        <v>11977</v>
      </c>
      <c r="E2382" s="7">
        <v>11935</v>
      </c>
      <c r="F2382" s="7">
        <v>11935</v>
      </c>
      <c r="G2382" s="34">
        <v>47</v>
      </c>
      <c r="H2382" s="35">
        <v>38</v>
      </c>
      <c r="I2382" s="38">
        <f t="shared" si="36"/>
        <v>11971.5</v>
      </c>
    </row>
    <row r="2383" spans="1:9" x14ac:dyDescent="0.2">
      <c r="A2383" s="33">
        <v>41809</v>
      </c>
      <c r="B2383" s="36">
        <v>11930</v>
      </c>
      <c r="C2383" s="7">
        <v>11938</v>
      </c>
      <c r="D2383" s="7">
        <v>11940</v>
      </c>
      <c r="E2383" s="7">
        <v>11890</v>
      </c>
      <c r="F2383" s="7">
        <v>11895</v>
      </c>
      <c r="G2383" s="34">
        <v>62</v>
      </c>
      <c r="H2383" s="35">
        <v>-65</v>
      </c>
      <c r="I2383" s="38">
        <f t="shared" si="36"/>
        <v>11934</v>
      </c>
    </row>
    <row r="2384" spans="1:9" x14ac:dyDescent="0.2">
      <c r="A2384" s="33">
        <v>41808</v>
      </c>
      <c r="B2384" s="36">
        <v>11995</v>
      </c>
      <c r="C2384" s="7">
        <v>11998</v>
      </c>
      <c r="D2384" s="7">
        <v>12000</v>
      </c>
      <c r="E2384" s="7">
        <v>11900</v>
      </c>
      <c r="F2384" s="7">
        <v>11900</v>
      </c>
      <c r="G2384" s="34">
        <v>88</v>
      </c>
      <c r="H2384" s="35">
        <v>105</v>
      </c>
      <c r="I2384" s="38">
        <f t="shared" si="36"/>
        <v>11996.5</v>
      </c>
    </row>
    <row r="2385" spans="1:9" x14ac:dyDescent="0.2">
      <c r="A2385" s="33">
        <v>41807</v>
      </c>
      <c r="B2385" s="36">
        <v>11890</v>
      </c>
      <c r="C2385" s="7">
        <v>11895</v>
      </c>
      <c r="D2385" s="7">
        <v>11896</v>
      </c>
      <c r="E2385" s="7">
        <v>11810</v>
      </c>
      <c r="F2385" s="7">
        <v>11810</v>
      </c>
      <c r="G2385" s="34">
        <v>48</v>
      </c>
      <c r="H2385" s="35">
        <v>75</v>
      </c>
      <c r="I2385" s="38">
        <f t="shared" si="36"/>
        <v>11892.5</v>
      </c>
    </row>
    <row r="2386" spans="1:9" x14ac:dyDescent="0.2">
      <c r="A2386" s="33">
        <v>41806</v>
      </c>
      <c r="B2386" s="36">
        <v>11815</v>
      </c>
      <c r="C2386" s="7">
        <v>11820</v>
      </c>
      <c r="D2386" s="7">
        <v>11818</v>
      </c>
      <c r="E2386" s="7">
        <v>11790</v>
      </c>
      <c r="F2386" s="7">
        <v>11790</v>
      </c>
      <c r="G2386" s="34">
        <v>38</v>
      </c>
      <c r="H2386" s="35">
        <v>25</v>
      </c>
      <c r="I2386" s="38">
        <f t="shared" si="36"/>
        <v>11817.5</v>
      </c>
    </row>
    <row r="2387" spans="1:9" x14ac:dyDescent="0.2">
      <c r="A2387" s="33">
        <v>41803</v>
      </c>
      <c r="B2387" s="36">
        <v>11790</v>
      </c>
      <c r="C2387" s="7">
        <v>11799</v>
      </c>
      <c r="D2387" s="7">
        <v>11790</v>
      </c>
      <c r="E2387" s="7">
        <v>11760</v>
      </c>
      <c r="F2387" s="7">
        <v>11760</v>
      </c>
      <c r="G2387" s="34">
        <v>44</v>
      </c>
      <c r="H2387" s="35">
        <v>4</v>
      </c>
      <c r="I2387" s="38">
        <f t="shared" si="36"/>
        <v>11794.5</v>
      </c>
    </row>
    <row r="2388" spans="1:9" x14ac:dyDescent="0.2">
      <c r="A2388" s="33">
        <v>41802</v>
      </c>
      <c r="B2388" s="36">
        <v>11786</v>
      </c>
      <c r="C2388" s="7">
        <v>11790</v>
      </c>
      <c r="D2388" s="7">
        <v>11815</v>
      </c>
      <c r="E2388" s="7">
        <v>11785</v>
      </c>
      <c r="F2388" s="7">
        <v>11805</v>
      </c>
      <c r="G2388" s="34">
        <v>53</v>
      </c>
      <c r="H2388" s="35">
        <v>-19</v>
      </c>
      <c r="I2388" s="38">
        <f t="shared" si="36"/>
        <v>11788</v>
      </c>
    </row>
    <row r="2389" spans="1:9" x14ac:dyDescent="0.2">
      <c r="A2389" s="33">
        <v>41801</v>
      </c>
      <c r="B2389" s="36">
        <v>11805</v>
      </c>
      <c r="C2389" s="7">
        <v>11815</v>
      </c>
      <c r="D2389" s="7">
        <v>11810</v>
      </c>
      <c r="E2389" s="7">
        <v>11760</v>
      </c>
      <c r="F2389" s="7">
        <v>11760</v>
      </c>
      <c r="G2389" s="34">
        <v>82</v>
      </c>
      <c r="H2389" s="35">
        <v>0</v>
      </c>
      <c r="I2389" s="38">
        <f t="shared" si="36"/>
        <v>11810</v>
      </c>
    </row>
    <row r="2390" spans="1:9" x14ac:dyDescent="0.2">
      <c r="A2390" s="33">
        <v>41800</v>
      </c>
      <c r="B2390" s="36">
        <v>11805</v>
      </c>
      <c r="C2390" s="7">
        <v>11815</v>
      </c>
      <c r="D2390" s="7">
        <v>11812</v>
      </c>
      <c r="E2390" s="7">
        <v>11780</v>
      </c>
      <c r="F2390" s="7">
        <v>11780</v>
      </c>
      <c r="G2390" s="34">
        <v>77</v>
      </c>
      <c r="H2390" s="35">
        <v>32</v>
      </c>
      <c r="I2390" s="38">
        <f t="shared" si="36"/>
        <v>11810</v>
      </c>
    </row>
    <row r="2391" spans="1:9" x14ac:dyDescent="0.2">
      <c r="A2391" s="33">
        <v>41799</v>
      </c>
      <c r="B2391" s="36">
        <v>11773</v>
      </c>
      <c r="C2391" s="7">
        <v>11778</v>
      </c>
      <c r="D2391" s="7">
        <v>11800</v>
      </c>
      <c r="E2391" s="7">
        <v>11760</v>
      </c>
      <c r="F2391" s="7">
        <v>11775</v>
      </c>
      <c r="G2391" s="34">
        <v>76</v>
      </c>
      <c r="H2391" s="35">
        <v>-57</v>
      </c>
      <c r="I2391" s="38">
        <f t="shared" si="36"/>
        <v>11775.5</v>
      </c>
    </row>
    <row r="2392" spans="1:9" x14ac:dyDescent="0.2">
      <c r="A2392" s="33">
        <v>41796</v>
      </c>
      <c r="B2392" s="36">
        <v>11830</v>
      </c>
      <c r="C2392" s="7">
        <v>11840</v>
      </c>
      <c r="D2392" s="7">
        <v>11850</v>
      </c>
      <c r="E2392" s="7">
        <v>11780</v>
      </c>
      <c r="F2392" s="7">
        <v>11780</v>
      </c>
      <c r="G2392" s="34">
        <v>100</v>
      </c>
      <c r="H2392" s="35">
        <v>-20</v>
      </c>
      <c r="I2392" s="38">
        <f t="shared" si="36"/>
        <v>11835</v>
      </c>
    </row>
    <row r="2393" spans="1:9" x14ac:dyDescent="0.2">
      <c r="A2393" s="33">
        <v>41795</v>
      </c>
      <c r="B2393" s="36">
        <v>11850</v>
      </c>
      <c r="C2393" s="7">
        <v>11860</v>
      </c>
      <c r="D2393" s="7">
        <v>11895</v>
      </c>
      <c r="E2393" s="7">
        <v>11835</v>
      </c>
      <c r="F2393" s="7">
        <v>11866</v>
      </c>
      <c r="G2393" s="34">
        <v>106</v>
      </c>
      <c r="H2393" s="35">
        <v>-35</v>
      </c>
      <c r="I2393" s="38">
        <f t="shared" si="36"/>
        <v>11855</v>
      </c>
    </row>
    <row r="2394" spans="1:9" x14ac:dyDescent="0.2">
      <c r="A2394" s="33">
        <v>41794</v>
      </c>
      <c r="B2394" s="36">
        <v>11885</v>
      </c>
      <c r="C2394" s="7">
        <v>11895</v>
      </c>
      <c r="D2394" s="7">
        <v>11890</v>
      </c>
      <c r="E2394" s="7">
        <v>11790</v>
      </c>
      <c r="F2394" s="7">
        <v>11800</v>
      </c>
      <c r="G2394" s="34">
        <v>89</v>
      </c>
      <c r="H2394" s="35">
        <v>105</v>
      </c>
      <c r="I2394" s="38">
        <f t="shared" si="36"/>
        <v>11890</v>
      </c>
    </row>
    <row r="2395" spans="1:9" x14ac:dyDescent="0.2">
      <c r="A2395" s="33">
        <v>41793</v>
      </c>
      <c r="B2395" s="36">
        <v>11780</v>
      </c>
      <c r="C2395" s="7">
        <v>11788</v>
      </c>
      <c r="D2395" s="7">
        <v>11825</v>
      </c>
      <c r="E2395" s="7">
        <v>11780</v>
      </c>
      <c r="F2395" s="7">
        <v>11810</v>
      </c>
      <c r="G2395" s="34">
        <v>81</v>
      </c>
      <c r="H2395" s="35">
        <v>20</v>
      </c>
      <c r="I2395" s="38">
        <f t="shared" si="36"/>
        <v>11784</v>
      </c>
    </row>
    <row r="2396" spans="1:9" x14ac:dyDescent="0.2">
      <c r="A2396" s="33">
        <v>41792</v>
      </c>
      <c r="B2396" s="36">
        <v>11760</v>
      </c>
      <c r="C2396" s="7">
        <v>11770</v>
      </c>
      <c r="D2396" s="7">
        <v>11785</v>
      </c>
      <c r="E2396" s="7">
        <v>11700</v>
      </c>
      <c r="F2396" s="7">
        <v>11700</v>
      </c>
      <c r="G2396" s="34">
        <v>82</v>
      </c>
      <c r="H2396" s="35">
        <v>90</v>
      </c>
      <c r="I2396" s="38">
        <f t="shared" si="36"/>
        <v>11765</v>
      </c>
    </row>
    <row r="2397" spans="1:9" x14ac:dyDescent="0.2">
      <c r="A2397" s="33">
        <v>41789</v>
      </c>
      <c r="B2397" s="36">
        <v>11670</v>
      </c>
      <c r="C2397" s="7">
        <v>11680</v>
      </c>
      <c r="D2397" s="7">
        <v>11670</v>
      </c>
      <c r="E2397" s="7">
        <v>11595</v>
      </c>
      <c r="F2397" s="7">
        <v>11610</v>
      </c>
      <c r="G2397" s="34">
        <v>74</v>
      </c>
      <c r="H2397" s="35">
        <v>45</v>
      </c>
      <c r="I2397" s="38">
        <f t="shared" si="36"/>
        <v>11675</v>
      </c>
    </row>
    <row r="2398" spans="1:9" x14ac:dyDescent="0.2">
      <c r="A2398" s="33">
        <v>41788</v>
      </c>
      <c r="B2398" s="36">
        <v>11625</v>
      </c>
      <c r="C2398" s="7">
        <v>11635</v>
      </c>
      <c r="D2398" s="7"/>
      <c r="E2398" s="7"/>
      <c r="F2398" s="7"/>
      <c r="G2398" s="34"/>
      <c r="H2398" s="35">
        <v>0</v>
      </c>
      <c r="I2398" s="38">
        <f t="shared" si="36"/>
        <v>11630</v>
      </c>
    </row>
    <row r="2399" spans="1:9" x14ac:dyDescent="0.2">
      <c r="A2399" s="33">
        <v>41787</v>
      </c>
      <c r="B2399" s="36">
        <v>11625</v>
      </c>
      <c r="C2399" s="7">
        <v>11635</v>
      </c>
      <c r="D2399" s="7">
        <v>11625</v>
      </c>
      <c r="E2399" s="7">
        <v>11580</v>
      </c>
      <c r="F2399" s="7">
        <v>11580</v>
      </c>
      <c r="G2399" s="34">
        <v>63</v>
      </c>
      <c r="H2399" s="35">
        <v>50</v>
      </c>
      <c r="I2399" s="38">
        <f t="shared" si="36"/>
        <v>11630</v>
      </c>
    </row>
    <row r="2400" spans="1:9" x14ac:dyDescent="0.2">
      <c r="A2400" s="33">
        <v>41786</v>
      </c>
      <c r="B2400" s="36">
        <v>11575</v>
      </c>
      <c r="C2400" s="7">
        <v>11580</v>
      </c>
      <c r="D2400" s="7"/>
      <c r="E2400" s="7"/>
      <c r="F2400" s="7"/>
      <c r="G2400" s="34"/>
      <c r="H2400" s="35">
        <v>0</v>
      </c>
      <c r="I2400" s="38">
        <f t="shared" ref="I2400:I2463" si="37">+(B2400+C2400)*0.5</f>
        <v>11577.5</v>
      </c>
    </row>
    <row r="2401" spans="1:9" x14ac:dyDescent="0.2">
      <c r="A2401" s="33">
        <v>41785</v>
      </c>
      <c r="B2401" s="36">
        <v>11575</v>
      </c>
      <c r="C2401" s="7">
        <v>11580</v>
      </c>
      <c r="D2401" s="7">
        <v>11633</v>
      </c>
      <c r="E2401" s="7">
        <v>11570</v>
      </c>
      <c r="F2401" s="7">
        <v>11600</v>
      </c>
      <c r="G2401" s="34">
        <v>68</v>
      </c>
      <c r="H2401" s="35">
        <v>-30</v>
      </c>
      <c r="I2401" s="38">
        <f t="shared" si="37"/>
        <v>11577.5</v>
      </c>
    </row>
    <row r="2402" spans="1:9" x14ac:dyDescent="0.2">
      <c r="A2402" s="33">
        <v>41782</v>
      </c>
      <c r="B2402" s="36">
        <v>11605</v>
      </c>
      <c r="C2402" s="7">
        <v>11615</v>
      </c>
      <c r="D2402" s="7">
        <v>11615</v>
      </c>
      <c r="E2402" s="7">
        <v>11525</v>
      </c>
      <c r="F2402" s="7">
        <v>11525</v>
      </c>
      <c r="G2402" s="34">
        <v>60</v>
      </c>
      <c r="H2402" s="35">
        <v>77</v>
      </c>
      <c r="I2402" s="38">
        <f t="shared" si="37"/>
        <v>11610</v>
      </c>
    </row>
    <row r="2403" spans="1:9" x14ac:dyDescent="0.2">
      <c r="A2403" s="33">
        <v>41781</v>
      </c>
      <c r="B2403" s="36">
        <v>11528</v>
      </c>
      <c r="C2403" s="7">
        <v>11533</v>
      </c>
      <c r="D2403" s="7">
        <v>11528</v>
      </c>
      <c r="E2403" s="7">
        <v>11500</v>
      </c>
      <c r="F2403" s="7">
        <v>11500</v>
      </c>
      <c r="G2403" s="34">
        <v>123</v>
      </c>
      <c r="H2403" s="35">
        <v>23</v>
      </c>
      <c r="I2403" s="38">
        <f t="shared" si="37"/>
        <v>11530.5</v>
      </c>
    </row>
    <row r="2404" spans="1:9" x14ac:dyDescent="0.2">
      <c r="A2404" s="33">
        <v>41780</v>
      </c>
      <c r="B2404" s="36">
        <v>11505</v>
      </c>
      <c r="C2404" s="7">
        <v>11510</v>
      </c>
      <c r="D2404" s="7">
        <v>11520</v>
      </c>
      <c r="E2404" s="7">
        <v>11485</v>
      </c>
      <c r="F2404" s="7">
        <v>11490</v>
      </c>
      <c r="G2404" s="34">
        <v>87</v>
      </c>
      <c r="H2404" s="35">
        <v>20</v>
      </c>
      <c r="I2404" s="38">
        <f t="shared" si="37"/>
        <v>11507.5</v>
      </c>
    </row>
    <row r="2405" spans="1:9" x14ac:dyDescent="0.2">
      <c r="A2405" s="33">
        <v>41779</v>
      </c>
      <c r="B2405" s="36">
        <v>11485</v>
      </c>
      <c r="C2405" s="7">
        <v>11490</v>
      </c>
      <c r="D2405" s="7">
        <v>11490</v>
      </c>
      <c r="E2405" s="7">
        <v>11415</v>
      </c>
      <c r="F2405" s="7">
        <v>11425</v>
      </c>
      <c r="G2405" s="34">
        <v>90</v>
      </c>
      <c r="H2405" s="35">
        <v>70</v>
      </c>
      <c r="I2405" s="38">
        <f t="shared" si="37"/>
        <v>11487.5</v>
      </c>
    </row>
    <row r="2406" spans="1:9" x14ac:dyDescent="0.2">
      <c r="A2406" s="33">
        <v>41778</v>
      </c>
      <c r="B2406" s="36">
        <v>11415</v>
      </c>
      <c r="C2406" s="7">
        <v>11420</v>
      </c>
      <c r="D2406" s="7">
        <v>11420</v>
      </c>
      <c r="E2406" s="7">
        <v>11338</v>
      </c>
      <c r="F2406" s="7">
        <v>11350</v>
      </c>
      <c r="G2406" s="34">
        <v>109</v>
      </c>
      <c r="H2406" s="35">
        <v>5</v>
      </c>
      <c r="I2406" s="38">
        <f t="shared" si="37"/>
        <v>11417.5</v>
      </c>
    </row>
    <row r="2407" spans="1:9" x14ac:dyDescent="0.2">
      <c r="A2407" s="33">
        <v>41775</v>
      </c>
      <c r="B2407" s="36">
        <v>11410</v>
      </c>
      <c r="C2407" s="7">
        <v>11415</v>
      </c>
      <c r="D2407" s="7">
        <v>11438</v>
      </c>
      <c r="E2407" s="7">
        <v>11390</v>
      </c>
      <c r="F2407" s="7">
        <v>11420</v>
      </c>
      <c r="G2407" s="34">
        <v>112</v>
      </c>
      <c r="H2407" s="35">
        <v>-35</v>
      </c>
      <c r="I2407" s="38">
        <f t="shared" si="37"/>
        <v>11412.5</v>
      </c>
    </row>
    <row r="2408" spans="1:9" x14ac:dyDescent="0.2">
      <c r="A2408" s="33">
        <v>41774</v>
      </c>
      <c r="B2408" s="36">
        <v>11445</v>
      </c>
      <c r="C2408" s="7">
        <v>11446</v>
      </c>
      <c r="D2408" s="7"/>
      <c r="E2408" s="7"/>
      <c r="F2408" s="7"/>
      <c r="G2408" s="34"/>
      <c r="H2408" s="35">
        <v>0</v>
      </c>
      <c r="I2408" s="38">
        <f t="shared" si="37"/>
        <v>11445.5</v>
      </c>
    </row>
    <row r="2409" spans="1:9" x14ac:dyDescent="0.2">
      <c r="A2409" s="33">
        <v>41773</v>
      </c>
      <c r="B2409" s="36">
        <v>11445</v>
      </c>
      <c r="C2409" s="7">
        <v>11446</v>
      </c>
      <c r="D2409" s="7">
        <v>11500</v>
      </c>
      <c r="E2409" s="7">
        <v>11440</v>
      </c>
      <c r="F2409" s="7">
        <v>11500</v>
      </c>
      <c r="G2409" s="34">
        <v>110</v>
      </c>
      <c r="H2409" s="35">
        <v>-90</v>
      </c>
      <c r="I2409" s="38">
        <f t="shared" si="37"/>
        <v>11445.5</v>
      </c>
    </row>
    <row r="2410" spans="1:9" x14ac:dyDescent="0.2">
      <c r="A2410" s="33">
        <v>41772</v>
      </c>
      <c r="B2410" s="36">
        <v>11535</v>
      </c>
      <c r="C2410" s="7">
        <v>11538</v>
      </c>
      <c r="D2410" s="7">
        <v>11535</v>
      </c>
      <c r="E2410" s="7">
        <v>11515</v>
      </c>
      <c r="F2410" s="7">
        <v>11518</v>
      </c>
      <c r="G2410" s="34">
        <v>77</v>
      </c>
      <c r="H2410" s="35">
        <v>19</v>
      </c>
      <c r="I2410" s="38">
        <f t="shared" si="37"/>
        <v>11536.5</v>
      </c>
    </row>
    <row r="2411" spans="1:9" x14ac:dyDescent="0.2">
      <c r="A2411" s="33">
        <v>41771</v>
      </c>
      <c r="B2411" s="36">
        <v>11516</v>
      </c>
      <c r="C2411" s="7">
        <v>11526</v>
      </c>
      <c r="D2411" s="7">
        <v>11545</v>
      </c>
      <c r="E2411" s="7">
        <v>11509</v>
      </c>
      <c r="F2411" s="7">
        <v>11520</v>
      </c>
      <c r="G2411" s="34">
        <v>106</v>
      </c>
      <c r="H2411" s="35">
        <v>-11</v>
      </c>
      <c r="I2411" s="38">
        <f t="shared" si="37"/>
        <v>11521</v>
      </c>
    </row>
    <row r="2412" spans="1:9" x14ac:dyDescent="0.2">
      <c r="A2412" s="33">
        <v>41768</v>
      </c>
      <c r="B2412" s="36">
        <v>11527</v>
      </c>
      <c r="C2412" s="7">
        <v>11533</v>
      </c>
      <c r="D2412" s="7">
        <v>11570</v>
      </c>
      <c r="E2412" s="7">
        <v>11515</v>
      </c>
      <c r="F2412" s="7">
        <v>11530</v>
      </c>
      <c r="G2412" s="34">
        <v>117</v>
      </c>
      <c r="H2412" s="35">
        <v>-28</v>
      </c>
      <c r="I2412" s="38">
        <f t="shared" si="37"/>
        <v>11530</v>
      </c>
    </row>
    <row r="2413" spans="1:9" x14ac:dyDescent="0.2">
      <c r="A2413" s="33">
        <v>41767</v>
      </c>
      <c r="B2413" s="36">
        <v>11555</v>
      </c>
      <c r="C2413" s="7">
        <v>11565</v>
      </c>
      <c r="D2413" s="7">
        <v>11630</v>
      </c>
      <c r="E2413" s="7">
        <v>11545</v>
      </c>
      <c r="F2413" s="7">
        <v>11565</v>
      </c>
      <c r="G2413" s="34">
        <v>91</v>
      </c>
      <c r="H2413" s="35">
        <v>-15</v>
      </c>
      <c r="I2413" s="38">
        <f t="shared" si="37"/>
        <v>11560</v>
      </c>
    </row>
    <row r="2414" spans="1:9" x14ac:dyDescent="0.2">
      <c r="A2414" s="33">
        <v>41766</v>
      </c>
      <c r="B2414" s="36">
        <v>11570</v>
      </c>
      <c r="C2414" s="7">
        <v>11580</v>
      </c>
      <c r="D2414" s="7">
        <v>11570</v>
      </c>
      <c r="E2414" s="7">
        <v>11504</v>
      </c>
      <c r="F2414" s="7">
        <v>11505</v>
      </c>
      <c r="G2414" s="34">
        <v>78</v>
      </c>
      <c r="H2414" s="35">
        <v>55</v>
      </c>
      <c r="I2414" s="38">
        <f t="shared" si="37"/>
        <v>11575</v>
      </c>
    </row>
    <row r="2415" spans="1:9" x14ac:dyDescent="0.2">
      <c r="A2415" s="33">
        <v>41765</v>
      </c>
      <c r="B2415" s="36">
        <v>11515</v>
      </c>
      <c r="C2415" s="7">
        <v>11519</v>
      </c>
      <c r="D2415" s="7">
        <v>11522</v>
      </c>
      <c r="E2415" s="7">
        <v>11495</v>
      </c>
      <c r="F2415" s="7">
        <v>11497</v>
      </c>
      <c r="G2415" s="34">
        <v>95</v>
      </c>
      <c r="H2415" s="35">
        <v>0</v>
      </c>
      <c r="I2415" s="38">
        <f t="shared" si="37"/>
        <v>11517</v>
      </c>
    </row>
    <row r="2416" spans="1:9" x14ac:dyDescent="0.2">
      <c r="A2416" s="33">
        <v>41764</v>
      </c>
      <c r="B2416" s="36">
        <v>11515</v>
      </c>
      <c r="C2416" s="7">
        <v>11520</v>
      </c>
      <c r="D2416" s="7">
        <v>11535</v>
      </c>
      <c r="E2416" s="7">
        <v>11495</v>
      </c>
      <c r="F2416" s="7">
        <v>11500</v>
      </c>
      <c r="G2416" s="34">
        <v>98</v>
      </c>
      <c r="H2416" s="35">
        <v>-5</v>
      </c>
      <c r="I2416" s="38">
        <f t="shared" si="37"/>
        <v>11517.5</v>
      </c>
    </row>
    <row r="2417" spans="1:9" x14ac:dyDescent="0.2">
      <c r="A2417" s="33">
        <v>41761</v>
      </c>
      <c r="B2417" s="36">
        <v>11520</v>
      </c>
      <c r="C2417" s="7">
        <v>11525</v>
      </c>
      <c r="D2417" s="7">
        <v>11553</v>
      </c>
      <c r="E2417" s="7">
        <v>11515</v>
      </c>
      <c r="F2417" s="7">
        <v>11535</v>
      </c>
      <c r="G2417" s="34">
        <v>66</v>
      </c>
      <c r="H2417" s="35">
        <v>-38</v>
      </c>
      <c r="I2417" s="38">
        <f t="shared" si="37"/>
        <v>11522.5</v>
      </c>
    </row>
    <row r="2418" spans="1:9" x14ac:dyDescent="0.2">
      <c r="A2418" s="33">
        <v>41760</v>
      </c>
      <c r="B2418" s="36">
        <v>11558</v>
      </c>
      <c r="C2418" s="7">
        <v>11565</v>
      </c>
      <c r="D2418" s="7"/>
      <c r="E2418" s="7"/>
      <c r="F2418" s="7"/>
      <c r="G2418" s="34"/>
      <c r="H2418" s="35">
        <v>0</v>
      </c>
      <c r="I2418" s="38">
        <f t="shared" si="37"/>
        <v>11561.5</v>
      </c>
    </row>
    <row r="2419" spans="1:9" x14ac:dyDescent="0.2">
      <c r="A2419" s="33">
        <v>41759</v>
      </c>
      <c r="B2419" s="36">
        <v>11558</v>
      </c>
      <c r="C2419" s="7">
        <v>11565</v>
      </c>
      <c r="D2419" s="7">
        <v>11570</v>
      </c>
      <c r="E2419" s="7">
        <v>11510</v>
      </c>
      <c r="F2419" s="7">
        <v>11535</v>
      </c>
      <c r="G2419" s="34">
        <v>91</v>
      </c>
      <c r="H2419" s="35">
        <v>13</v>
      </c>
      <c r="I2419" s="38">
        <f t="shared" si="37"/>
        <v>11561.5</v>
      </c>
    </row>
    <row r="2420" spans="1:9" x14ac:dyDescent="0.2">
      <c r="A2420" s="33">
        <v>41758</v>
      </c>
      <c r="B2420" s="36">
        <v>11545</v>
      </c>
      <c r="C2420" s="7">
        <v>11550</v>
      </c>
      <c r="D2420" s="7">
        <v>11588</v>
      </c>
      <c r="E2420" s="7">
        <v>11545</v>
      </c>
      <c r="F2420" s="7">
        <v>11570</v>
      </c>
      <c r="G2420" s="34">
        <v>67</v>
      </c>
      <c r="H2420" s="35">
        <v>-30</v>
      </c>
      <c r="I2420" s="38">
        <f t="shared" si="37"/>
        <v>11547.5</v>
      </c>
    </row>
    <row r="2421" spans="1:9" x14ac:dyDescent="0.2">
      <c r="A2421" s="33">
        <v>41757</v>
      </c>
      <c r="B2421" s="36">
        <v>11575</v>
      </c>
      <c r="C2421" s="7">
        <v>11585</v>
      </c>
      <c r="D2421" s="7">
        <v>11585</v>
      </c>
      <c r="E2421" s="7">
        <v>11555</v>
      </c>
      <c r="F2421" s="7">
        <v>11555</v>
      </c>
      <c r="G2421" s="34">
        <v>67</v>
      </c>
      <c r="H2421" s="35">
        <v>13</v>
      </c>
      <c r="I2421" s="38">
        <f t="shared" si="37"/>
        <v>11580</v>
      </c>
    </row>
    <row r="2422" spans="1:9" x14ac:dyDescent="0.2">
      <c r="A2422" s="33">
        <v>41754</v>
      </c>
      <c r="B2422" s="36">
        <v>11562</v>
      </c>
      <c r="C2422" s="7">
        <v>11567</v>
      </c>
      <c r="D2422" s="7">
        <v>11610</v>
      </c>
      <c r="E2422" s="7">
        <v>11555</v>
      </c>
      <c r="F2422" s="7">
        <v>11605</v>
      </c>
      <c r="G2422" s="34">
        <v>94</v>
      </c>
      <c r="H2422" s="35">
        <v>-33</v>
      </c>
      <c r="I2422" s="38">
        <f t="shared" si="37"/>
        <v>11564.5</v>
      </c>
    </row>
    <row r="2423" spans="1:9" x14ac:dyDescent="0.2">
      <c r="A2423" s="33">
        <v>41753</v>
      </c>
      <c r="B2423" s="36">
        <v>11595</v>
      </c>
      <c r="C2423" s="7">
        <v>11605</v>
      </c>
      <c r="D2423" s="7">
        <v>11625</v>
      </c>
      <c r="E2423" s="7">
        <v>11590</v>
      </c>
      <c r="F2423" s="7">
        <v>11605</v>
      </c>
      <c r="G2423" s="34">
        <v>90</v>
      </c>
      <c r="H2423" s="35">
        <v>-30</v>
      </c>
      <c r="I2423" s="38">
        <f t="shared" si="37"/>
        <v>11600</v>
      </c>
    </row>
    <row r="2424" spans="1:9" x14ac:dyDescent="0.2">
      <c r="A2424" s="33">
        <v>41752</v>
      </c>
      <c r="B2424" s="36">
        <v>11625</v>
      </c>
      <c r="C2424" s="7">
        <v>11635</v>
      </c>
      <c r="D2424" s="7">
        <v>11655</v>
      </c>
      <c r="E2424" s="7">
        <v>11530</v>
      </c>
      <c r="F2424" s="7">
        <v>11530</v>
      </c>
      <c r="G2424" s="34">
        <v>102</v>
      </c>
      <c r="H2424" s="35">
        <v>110</v>
      </c>
      <c r="I2424" s="38">
        <f t="shared" si="37"/>
        <v>11630</v>
      </c>
    </row>
    <row r="2425" spans="1:9" x14ac:dyDescent="0.2">
      <c r="A2425" s="33">
        <v>41751</v>
      </c>
      <c r="B2425" s="36">
        <v>11515</v>
      </c>
      <c r="C2425" s="7">
        <v>11525</v>
      </c>
      <c r="D2425" s="7">
        <v>11525</v>
      </c>
      <c r="E2425" s="7">
        <v>11440</v>
      </c>
      <c r="F2425" s="7">
        <v>11440</v>
      </c>
      <c r="G2425" s="34">
        <v>93</v>
      </c>
      <c r="H2425" s="35">
        <v>75</v>
      </c>
      <c r="I2425" s="38">
        <f t="shared" si="37"/>
        <v>11520</v>
      </c>
    </row>
    <row r="2426" spans="1:9" x14ac:dyDescent="0.2">
      <c r="A2426" s="33">
        <v>41750</v>
      </c>
      <c r="B2426" s="36">
        <v>11440</v>
      </c>
      <c r="C2426" s="7">
        <v>11450</v>
      </c>
      <c r="D2426" s="7">
        <v>11445</v>
      </c>
      <c r="E2426" s="7">
        <v>11410</v>
      </c>
      <c r="F2426" s="7">
        <v>11410</v>
      </c>
      <c r="G2426" s="34">
        <v>63</v>
      </c>
      <c r="H2426" s="35">
        <v>25</v>
      </c>
      <c r="I2426" s="38">
        <f t="shared" si="37"/>
        <v>11445</v>
      </c>
    </row>
    <row r="2427" spans="1:9" x14ac:dyDescent="0.2">
      <c r="A2427" s="33">
        <v>41747</v>
      </c>
      <c r="B2427" s="36">
        <v>11415</v>
      </c>
      <c r="C2427" s="7">
        <v>11425</v>
      </c>
      <c r="D2427" s="7"/>
      <c r="E2427" s="7"/>
      <c r="F2427" s="7"/>
      <c r="G2427" s="34"/>
      <c r="H2427" s="35">
        <v>0</v>
      </c>
      <c r="I2427" s="38">
        <f t="shared" si="37"/>
        <v>11420</v>
      </c>
    </row>
    <row r="2428" spans="1:9" x14ac:dyDescent="0.2">
      <c r="A2428" s="33">
        <v>41746</v>
      </c>
      <c r="B2428" s="36">
        <v>11415</v>
      </c>
      <c r="C2428" s="7">
        <v>11425</v>
      </c>
      <c r="D2428" s="7">
        <v>11430</v>
      </c>
      <c r="E2428" s="7">
        <v>11405</v>
      </c>
      <c r="F2428" s="7">
        <v>11415</v>
      </c>
      <c r="G2428" s="34">
        <v>101</v>
      </c>
      <c r="H2428" s="35">
        <v>-17</v>
      </c>
      <c r="I2428" s="38">
        <f t="shared" si="37"/>
        <v>11420</v>
      </c>
    </row>
    <row r="2429" spans="1:9" x14ac:dyDescent="0.2">
      <c r="A2429" s="33">
        <v>41745</v>
      </c>
      <c r="B2429" s="36">
        <v>11432</v>
      </c>
      <c r="C2429" s="7">
        <v>11437</v>
      </c>
      <c r="D2429" s="7">
        <v>11445</v>
      </c>
      <c r="E2429" s="7">
        <v>11418</v>
      </c>
      <c r="F2429" s="7">
        <v>11425</v>
      </c>
      <c r="G2429" s="34">
        <v>126</v>
      </c>
      <c r="H2429" s="35">
        <v>7</v>
      </c>
      <c r="I2429" s="38">
        <f t="shared" si="37"/>
        <v>11434.5</v>
      </c>
    </row>
    <row r="2430" spans="1:9" x14ac:dyDescent="0.2">
      <c r="A2430" s="33">
        <v>41744</v>
      </c>
      <c r="B2430" s="36">
        <v>11425</v>
      </c>
      <c r="C2430" s="7">
        <v>11435</v>
      </c>
      <c r="D2430" s="7">
        <v>11437</v>
      </c>
      <c r="E2430" s="7">
        <v>11410</v>
      </c>
      <c r="F2430" s="7">
        <v>11420</v>
      </c>
      <c r="G2430" s="34">
        <v>108</v>
      </c>
      <c r="H2430" s="35">
        <v>-10</v>
      </c>
      <c r="I2430" s="38">
        <f t="shared" si="37"/>
        <v>11430</v>
      </c>
    </row>
    <row r="2431" spans="1:9" x14ac:dyDescent="0.2">
      <c r="A2431" s="33">
        <v>41743</v>
      </c>
      <c r="B2431" s="36">
        <v>11435</v>
      </c>
      <c r="C2431" s="7">
        <v>11445</v>
      </c>
      <c r="D2431" s="7">
        <v>11445</v>
      </c>
      <c r="E2431" s="7">
        <v>11415</v>
      </c>
      <c r="F2431" s="7">
        <v>11420</v>
      </c>
      <c r="G2431" s="34">
        <v>101</v>
      </c>
      <c r="H2431" s="35">
        <v>25</v>
      </c>
      <c r="I2431" s="38">
        <f t="shared" si="37"/>
        <v>11440</v>
      </c>
    </row>
    <row r="2432" spans="1:9" x14ac:dyDescent="0.2">
      <c r="A2432" s="33">
        <v>41740</v>
      </c>
      <c r="B2432" s="36">
        <v>11410</v>
      </c>
      <c r="C2432" s="7">
        <v>11415</v>
      </c>
      <c r="D2432" s="7">
        <v>11465</v>
      </c>
      <c r="E2432" s="7">
        <v>11388</v>
      </c>
      <c r="F2432" s="7">
        <v>11400</v>
      </c>
      <c r="G2432" s="34">
        <v>121</v>
      </c>
      <c r="H2432" s="35">
        <v>60</v>
      </c>
      <c r="I2432" s="38">
        <f t="shared" si="37"/>
        <v>11412.5</v>
      </c>
    </row>
    <row r="2433" spans="1:9" x14ac:dyDescent="0.2">
      <c r="A2433" s="33">
        <v>41739</v>
      </c>
      <c r="B2433" s="36">
        <v>11350</v>
      </c>
      <c r="C2433" s="7">
        <v>11358</v>
      </c>
      <c r="D2433" s="7">
        <v>11350</v>
      </c>
      <c r="E2433" s="7">
        <v>11320</v>
      </c>
      <c r="F2433" s="7">
        <v>11320</v>
      </c>
      <c r="G2433" s="34">
        <v>72</v>
      </c>
      <c r="H2433" s="35">
        <v>64</v>
      </c>
      <c r="I2433" s="38">
        <f t="shared" si="37"/>
        <v>11354</v>
      </c>
    </row>
    <row r="2434" spans="1:9" x14ac:dyDescent="0.2">
      <c r="A2434" s="33">
        <v>41738</v>
      </c>
      <c r="B2434" s="36">
        <v>11286</v>
      </c>
      <c r="C2434" s="7">
        <v>11291</v>
      </c>
      <c r="D2434" s="7"/>
      <c r="E2434" s="7"/>
      <c r="F2434" s="7"/>
      <c r="G2434" s="34"/>
      <c r="H2434" s="35">
        <v>0</v>
      </c>
      <c r="I2434" s="38">
        <f t="shared" si="37"/>
        <v>11288.5</v>
      </c>
    </row>
    <row r="2435" spans="1:9" x14ac:dyDescent="0.2">
      <c r="A2435" s="33">
        <v>41737</v>
      </c>
      <c r="B2435" s="36">
        <v>11286</v>
      </c>
      <c r="C2435" s="7">
        <v>11291</v>
      </c>
      <c r="D2435" s="7">
        <v>11310</v>
      </c>
      <c r="E2435" s="7">
        <v>11280</v>
      </c>
      <c r="F2435" s="7">
        <v>11300</v>
      </c>
      <c r="G2435" s="34">
        <v>133</v>
      </c>
      <c r="H2435" s="35">
        <v>-18</v>
      </c>
      <c r="I2435" s="38">
        <f t="shared" si="37"/>
        <v>11288.5</v>
      </c>
    </row>
    <row r="2436" spans="1:9" x14ac:dyDescent="0.2">
      <c r="A2436" s="33">
        <v>41736</v>
      </c>
      <c r="B2436" s="36">
        <v>11304</v>
      </c>
      <c r="C2436" s="7">
        <v>11306</v>
      </c>
      <c r="D2436" s="7">
        <v>11304</v>
      </c>
      <c r="E2436" s="7">
        <v>11265</v>
      </c>
      <c r="F2436" s="7">
        <v>11285</v>
      </c>
      <c r="G2436" s="34">
        <v>114</v>
      </c>
      <c r="H2436" s="35">
        <v>-12</v>
      </c>
      <c r="I2436" s="38">
        <f t="shared" si="37"/>
        <v>11305</v>
      </c>
    </row>
    <row r="2437" spans="1:9" x14ac:dyDescent="0.2">
      <c r="A2437" s="33">
        <v>41733</v>
      </c>
      <c r="B2437" s="36">
        <v>11316</v>
      </c>
      <c r="C2437" s="7">
        <v>11317</v>
      </c>
      <c r="D2437" s="7">
        <v>11316</v>
      </c>
      <c r="E2437" s="7">
        <v>11295</v>
      </c>
      <c r="F2437" s="7">
        <v>11300</v>
      </c>
      <c r="G2437" s="34">
        <v>120</v>
      </c>
      <c r="H2437" s="35">
        <v>-4</v>
      </c>
      <c r="I2437" s="38">
        <f t="shared" si="37"/>
        <v>11316.5</v>
      </c>
    </row>
    <row r="2438" spans="1:9" x14ac:dyDescent="0.2">
      <c r="A2438" s="33">
        <v>41732</v>
      </c>
      <c r="B2438" s="36">
        <v>11320</v>
      </c>
      <c r="C2438" s="7">
        <v>11322</v>
      </c>
      <c r="D2438" s="7">
        <v>11320</v>
      </c>
      <c r="E2438" s="7">
        <v>11290</v>
      </c>
      <c r="F2438" s="7">
        <v>11300</v>
      </c>
      <c r="G2438" s="34">
        <v>129</v>
      </c>
      <c r="H2438" s="35">
        <v>30</v>
      </c>
      <c r="I2438" s="38">
        <f t="shared" si="37"/>
        <v>11321</v>
      </c>
    </row>
    <row r="2439" spans="1:9" x14ac:dyDescent="0.2">
      <c r="A2439" s="33">
        <v>41731</v>
      </c>
      <c r="B2439" s="36">
        <v>11290</v>
      </c>
      <c r="C2439" s="7">
        <v>11295</v>
      </c>
      <c r="D2439" s="7">
        <v>11310</v>
      </c>
      <c r="E2439" s="7">
        <v>11285</v>
      </c>
      <c r="F2439" s="7">
        <v>11290</v>
      </c>
      <c r="G2439" s="34">
        <v>81</v>
      </c>
      <c r="H2439" s="35">
        <v>-20</v>
      </c>
      <c r="I2439" s="38">
        <f t="shared" si="37"/>
        <v>11292.5</v>
      </c>
    </row>
    <row r="2440" spans="1:9" x14ac:dyDescent="0.2">
      <c r="A2440" s="33">
        <v>41730</v>
      </c>
      <c r="B2440" s="36">
        <v>11310</v>
      </c>
      <c r="C2440" s="7">
        <v>11315</v>
      </c>
      <c r="D2440" s="7">
        <v>11310</v>
      </c>
      <c r="E2440" s="7">
        <v>11250</v>
      </c>
      <c r="F2440" s="7">
        <v>11270</v>
      </c>
      <c r="G2440" s="34">
        <v>107</v>
      </c>
      <c r="H2440" s="35">
        <v>-45</v>
      </c>
      <c r="I2440" s="38">
        <f t="shared" si="37"/>
        <v>11312.5</v>
      </c>
    </row>
    <row r="2441" spans="1:9" x14ac:dyDescent="0.2">
      <c r="A2441" s="33">
        <v>41729</v>
      </c>
      <c r="B2441" s="36">
        <v>11355</v>
      </c>
      <c r="C2441" s="7">
        <v>11365</v>
      </c>
      <c r="D2441" s="7"/>
      <c r="E2441" s="7"/>
      <c r="F2441" s="7"/>
      <c r="G2441" s="34"/>
      <c r="H2441" s="35">
        <v>0</v>
      </c>
      <c r="I2441" s="38">
        <f t="shared" si="37"/>
        <v>11360</v>
      </c>
    </row>
    <row r="2442" spans="1:9" x14ac:dyDescent="0.2">
      <c r="A2442" s="33">
        <v>41726</v>
      </c>
      <c r="B2442" s="36">
        <v>11355</v>
      </c>
      <c r="C2442" s="7">
        <v>11365</v>
      </c>
      <c r="D2442" s="7">
        <v>11412</v>
      </c>
      <c r="E2442" s="7">
        <v>11355</v>
      </c>
      <c r="F2442" s="7">
        <v>11390</v>
      </c>
      <c r="G2442" s="34">
        <v>121</v>
      </c>
      <c r="H2442" s="35">
        <v>-90</v>
      </c>
      <c r="I2442" s="38">
        <f t="shared" si="37"/>
        <v>11360</v>
      </c>
    </row>
    <row r="2443" spans="1:9" x14ac:dyDescent="0.2">
      <c r="A2443" s="33">
        <v>41725</v>
      </c>
      <c r="B2443" s="36">
        <v>11445</v>
      </c>
      <c r="C2443" s="7">
        <v>11450</v>
      </c>
      <c r="D2443" s="7">
        <v>11445</v>
      </c>
      <c r="E2443" s="7">
        <v>11400</v>
      </c>
      <c r="F2443" s="7">
        <v>11410</v>
      </c>
      <c r="G2443" s="34">
        <v>69</v>
      </c>
      <c r="H2443" s="35">
        <v>40</v>
      </c>
      <c r="I2443" s="38">
        <f t="shared" si="37"/>
        <v>11447.5</v>
      </c>
    </row>
    <row r="2444" spans="1:9" x14ac:dyDescent="0.2">
      <c r="A2444" s="33">
        <v>41724</v>
      </c>
      <c r="B2444" s="36">
        <v>11405</v>
      </c>
      <c r="C2444" s="7">
        <v>11415</v>
      </c>
      <c r="D2444" s="7">
        <v>11420</v>
      </c>
      <c r="E2444" s="7">
        <v>11370</v>
      </c>
      <c r="F2444" s="7">
        <v>11370</v>
      </c>
      <c r="G2444" s="34">
        <v>113</v>
      </c>
      <c r="H2444" s="35">
        <v>15</v>
      </c>
      <c r="I2444" s="38">
        <f t="shared" si="37"/>
        <v>11410</v>
      </c>
    </row>
    <row r="2445" spans="1:9" x14ac:dyDescent="0.2">
      <c r="A2445" s="33">
        <v>41723</v>
      </c>
      <c r="B2445" s="36">
        <v>11390</v>
      </c>
      <c r="C2445" s="7">
        <v>11395</v>
      </c>
      <c r="D2445" s="7">
        <v>11390</v>
      </c>
      <c r="E2445" s="7">
        <v>11340</v>
      </c>
      <c r="F2445" s="7">
        <v>11340</v>
      </c>
      <c r="G2445" s="34">
        <v>116</v>
      </c>
      <c r="H2445" s="35">
        <v>15</v>
      </c>
      <c r="I2445" s="38">
        <f t="shared" si="37"/>
        <v>11392.5</v>
      </c>
    </row>
    <row r="2446" spans="1:9" x14ac:dyDescent="0.2">
      <c r="A2446" s="33">
        <v>41722</v>
      </c>
      <c r="B2446" s="36">
        <v>11375</v>
      </c>
      <c r="C2446" s="7">
        <v>11385</v>
      </c>
      <c r="D2446" s="7">
        <v>11400</v>
      </c>
      <c r="E2446" s="7">
        <v>11365</v>
      </c>
      <c r="F2446" s="7">
        <v>11390</v>
      </c>
      <c r="G2446" s="34">
        <v>120</v>
      </c>
      <c r="H2446" s="35">
        <v>-45</v>
      </c>
      <c r="I2446" s="38">
        <f t="shared" si="37"/>
        <v>11380</v>
      </c>
    </row>
    <row r="2447" spans="1:9" x14ac:dyDescent="0.2">
      <c r="A2447" s="33">
        <v>41719</v>
      </c>
      <c r="B2447" s="36">
        <v>11420</v>
      </c>
      <c r="C2447" s="7">
        <v>11425</v>
      </c>
      <c r="D2447" s="7">
        <v>11445</v>
      </c>
      <c r="E2447" s="7">
        <v>11415</v>
      </c>
      <c r="F2447" s="7">
        <v>11440</v>
      </c>
      <c r="G2447" s="34">
        <v>80</v>
      </c>
      <c r="H2447" s="35">
        <v>-20</v>
      </c>
      <c r="I2447" s="38">
        <f t="shared" si="37"/>
        <v>11422.5</v>
      </c>
    </row>
    <row r="2448" spans="1:9" x14ac:dyDescent="0.2">
      <c r="A2448" s="33">
        <v>41718</v>
      </c>
      <c r="B2448" s="36">
        <v>11440</v>
      </c>
      <c r="C2448" s="7">
        <v>11450</v>
      </c>
      <c r="D2448" s="7">
        <v>11445</v>
      </c>
      <c r="E2448" s="7">
        <v>11350</v>
      </c>
      <c r="F2448" s="7">
        <v>11350</v>
      </c>
      <c r="G2448" s="34">
        <v>117</v>
      </c>
      <c r="H2448" s="35">
        <v>131</v>
      </c>
      <c r="I2448" s="38">
        <f t="shared" si="37"/>
        <v>11445</v>
      </c>
    </row>
    <row r="2449" spans="1:9" x14ac:dyDescent="0.2">
      <c r="A2449" s="33">
        <v>41717</v>
      </c>
      <c r="B2449" s="36">
        <v>11309</v>
      </c>
      <c r="C2449" s="7">
        <v>11319</v>
      </c>
      <c r="D2449" s="7">
        <v>11340</v>
      </c>
      <c r="E2449" s="7">
        <v>11290</v>
      </c>
      <c r="F2449" s="7">
        <v>11300</v>
      </c>
      <c r="G2449" s="34">
        <v>128</v>
      </c>
      <c r="H2449" s="35">
        <v>-1</v>
      </c>
      <c r="I2449" s="38">
        <f t="shared" si="37"/>
        <v>11314</v>
      </c>
    </row>
    <row r="2450" spans="1:9" x14ac:dyDescent="0.2">
      <c r="A2450" s="33">
        <v>41716</v>
      </c>
      <c r="B2450" s="36">
        <v>11310</v>
      </c>
      <c r="C2450" s="7">
        <v>11330</v>
      </c>
      <c r="D2450" s="7">
        <v>11330</v>
      </c>
      <c r="E2450" s="7">
        <v>11260</v>
      </c>
      <c r="F2450" s="7">
        <v>11270</v>
      </c>
      <c r="G2450" s="34">
        <v>138</v>
      </c>
      <c r="H2450" s="35">
        <v>20</v>
      </c>
      <c r="I2450" s="38">
        <f t="shared" si="37"/>
        <v>11320</v>
      </c>
    </row>
    <row r="2451" spans="1:9" x14ac:dyDescent="0.2">
      <c r="A2451" s="33">
        <v>41715</v>
      </c>
      <c r="B2451" s="36">
        <v>11290</v>
      </c>
      <c r="C2451" s="7">
        <v>11295</v>
      </c>
      <c r="D2451" s="7">
        <v>11300</v>
      </c>
      <c r="E2451" s="7">
        <v>11245</v>
      </c>
      <c r="F2451" s="7">
        <v>11290</v>
      </c>
      <c r="G2451" s="34">
        <v>173</v>
      </c>
      <c r="H2451" s="35">
        <v>-60</v>
      </c>
      <c r="I2451" s="38">
        <f t="shared" si="37"/>
        <v>11292.5</v>
      </c>
    </row>
    <row r="2452" spans="1:9" x14ac:dyDescent="0.2">
      <c r="A2452" s="33">
        <v>41712</v>
      </c>
      <c r="B2452" s="36">
        <v>11350</v>
      </c>
      <c r="C2452" s="7">
        <v>11360</v>
      </c>
      <c r="D2452" s="7">
        <v>11435</v>
      </c>
      <c r="E2452" s="7">
        <v>11350</v>
      </c>
      <c r="F2452" s="7">
        <v>11400</v>
      </c>
      <c r="G2452" s="34">
        <v>146</v>
      </c>
      <c r="H2452" s="35">
        <v>-30</v>
      </c>
      <c r="I2452" s="38">
        <f t="shared" si="37"/>
        <v>11355</v>
      </c>
    </row>
    <row r="2453" spans="1:9" x14ac:dyDescent="0.2">
      <c r="A2453" s="33">
        <v>41711</v>
      </c>
      <c r="B2453" s="36">
        <v>11380</v>
      </c>
      <c r="C2453" s="7">
        <v>11385</v>
      </c>
      <c r="D2453" s="7">
        <v>11420</v>
      </c>
      <c r="E2453" s="7">
        <v>11345</v>
      </c>
      <c r="F2453" s="7">
        <v>11420</v>
      </c>
      <c r="G2453" s="34">
        <v>143</v>
      </c>
      <c r="H2453" s="35">
        <v>-40</v>
      </c>
      <c r="I2453" s="38">
        <f t="shared" si="37"/>
        <v>11382.5</v>
      </c>
    </row>
    <row r="2454" spans="1:9" x14ac:dyDescent="0.2">
      <c r="A2454" s="33">
        <v>41710</v>
      </c>
      <c r="B2454" s="36">
        <v>11420</v>
      </c>
      <c r="C2454" s="7">
        <v>11430</v>
      </c>
      <c r="D2454" s="7">
        <v>11465</v>
      </c>
      <c r="E2454" s="7">
        <v>11390</v>
      </c>
      <c r="F2454" s="7">
        <v>11400</v>
      </c>
      <c r="G2454" s="34">
        <v>156</v>
      </c>
      <c r="H2454" s="35">
        <v>30</v>
      </c>
      <c r="I2454" s="38">
        <f t="shared" si="37"/>
        <v>11425</v>
      </c>
    </row>
    <row r="2455" spans="1:9" x14ac:dyDescent="0.2">
      <c r="A2455" s="33">
        <v>41709</v>
      </c>
      <c r="B2455" s="36">
        <v>11390</v>
      </c>
      <c r="C2455" s="7">
        <v>11400</v>
      </c>
      <c r="D2455" s="7">
        <v>11410</v>
      </c>
      <c r="E2455" s="7">
        <v>11340</v>
      </c>
      <c r="F2455" s="7">
        <v>11360</v>
      </c>
      <c r="G2455" s="34">
        <v>149</v>
      </c>
      <c r="H2455" s="35">
        <v>30</v>
      </c>
      <c r="I2455" s="38">
        <f t="shared" si="37"/>
        <v>11395</v>
      </c>
    </row>
    <row r="2456" spans="1:9" x14ac:dyDescent="0.2">
      <c r="A2456" s="33">
        <v>41708</v>
      </c>
      <c r="B2456" s="36">
        <v>11360</v>
      </c>
      <c r="C2456" s="7">
        <v>11370</v>
      </c>
      <c r="D2456" s="7">
        <v>11460</v>
      </c>
      <c r="E2456" s="7">
        <v>11340</v>
      </c>
      <c r="F2456" s="7">
        <v>11450</v>
      </c>
      <c r="G2456" s="34">
        <v>136</v>
      </c>
      <c r="H2456" s="35">
        <v>-75</v>
      </c>
      <c r="I2456" s="38">
        <f t="shared" si="37"/>
        <v>11365</v>
      </c>
    </row>
    <row r="2457" spans="1:9" x14ac:dyDescent="0.2">
      <c r="A2457" s="33">
        <v>41705</v>
      </c>
      <c r="B2457" s="36">
        <v>11435</v>
      </c>
      <c r="C2457" s="7">
        <v>11444</v>
      </c>
      <c r="D2457" s="7">
        <v>11435</v>
      </c>
      <c r="E2457" s="7">
        <v>11360</v>
      </c>
      <c r="F2457" s="7">
        <v>11410</v>
      </c>
      <c r="G2457" s="34">
        <v>169</v>
      </c>
      <c r="H2457" s="35">
        <v>-30</v>
      </c>
      <c r="I2457" s="38">
        <f t="shared" si="37"/>
        <v>11439.5</v>
      </c>
    </row>
    <row r="2458" spans="1:9" x14ac:dyDescent="0.2">
      <c r="A2458" s="33">
        <v>41704</v>
      </c>
      <c r="B2458" s="36">
        <v>11465</v>
      </c>
      <c r="C2458" s="7">
        <v>11480</v>
      </c>
      <c r="D2458" s="7">
        <v>11580</v>
      </c>
      <c r="E2458" s="7">
        <v>11460</v>
      </c>
      <c r="F2458" s="7">
        <v>11580</v>
      </c>
      <c r="G2458" s="34">
        <v>292</v>
      </c>
      <c r="H2458" s="35">
        <v>-115</v>
      </c>
      <c r="I2458" s="38">
        <f t="shared" si="37"/>
        <v>11472.5</v>
      </c>
    </row>
    <row r="2459" spans="1:9" x14ac:dyDescent="0.2">
      <c r="A2459" s="33">
        <v>41703</v>
      </c>
      <c r="B2459" s="36">
        <v>11580</v>
      </c>
      <c r="C2459" s="7">
        <v>11583</v>
      </c>
      <c r="D2459" s="7">
        <v>11595</v>
      </c>
      <c r="E2459" s="7">
        <v>11565</v>
      </c>
      <c r="F2459" s="7">
        <v>11590</v>
      </c>
      <c r="G2459" s="34">
        <v>203</v>
      </c>
      <c r="H2459" s="35">
        <v>-10</v>
      </c>
      <c r="I2459" s="38">
        <f t="shared" si="37"/>
        <v>11581.5</v>
      </c>
    </row>
    <row r="2460" spans="1:9" x14ac:dyDescent="0.2">
      <c r="A2460" s="33">
        <v>41702</v>
      </c>
      <c r="B2460" s="36">
        <v>11590</v>
      </c>
      <c r="C2460" s="7">
        <v>11600</v>
      </c>
      <c r="D2460" s="7">
        <v>11665</v>
      </c>
      <c r="E2460" s="7">
        <v>11580</v>
      </c>
      <c r="F2460" s="7">
        <v>11610</v>
      </c>
      <c r="G2460" s="34">
        <v>129</v>
      </c>
      <c r="H2460" s="35">
        <v>6</v>
      </c>
      <c r="I2460" s="38">
        <f t="shared" si="37"/>
        <v>11595</v>
      </c>
    </row>
    <row r="2461" spans="1:9" x14ac:dyDescent="0.2">
      <c r="A2461" s="33">
        <v>41701</v>
      </c>
      <c r="B2461" s="36">
        <v>11584</v>
      </c>
      <c r="C2461" s="7">
        <v>11595</v>
      </c>
      <c r="D2461" s="7">
        <v>11620</v>
      </c>
      <c r="E2461" s="7">
        <v>11550</v>
      </c>
      <c r="F2461" s="7">
        <v>11605</v>
      </c>
      <c r="G2461" s="34">
        <v>155</v>
      </c>
      <c r="H2461" s="35">
        <v>-20</v>
      </c>
      <c r="I2461" s="38">
        <f t="shared" si="37"/>
        <v>11589.5</v>
      </c>
    </row>
    <row r="2462" spans="1:9" x14ac:dyDescent="0.2">
      <c r="A2462" s="33">
        <v>41698</v>
      </c>
      <c r="B2462" s="36">
        <v>11604</v>
      </c>
      <c r="C2462" s="7">
        <v>11614</v>
      </c>
      <c r="D2462" s="7">
        <v>11650</v>
      </c>
      <c r="E2462" s="7">
        <v>11585</v>
      </c>
      <c r="F2462" s="7">
        <v>11650</v>
      </c>
      <c r="G2462" s="34">
        <v>129</v>
      </c>
      <c r="H2462" s="35">
        <v>-56</v>
      </c>
      <c r="I2462" s="38">
        <f t="shared" si="37"/>
        <v>11609</v>
      </c>
    </row>
    <row r="2463" spans="1:9" x14ac:dyDescent="0.2">
      <c r="A2463" s="33">
        <v>41697</v>
      </c>
      <c r="B2463" s="36">
        <v>11660</v>
      </c>
      <c r="C2463" s="7">
        <v>11670</v>
      </c>
      <c r="D2463" s="7">
        <v>11690</v>
      </c>
      <c r="E2463" s="7">
        <v>11635</v>
      </c>
      <c r="F2463" s="7">
        <v>11660</v>
      </c>
      <c r="G2463" s="34">
        <v>83</v>
      </c>
      <c r="H2463" s="35">
        <v>25</v>
      </c>
      <c r="I2463" s="38">
        <f t="shared" si="37"/>
        <v>11665</v>
      </c>
    </row>
    <row r="2464" spans="1:9" x14ac:dyDescent="0.2">
      <c r="A2464" s="33">
        <v>41696</v>
      </c>
      <c r="B2464" s="36">
        <v>11635</v>
      </c>
      <c r="C2464" s="7">
        <v>11645</v>
      </c>
      <c r="D2464" s="7">
        <v>11675</v>
      </c>
      <c r="E2464" s="7">
        <v>11625</v>
      </c>
      <c r="F2464" s="7">
        <v>11660</v>
      </c>
      <c r="G2464" s="34">
        <v>119</v>
      </c>
      <c r="H2464" s="35">
        <v>-25</v>
      </c>
      <c r="I2464" s="38">
        <f t="shared" ref="I2464:I2527" si="38">+(B2464+C2464)*0.5</f>
        <v>11640</v>
      </c>
    </row>
    <row r="2465" spans="1:9" x14ac:dyDescent="0.2">
      <c r="A2465" s="33">
        <v>41695</v>
      </c>
      <c r="B2465" s="36">
        <v>11660</v>
      </c>
      <c r="C2465" s="7">
        <v>11675</v>
      </c>
      <c r="D2465" s="7">
        <v>11685</v>
      </c>
      <c r="E2465" s="7">
        <v>11570</v>
      </c>
      <c r="F2465" s="7">
        <v>11635</v>
      </c>
      <c r="G2465" s="34">
        <v>135</v>
      </c>
      <c r="H2465" s="35">
        <v>20</v>
      </c>
      <c r="I2465" s="38">
        <f t="shared" si="38"/>
        <v>11667.5</v>
      </c>
    </row>
    <row r="2466" spans="1:9" x14ac:dyDescent="0.2">
      <c r="A2466" s="33">
        <v>41694</v>
      </c>
      <c r="B2466" s="36">
        <v>11640</v>
      </c>
      <c r="C2466" s="7">
        <v>11655</v>
      </c>
      <c r="D2466" s="7">
        <v>11760</v>
      </c>
      <c r="E2466" s="7">
        <v>11625</v>
      </c>
      <c r="F2466" s="7">
        <v>11720</v>
      </c>
      <c r="G2466" s="34">
        <v>109</v>
      </c>
      <c r="H2466" s="35">
        <v>-95</v>
      </c>
      <c r="I2466" s="38">
        <f t="shared" si="38"/>
        <v>11647.5</v>
      </c>
    </row>
    <row r="2467" spans="1:9" x14ac:dyDescent="0.2">
      <c r="A2467" s="33">
        <v>41691</v>
      </c>
      <c r="B2467" s="36">
        <v>11735</v>
      </c>
      <c r="C2467" s="7">
        <v>11745</v>
      </c>
      <c r="D2467" s="7">
        <v>11810</v>
      </c>
      <c r="E2467" s="7">
        <v>11725</v>
      </c>
      <c r="F2467" s="7">
        <v>11805</v>
      </c>
      <c r="G2467" s="34">
        <v>175</v>
      </c>
      <c r="H2467" s="35">
        <v>-65</v>
      </c>
      <c r="I2467" s="38">
        <f t="shared" si="38"/>
        <v>11740</v>
      </c>
    </row>
    <row r="2468" spans="1:9" x14ac:dyDescent="0.2">
      <c r="A2468" s="33">
        <v>41690</v>
      </c>
      <c r="B2468" s="36">
        <v>11800</v>
      </c>
      <c r="C2468" s="7">
        <v>11825</v>
      </c>
      <c r="D2468" s="7">
        <v>11825</v>
      </c>
      <c r="E2468" s="7">
        <v>11740</v>
      </c>
      <c r="F2468" s="7">
        <v>11765</v>
      </c>
      <c r="G2468" s="34">
        <v>168</v>
      </c>
      <c r="H2468" s="35">
        <v>35</v>
      </c>
      <c r="I2468" s="38">
        <f t="shared" si="38"/>
        <v>11812.5</v>
      </c>
    </row>
    <row r="2469" spans="1:9" x14ac:dyDescent="0.2">
      <c r="A2469" s="33">
        <v>41689</v>
      </c>
      <c r="B2469" s="36">
        <v>11765</v>
      </c>
      <c r="C2469" s="7">
        <v>11775</v>
      </c>
      <c r="D2469" s="7">
        <v>11885</v>
      </c>
      <c r="E2469" s="7">
        <v>11720</v>
      </c>
      <c r="F2469" s="7">
        <v>11845</v>
      </c>
      <c r="G2469" s="34">
        <v>307</v>
      </c>
      <c r="H2469" s="35">
        <v>-55</v>
      </c>
      <c r="I2469" s="38">
        <f t="shared" si="38"/>
        <v>11770</v>
      </c>
    </row>
    <row r="2470" spans="1:9" x14ac:dyDescent="0.2">
      <c r="A2470" s="33">
        <v>41688</v>
      </c>
      <c r="B2470" s="36">
        <v>11820</v>
      </c>
      <c r="C2470" s="7">
        <v>11850</v>
      </c>
      <c r="D2470" s="7">
        <v>11880</v>
      </c>
      <c r="E2470" s="7">
        <v>11775</v>
      </c>
      <c r="F2470" s="7">
        <v>11775</v>
      </c>
      <c r="G2470" s="34">
        <v>173</v>
      </c>
      <c r="H2470" s="35">
        <v>50</v>
      </c>
      <c r="I2470" s="38">
        <f t="shared" si="38"/>
        <v>11835</v>
      </c>
    </row>
    <row r="2471" spans="1:9" x14ac:dyDescent="0.2">
      <c r="A2471" s="33">
        <v>41687</v>
      </c>
      <c r="B2471" s="36">
        <v>11770</v>
      </c>
      <c r="C2471" s="7">
        <v>11800</v>
      </c>
      <c r="D2471" s="7">
        <v>11780</v>
      </c>
      <c r="E2471" s="7">
        <v>11650</v>
      </c>
      <c r="F2471" s="7">
        <v>11780</v>
      </c>
      <c r="G2471" s="34">
        <v>202</v>
      </c>
      <c r="H2471" s="35">
        <v>-50</v>
      </c>
      <c r="I2471" s="38">
        <f t="shared" si="38"/>
        <v>11785</v>
      </c>
    </row>
    <row r="2472" spans="1:9" x14ac:dyDescent="0.2">
      <c r="A2472" s="33">
        <v>41684</v>
      </c>
      <c r="B2472" s="36">
        <v>11820</v>
      </c>
      <c r="C2472" s="7">
        <v>11830</v>
      </c>
      <c r="D2472" s="7">
        <v>11970</v>
      </c>
      <c r="E2472" s="7">
        <v>11810</v>
      </c>
      <c r="F2472" s="7">
        <v>11970</v>
      </c>
      <c r="G2472" s="34">
        <v>97</v>
      </c>
      <c r="H2472" s="35">
        <v>-150</v>
      </c>
      <c r="I2472" s="38">
        <f t="shared" si="38"/>
        <v>11825</v>
      </c>
    </row>
    <row r="2473" spans="1:9" x14ac:dyDescent="0.2">
      <c r="A2473" s="33">
        <v>41683</v>
      </c>
      <c r="B2473" s="36">
        <v>11970</v>
      </c>
      <c r="C2473" s="7">
        <v>11980</v>
      </c>
      <c r="D2473" s="7">
        <v>12085</v>
      </c>
      <c r="E2473" s="7">
        <v>11965</v>
      </c>
      <c r="F2473" s="7">
        <v>12050</v>
      </c>
      <c r="G2473" s="34">
        <v>132</v>
      </c>
      <c r="H2473" s="35">
        <v>-110</v>
      </c>
      <c r="I2473" s="38">
        <f t="shared" si="38"/>
        <v>11975</v>
      </c>
    </row>
    <row r="2474" spans="1:9" x14ac:dyDescent="0.2">
      <c r="A2474" s="33">
        <v>41682</v>
      </c>
      <c r="B2474" s="36">
        <v>12080</v>
      </c>
      <c r="C2474" s="7">
        <v>12090</v>
      </c>
      <c r="D2474" s="7">
        <v>12135</v>
      </c>
      <c r="E2474" s="7">
        <v>12060</v>
      </c>
      <c r="F2474" s="7">
        <v>12100</v>
      </c>
      <c r="G2474" s="34">
        <v>138</v>
      </c>
      <c r="H2474" s="35">
        <v>-60</v>
      </c>
      <c r="I2474" s="38">
        <f t="shared" si="38"/>
        <v>12085</v>
      </c>
    </row>
    <row r="2475" spans="1:9" x14ac:dyDescent="0.2">
      <c r="A2475" s="33">
        <v>41681</v>
      </c>
      <c r="B2475" s="36">
        <v>12140</v>
      </c>
      <c r="C2475" s="7">
        <v>12150</v>
      </c>
      <c r="D2475" s="7">
        <v>12174</v>
      </c>
      <c r="E2475" s="7">
        <v>12140</v>
      </c>
      <c r="F2475" s="7">
        <v>12164</v>
      </c>
      <c r="G2475" s="34">
        <v>89</v>
      </c>
      <c r="H2475" s="35">
        <v>-30</v>
      </c>
      <c r="I2475" s="38">
        <f t="shared" si="38"/>
        <v>12145</v>
      </c>
    </row>
    <row r="2476" spans="1:9" x14ac:dyDescent="0.2">
      <c r="A2476" s="33">
        <v>41680</v>
      </c>
      <c r="B2476" s="36">
        <v>12170</v>
      </c>
      <c r="C2476" s="7">
        <v>12175</v>
      </c>
      <c r="D2476" s="7">
        <v>12170</v>
      </c>
      <c r="E2476" s="7">
        <v>12140</v>
      </c>
      <c r="F2476" s="7">
        <v>12140</v>
      </c>
      <c r="G2476" s="34">
        <v>66</v>
      </c>
      <c r="H2476" s="35">
        <v>15</v>
      </c>
      <c r="I2476" s="38">
        <f t="shared" si="38"/>
        <v>12172.5</v>
      </c>
    </row>
    <row r="2477" spans="1:9" x14ac:dyDescent="0.2">
      <c r="A2477" s="33">
        <v>41677</v>
      </c>
      <c r="B2477" s="36">
        <v>12155</v>
      </c>
      <c r="C2477" s="7">
        <v>12165</v>
      </c>
      <c r="D2477" s="7">
        <v>12175</v>
      </c>
      <c r="E2477" s="7">
        <v>12140</v>
      </c>
      <c r="F2477" s="7">
        <v>12150</v>
      </c>
      <c r="G2477" s="34">
        <v>91</v>
      </c>
      <c r="H2477" s="35">
        <v>-20</v>
      </c>
      <c r="I2477" s="38">
        <f t="shared" si="38"/>
        <v>12160</v>
      </c>
    </row>
    <row r="2478" spans="1:9" x14ac:dyDescent="0.2">
      <c r="A2478" s="33">
        <v>41676</v>
      </c>
      <c r="B2478" s="36">
        <v>12175</v>
      </c>
      <c r="C2478" s="7">
        <v>12195</v>
      </c>
      <c r="D2478" s="7">
        <v>12192</v>
      </c>
      <c r="E2478" s="7">
        <v>12139</v>
      </c>
      <c r="F2478" s="7">
        <v>12150</v>
      </c>
      <c r="G2478" s="34">
        <v>104</v>
      </c>
      <c r="H2478" s="35">
        <v>-13</v>
      </c>
      <c r="I2478" s="38">
        <f t="shared" si="38"/>
        <v>12185</v>
      </c>
    </row>
    <row r="2479" spans="1:9" x14ac:dyDescent="0.2">
      <c r="A2479" s="33">
        <v>41675</v>
      </c>
      <c r="B2479" s="36">
        <v>12188</v>
      </c>
      <c r="C2479" s="7">
        <v>12197</v>
      </c>
      <c r="D2479" s="7">
        <v>12190</v>
      </c>
      <c r="E2479" s="7">
        <v>12150</v>
      </c>
      <c r="F2479" s="7">
        <v>12170</v>
      </c>
      <c r="G2479" s="34">
        <v>68</v>
      </c>
      <c r="H2479" s="35">
        <v>-7</v>
      </c>
      <c r="I2479" s="38">
        <f t="shared" si="38"/>
        <v>12192.5</v>
      </c>
    </row>
    <row r="2480" spans="1:9" x14ac:dyDescent="0.2">
      <c r="A2480" s="33">
        <v>41674</v>
      </c>
      <c r="B2480" s="36">
        <v>12195</v>
      </c>
      <c r="C2480" s="7">
        <v>12210</v>
      </c>
      <c r="D2480" s="7">
        <v>12241</v>
      </c>
      <c r="E2480" s="7">
        <v>12190</v>
      </c>
      <c r="F2480" s="7">
        <v>12200</v>
      </c>
      <c r="G2480" s="34">
        <v>159</v>
      </c>
      <c r="H2480" s="35">
        <v>-40</v>
      </c>
      <c r="I2480" s="38">
        <f t="shared" si="38"/>
        <v>12202.5</v>
      </c>
    </row>
    <row r="2481" spans="1:9" x14ac:dyDescent="0.2">
      <c r="A2481" s="33">
        <v>41673</v>
      </c>
      <c r="B2481" s="36">
        <v>12235</v>
      </c>
      <c r="C2481" s="7">
        <v>12245</v>
      </c>
      <c r="D2481" s="7">
        <v>12250</v>
      </c>
      <c r="E2481" s="7">
        <v>12200</v>
      </c>
      <c r="F2481" s="7">
        <v>12215</v>
      </c>
      <c r="G2481" s="34">
        <v>139</v>
      </c>
      <c r="H2481" s="35">
        <v>30</v>
      </c>
      <c r="I2481" s="38">
        <f t="shared" si="38"/>
        <v>12240</v>
      </c>
    </row>
    <row r="2482" spans="1:9" x14ac:dyDescent="0.2">
      <c r="A2482" s="33">
        <v>41670</v>
      </c>
      <c r="B2482" s="36">
        <v>12205</v>
      </c>
      <c r="C2482" s="7">
        <v>12215</v>
      </c>
      <c r="D2482" s="7"/>
      <c r="E2482" s="7"/>
      <c r="F2482" s="7"/>
      <c r="G2482" s="34"/>
      <c r="H2482" s="35">
        <v>0</v>
      </c>
      <c r="I2482" s="38">
        <f t="shared" si="38"/>
        <v>12210</v>
      </c>
    </row>
    <row r="2483" spans="1:9" x14ac:dyDescent="0.2">
      <c r="A2483" s="33">
        <v>41669</v>
      </c>
      <c r="B2483" s="36">
        <v>12205</v>
      </c>
      <c r="C2483" s="7">
        <v>12215</v>
      </c>
      <c r="D2483" s="7">
        <v>12240</v>
      </c>
      <c r="E2483" s="7">
        <v>12175</v>
      </c>
      <c r="F2483" s="7">
        <v>12175</v>
      </c>
      <c r="G2483" s="34">
        <v>114</v>
      </c>
      <c r="H2483" s="35">
        <v>45</v>
      </c>
      <c r="I2483" s="38">
        <f t="shared" si="38"/>
        <v>12210</v>
      </c>
    </row>
    <row r="2484" spans="1:9" x14ac:dyDescent="0.2">
      <c r="A2484" s="33">
        <v>41668</v>
      </c>
      <c r="B2484" s="36">
        <v>12160</v>
      </c>
      <c r="C2484" s="7">
        <v>12170</v>
      </c>
      <c r="D2484" s="7">
        <v>12190</v>
      </c>
      <c r="E2484" s="7">
        <v>12115</v>
      </c>
      <c r="F2484" s="7">
        <v>12180</v>
      </c>
      <c r="G2484" s="34">
        <v>158</v>
      </c>
      <c r="H2484" s="35">
        <v>-25</v>
      </c>
      <c r="I2484" s="38">
        <f t="shared" si="38"/>
        <v>12165</v>
      </c>
    </row>
    <row r="2485" spans="1:9" x14ac:dyDescent="0.2">
      <c r="A2485" s="33">
        <v>41667</v>
      </c>
      <c r="B2485" s="36">
        <v>12185</v>
      </c>
      <c r="C2485" s="7">
        <v>12195</v>
      </c>
      <c r="D2485" s="7">
        <v>12260</v>
      </c>
      <c r="E2485" s="7">
        <v>12185</v>
      </c>
      <c r="F2485" s="7">
        <v>12235</v>
      </c>
      <c r="G2485" s="34">
        <v>155</v>
      </c>
      <c r="H2485" s="35">
        <v>-40</v>
      </c>
      <c r="I2485" s="38">
        <f t="shared" si="38"/>
        <v>12190</v>
      </c>
    </row>
    <row r="2486" spans="1:9" x14ac:dyDescent="0.2">
      <c r="A2486" s="33">
        <v>41666</v>
      </c>
      <c r="B2486" s="36">
        <v>12225</v>
      </c>
      <c r="C2486" s="7">
        <v>12235</v>
      </c>
      <c r="D2486" s="7">
        <v>12241</v>
      </c>
      <c r="E2486" s="7">
        <v>12175</v>
      </c>
      <c r="F2486" s="7">
        <v>12180</v>
      </c>
      <c r="G2486" s="34">
        <v>154</v>
      </c>
      <c r="H2486" s="35">
        <v>50</v>
      </c>
      <c r="I2486" s="38">
        <f t="shared" si="38"/>
        <v>12230</v>
      </c>
    </row>
    <row r="2487" spans="1:9" x14ac:dyDescent="0.2">
      <c r="A2487" s="33">
        <v>41663</v>
      </c>
      <c r="B2487" s="36">
        <v>12175</v>
      </c>
      <c r="C2487" s="7">
        <v>12185</v>
      </c>
      <c r="D2487" s="7">
        <v>12180</v>
      </c>
      <c r="E2487" s="7">
        <v>12159</v>
      </c>
      <c r="F2487" s="7">
        <v>12160</v>
      </c>
      <c r="G2487" s="34">
        <v>73</v>
      </c>
      <c r="H2487" s="35">
        <v>15</v>
      </c>
      <c r="I2487" s="38">
        <f t="shared" si="38"/>
        <v>12180</v>
      </c>
    </row>
    <row r="2488" spans="1:9" x14ac:dyDescent="0.2">
      <c r="A2488" s="33">
        <v>41662</v>
      </c>
      <c r="B2488" s="36">
        <v>12160</v>
      </c>
      <c r="C2488" s="7">
        <v>12170</v>
      </c>
      <c r="D2488" s="7">
        <v>12170</v>
      </c>
      <c r="E2488" s="7">
        <v>12150</v>
      </c>
      <c r="F2488" s="7">
        <v>12150</v>
      </c>
      <c r="G2488" s="34">
        <v>103</v>
      </c>
      <c r="H2488" s="35">
        <v>25</v>
      </c>
      <c r="I2488" s="38">
        <f t="shared" si="38"/>
        <v>12165</v>
      </c>
    </row>
    <row r="2489" spans="1:9" x14ac:dyDescent="0.2">
      <c r="A2489" s="33">
        <v>41661</v>
      </c>
      <c r="B2489" s="36">
        <v>12135</v>
      </c>
      <c r="C2489" s="7">
        <v>12145</v>
      </c>
      <c r="D2489" s="7">
        <v>12155</v>
      </c>
      <c r="E2489" s="7">
        <v>12125</v>
      </c>
      <c r="F2489" s="7">
        <v>12140</v>
      </c>
      <c r="G2489" s="34">
        <v>94</v>
      </c>
      <c r="H2489" s="35">
        <v>10</v>
      </c>
      <c r="I2489" s="38">
        <f t="shared" si="38"/>
        <v>12140</v>
      </c>
    </row>
    <row r="2490" spans="1:9" x14ac:dyDescent="0.2">
      <c r="A2490" s="33">
        <v>41660</v>
      </c>
      <c r="B2490" s="36">
        <v>12125</v>
      </c>
      <c r="C2490" s="7">
        <v>12140</v>
      </c>
      <c r="D2490" s="7">
        <v>12135</v>
      </c>
      <c r="E2490" s="7">
        <v>12110</v>
      </c>
      <c r="F2490" s="7">
        <v>12110</v>
      </c>
      <c r="G2490" s="34">
        <v>54</v>
      </c>
      <c r="H2490" s="35">
        <v>20</v>
      </c>
      <c r="I2490" s="38">
        <f t="shared" si="38"/>
        <v>12132.5</v>
      </c>
    </row>
    <row r="2491" spans="1:9" x14ac:dyDescent="0.2">
      <c r="A2491" s="33">
        <v>41659</v>
      </c>
      <c r="B2491" s="36">
        <v>12105</v>
      </c>
      <c r="C2491" s="7">
        <v>12115</v>
      </c>
      <c r="D2491" s="7">
        <v>12115</v>
      </c>
      <c r="E2491" s="7">
        <v>12090</v>
      </c>
      <c r="F2491" s="7">
        <v>12090</v>
      </c>
      <c r="G2491" s="34">
        <v>78</v>
      </c>
      <c r="H2491" s="35">
        <v>20</v>
      </c>
      <c r="I2491" s="38">
        <f t="shared" si="38"/>
        <v>12110</v>
      </c>
    </row>
    <row r="2492" spans="1:9" x14ac:dyDescent="0.2">
      <c r="A2492" s="33">
        <v>41656</v>
      </c>
      <c r="B2492" s="36">
        <v>12085</v>
      </c>
      <c r="C2492" s="7">
        <v>12095</v>
      </c>
      <c r="D2492" s="7">
        <v>12121</v>
      </c>
      <c r="E2492" s="7">
        <v>12080</v>
      </c>
      <c r="F2492" s="7">
        <v>12120</v>
      </c>
      <c r="G2492" s="34">
        <v>145</v>
      </c>
      <c r="H2492" s="35">
        <v>-30</v>
      </c>
      <c r="I2492" s="38">
        <f t="shared" si="38"/>
        <v>12090</v>
      </c>
    </row>
    <row r="2493" spans="1:9" x14ac:dyDescent="0.2">
      <c r="A2493" s="33">
        <v>41655</v>
      </c>
      <c r="B2493" s="36">
        <v>12115</v>
      </c>
      <c r="C2493" s="7">
        <v>12120</v>
      </c>
      <c r="D2493" s="7">
        <v>12118</v>
      </c>
      <c r="E2493" s="7">
        <v>12090</v>
      </c>
      <c r="F2493" s="7">
        <v>12100</v>
      </c>
      <c r="G2493" s="34">
        <v>116</v>
      </c>
      <c r="H2493" s="35">
        <v>35</v>
      </c>
      <c r="I2493" s="38">
        <f t="shared" si="38"/>
        <v>12117.5</v>
      </c>
    </row>
    <row r="2494" spans="1:9" x14ac:dyDescent="0.2">
      <c r="A2494" s="33">
        <v>41654</v>
      </c>
      <c r="B2494" s="36">
        <v>12080</v>
      </c>
      <c r="C2494" s="7">
        <v>12090</v>
      </c>
      <c r="D2494" s="7">
        <v>12085</v>
      </c>
      <c r="E2494" s="7">
        <v>12020</v>
      </c>
      <c r="F2494" s="7">
        <v>12050</v>
      </c>
      <c r="G2494" s="34">
        <v>224</v>
      </c>
      <c r="H2494" s="35">
        <v>35</v>
      </c>
      <c r="I2494" s="38">
        <f t="shared" si="38"/>
        <v>12085</v>
      </c>
    </row>
    <row r="2495" spans="1:9" x14ac:dyDescent="0.2">
      <c r="A2495" s="33">
        <v>41653</v>
      </c>
      <c r="B2495" s="36">
        <v>12045</v>
      </c>
      <c r="C2495" s="7">
        <v>12055</v>
      </c>
      <c r="D2495" s="7"/>
      <c r="E2495" s="7"/>
      <c r="F2495" s="7"/>
      <c r="G2495" s="34"/>
      <c r="H2495" s="35">
        <v>0</v>
      </c>
      <c r="I2495" s="38">
        <f t="shared" si="38"/>
        <v>12050</v>
      </c>
    </row>
    <row r="2496" spans="1:9" x14ac:dyDescent="0.2">
      <c r="A2496" s="33">
        <v>41652</v>
      </c>
      <c r="B2496" s="36">
        <v>12045</v>
      </c>
      <c r="C2496" s="7">
        <v>12055</v>
      </c>
      <c r="D2496" s="7">
        <v>12125</v>
      </c>
      <c r="E2496" s="7">
        <v>12000</v>
      </c>
      <c r="F2496" s="7">
        <v>12125</v>
      </c>
      <c r="G2496" s="34">
        <v>167</v>
      </c>
      <c r="H2496" s="35">
        <v>-110</v>
      </c>
      <c r="I2496" s="38">
        <f t="shared" si="38"/>
        <v>12050</v>
      </c>
    </row>
    <row r="2497" spans="1:9" x14ac:dyDescent="0.2">
      <c r="A2497" s="33">
        <v>41649</v>
      </c>
      <c r="B2497" s="36">
        <v>12155</v>
      </c>
      <c r="C2497" s="7">
        <v>12168</v>
      </c>
      <c r="D2497" s="7">
        <v>12195</v>
      </c>
      <c r="E2497" s="7">
        <v>12150</v>
      </c>
      <c r="F2497" s="7">
        <v>12195</v>
      </c>
      <c r="G2497" s="34">
        <v>135</v>
      </c>
      <c r="H2497" s="35">
        <v>-30</v>
      </c>
      <c r="I2497" s="38">
        <f t="shared" si="38"/>
        <v>12161.5</v>
      </c>
    </row>
    <row r="2498" spans="1:9" x14ac:dyDescent="0.2">
      <c r="A2498" s="33">
        <v>41648</v>
      </c>
      <c r="B2498" s="36">
        <v>12185</v>
      </c>
      <c r="C2498" s="7">
        <v>12195</v>
      </c>
      <c r="D2498" s="7">
        <v>12255</v>
      </c>
      <c r="E2498" s="7">
        <v>12185</v>
      </c>
      <c r="F2498" s="7">
        <v>12225</v>
      </c>
      <c r="G2498" s="34">
        <v>151</v>
      </c>
      <c r="H2498" s="35">
        <v>-40</v>
      </c>
      <c r="I2498" s="38">
        <f t="shared" si="38"/>
        <v>12190</v>
      </c>
    </row>
    <row r="2499" spans="1:9" x14ac:dyDescent="0.2">
      <c r="A2499" s="33">
        <v>41647</v>
      </c>
      <c r="B2499" s="36">
        <v>12225</v>
      </c>
      <c r="C2499" s="7">
        <v>12245</v>
      </c>
      <c r="D2499" s="7">
        <v>12240</v>
      </c>
      <c r="E2499" s="7">
        <v>12200</v>
      </c>
      <c r="F2499" s="7">
        <v>12210</v>
      </c>
      <c r="G2499" s="34">
        <v>145</v>
      </c>
      <c r="H2499" s="35">
        <v>-5</v>
      </c>
      <c r="I2499" s="38">
        <f t="shared" si="38"/>
        <v>12235</v>
      </c>
    </row>
    <row r="2500" spans="1:9" x14ac:dyDescent="0.2">
      <c r="A2500" s="33">
        <v>41646</v>
      </c>
      <c r="B2500" s="36">
        <v>12230</v>
      </c>
      <c r="C2500" s="7">
        <v>12245</v>
      </c>
      <c r="D2500" s="7">
        <v>12270</v>
      </c>
      <c r="E2500" s="7">
        <v>12190</v>
      </c>
      <c r="F2500" s="7">
        <v>12190</v>
      </c>
      <c r="G2500" s="34">
        <v>339</v>
      </c>
      <c r="H2500" s="35">
        <v>60</v>
      </c>
      <c r="I2500" s="38">
        <f t="shared" si="38"/>
        <v>12237.5</v>
      </c>
    </row>
    <row r="2501" spans="1:9" x14ac:dyDescent="0.2">
      <c r="A2501" s="33">
        <v>41645</v>
      </c>
      <c r="B2501" s="36">
        <v>12170</v>
      </c>
      <c r="C2501" s="7">
        <v>12190</v>
      </c>
      <c r="D2501" s="7">
        <v>12235</v>
      </c>
      <c r="E2501" s="7">
        <v>12170</v>
      </c>
      <c r="F2501" s="7">
        <v>12185</v>
      </c>
      <c r="G2501" s="34">
        <v>74</v>
      </c>
      <c r="H2501" s="35">
        <v>10</v>
      </c>
      <c r="I2501" s="38">
        <f t="shared" si="38"/>
        <v>12180</v>
      </c>
    </row>
    <row r="2502" spans="1:9" x14ac:dyDescent="0.2">
      <c r="A2502" s="33">
        <v>41642</v>
      </c>
      <c r="B2502" s="36">
        <v>12160</v>
      </c>
      <c r="C2502" s="7">
        <v>12180</v>
      </c>
      <c r="D2502" s="7">
        <v>12235</v>
      </c>
      <c r="E2502" s="7">
        <v>12150</v>
      </c>
      <c r="F2502" s="7">
        <v>12150</v>
      </c>
      <c r="G2502" s="34">
        <v>109</v>
      </c>
      <c r="H2502" s="35">
        <v>10</v>
      </c>
      <c r="I2502" s="38">
        <f t="shared" si="38"/>
        <v>12170</v>
      </c>
    </row>
    <row r="2503" spans="1:9" x14ac:dyDescent="0.2">
      <c r="A2503" s="33">
        <v>41641</v>
      </c>
      <c r="B2503" s="36">
        <v>12150</v>
      </c>
      <c r="C2503" s="7">
        <v>12170</v>
      </c>
      <c r="D2503" s="7">
        <v>12250</v>
      </c>
      <c r="E2503" s="7">
        <v>12140</v>
      </c>
      <c r="F2503" s="7">
        <v>12185</v>
      </c>
      <c r="G2503" s="34">
        <v>156</v>
      </c>
      <c r="H2503" s="35">
        <v>-10</v>
      </c>
      <c r="I2503" s="38">
        <f t="shared" si="38"/>
        <v>12160</v>
      </c>
    </row>
    <row r="2504" spans="1:9" x14ac:dyDescent="0.2">
      <c r="A2504" s="33">
        <v>41640</v>
      </c>
      <c r="B2504" s="36">
        <v>12160</v>
      </c>
      <c r="C2504" s="7">
        <v>12180</v>
      </c>
      <c r="D2504" s="7"/>
      <c r="E2504" s="7"/>
      <c r="F2504" s="7"/>
      <c r="G2504" s="34"/>
      <c r="H2504" s="35">
        <v>0</v>
      </c>
      <c r="I2504" s="38">
        <f t="shared" si="38"/>
        <v>12170</v>
      </c>
    </row>
    <row r="2505" spans="1:9" x14ac:dyDescent="0.2">
      <c r="A2505" s="33">
        <v>41639</v>
      </c>
      <c r="B2505" s="36">
        <v>12160</v>
      </c>
      <c r="C2505" s="7">
        <v>12180</v>
      </c>
      <c r="D2505" s="7">
        <v>12185</v>
      </c>
      <c r="E2505" s="7">
        <v>12160</v>
      </c>
      <c r="F2505" s="7">
        <v>12180</v>
      </c>
      <c r="G2505" s="34">
        <v>52</v>
      </c>
      <c r="H2505" s="35">
        <v>-40</v>
      </c>
      <c r="I2505" s="38">
        <f t="shared" si="38"/>
        <v>12170</v>
      </c>
    </row>
    <row r="2506" spans="1:9" x14ac:dyDescent="0.2">
      <c r="A2506" s="33">
        <v>41638</v>
      </c>
      <c r="B2506" s="36">
        <v>12200</v>
      </c>
      <c r="C2506" s="7">
        <v>12220</v>
      </c>
      <c r="D2506" s="7">
        <v>12260</v>
      </c>
      <c r="E2506" s="7">
        <v>12200</v>
      </c>
      <c r="F2506" s="7">
        <v>12250</v>
      </c>
      <c r="G2506" s="34">
        <v>46</v>
      </c>
      <c r="H2506" s="35">
        <v>-45</v>
      </c>
      <c r="I2506" s="38">
        <f t="shared" si="38"/>
        <v>12210</v>
      </c>
    </row>
    <row r="2507" spans="1:9" x14ac:dyDescent="0.2">
      <c r="A2507" s="33">
        <v>41635</v>
      </c>
      <c r="B2507" s="36">
        <v>12245</v>
      </c>
      <c r="C2507" s="7">
        <v>12275</v>
      </c>
      <c r="D2507" s="7">
        <v>12278</v>
      </c>
      <c r="E2507" s="7">
        <v>12230</v>
      </c>
      <c r="F2507" s="7">
        <v>12230</v>
      </c>
      <c r="G2507" s="34">
        <v>25</v>
      </c>
      <c r="H2507" s="35">
        <v>55</v>
      </c>
      <c r="I2507" s="38">
        <f t="shared" si="38"/>
        <v>12260</v>
      </c>
    </row>
    <row r="2508" spans="1:9" x14ac:dyDescent="0.2">
      <c r="A2508" s="33">
        <v>41634</v>
      </c>
      <c r="B2508" s="36">
        <v>12190</v>
      </c>
      <c r="C2508" s="7">
        <v>12210</v>
      </c>
      <c r="D2508" s="7"/>
      <c r="E2508" s="7"/>
      <c r="F2508" s="7"/>
      <c r="G2508" s="34"/>
      <c r="H2508" s="35">
        <v>0</v>
      </c>
      <c r="I2508" s="38">
        <f t="shared" si="38"/>
        <v>12200</v>
      </c>
    </row>
    <row r="2509" spans="1:9" x14ac:dyDescent="0.2">
      <c r="A2509" s="33">
        <v>41633</v>
      </c>
      <c r="B2509" s="36">
        <v>12190</v>
      </c>
      <c r="C2509" s="7">
        <v>12210</v>
      </c>
      <c r="D2509" s="7"/>
      <c r="E2509" s="7"/>
      <c r="F2509" s="7"/>
      <c r="G2509" s="34"/>
      <c r="H2509" s="35">
        <v>0</v>
      </c>
      <c r="I2509" s="38">
        <f t="shared" si="38"/>
        <v>12200</v>
      </c>
    </row>
    <row r="2510" spans="1:9" x14ac:dyDescent="0.2">
      <c r="A2510" s="33">
        <v>41632</v>
      </c>
      <c r="B2510" s="36">
        <v>12190</v>
      </c>
      <c r="C2510" s="7">
        <v>12210</v>
      </c>
      <c r="D2510" s="7">
        <v>12240</v>
      </c>
      <c r="E2510" s="7">
        <v>12190</v>
      </c>
      <c r="F2510" s="7">
        <v>12220</v>
      </c>
      <c r="G2510" s="34">
        <v>58</v>
      </c>
      <c r="H2510" s="35">
        <v>10</v>
      </c>
      <c r="I2510" s="38">
        <f t="shared" si="38"/>
        <v>12200</v>
      </c>
    </row>
    <row r="2511" spans="1:9" x14ac:dyDescent="0.2">
      <c r="A2511" s="33">
        <v>41631</v>
      </c>
      <c r="B2511" s="36">
        <v>12180</v>
      </c>
      <c r="C2511" s="7">
        <v>12205</v>
      </c>
      <c r="D2511" s="7">
        <v>12250</v>
      </c>
      <c r="E2511" s="7">
        <v>12180</v>
      </c>
      <c r="F2511" s="7">
        <v>12220</v>
      </c>
      <c r="G2511" s="34">
        <v>49</v>
      </c>
      <c r="H2511" s="35">
        <v>-20</v>
      </c>
      <c r="I2511" s="38">
        <f t="shared" si="38"/>
        <v>12192.5</v>
      </c>
    </row>
    <row r="2512" spans="1:9" x14ac:dyDescent="0.2">
      <c r="A2512" s="33">
        <v>41628</v>
      </c>
      <c r="B2512" s="36">
        <v>12200</v>
      </c>
      <c r="C2512" s="7">
        <v>12225</v>
      </c>
      <c r="D2512" s="7">
        <v>12250</v>
      </c>
      <c r="E2512" s="7">
        <v>12200</v>
      </c>
      <c r="F2512" s="7">
        <v>12210</v>
      </c>
      <c r="G2512" s="34">
        <v>80</v>
      </c>
      <c r="H2512" s="35">
        <v>5</v>
      </c>
      <c r="I2512" s="38">
        <f t="shared" si="38"/>
        <v>12212.5</v>
      </c>
    </row>
    <row r="2513" spans="1:9" x14ac:dyDescent="0.2">
      <c r="A2513" s="33">
        <v>41627</v>
      </c>
      <c r="B2513" s="36">
        <v>12195</v>
      </c>
      <c r="C2513" s="7">
        <v>12220</v>
      </c>
      <c r="D2513" s="7">
        <v>12225</v>
      </c>
      <c r="E2513" s="7">
        <v>12170</v>
      </c>
      <c r="F2513" s="7">
        <v>12180</v>
      </c>
      <c r="G2513" s="34">
        <v>31</v>
      </c>
      <c r="H2513" s="35">
        <v>45</v>
      </c>
      <c r="I2513" s="38">
        <f t="shared" si="38"/>
        <v>12207.5</v>
      </c>
    </row>
    <row r="2514" spans="1:9" x14ac:dyDescent="0.2">
      <c r="A2514" s="33">
        <v>41626</v>
      </c>
      <c r="B2514" s="36">
        <v>12150</v>
      </c>
      <c r="C2514" s="7">
        <v>12180</v>
      </c>
      <c r="D2514" s="7">
        <v>12175</v>
      </c>
      <c r="E2514" s="7">
        <v>12110</v>
      </c>
      <c r="F2514" s="7">
        <v>12120</v>
      </c>
      <c r="G2514" s="34">
        <v>55</v>
      </c>
      <c r="H2514" s="35">
        <v>40</v>
      </c>
      <c r="I2514" s="38">
        <f t="shared" si="38"/>
        <v>12165</v>
      </c>
    </row>
    <row r="2515" spans="1:9" x14ac:dyDescent="0.2">
      <c r="A2515" s="33">
        <v>41625</v>
      </c>
      <c r="B2515" s="36">
        <v>12110</v>
      </c>
      <c r="C2515" s="7">
        <v>12135</v>
      </c>
      <c r="D2515" s="7">
        <v>12150</v>
      </c>
      <c r="E2515" s="7">
        <v>12075</v>
      </c>
      <c r="F2515" s="7">
        <v>12100</v>
      </c>
      <c r="G2515" s="34">
        <v>20</v>
      </c>
      <c r="H2515" s="35">
        <v>20</v>
      </c>
      <c r="I2515" s="38">
        <f t="shared" si="38"/>
        <v>12122.5</v>
      </c>
    </row>
    <row r="2516" spans="1:9" x14ac:dyDescent="0.2">
      <c r="A2516" s="33">
        <v>41624</v>
      </c>
      <c r="B2516" s="36">
        <v>12090</v>
      </c>
      <c r="C2516" s="7">
        <v>12120</v>
      </c>
      <c r="D2516" s="7">
        <v>12120</v>
      </c>
      <c r="E2516" s="7">
        <v>12050</v>
      </c>
      <c r="F2516" s="7">
        <v>12110</v>
      </c>
      <c r="G2516" s="34">
        <v>52</v>
      </c>
      <c r="H2516" s="35">
        <v>-5</v>
      </c>
      <c r="I2516" s="38">
        <f t="shared" si="38"/>
        <v>12105</v>
      </c>
    </row>
    <row r="2517" spans="1:9" x14ac:dyDescent="0.2">
      <c r="A2517" s="33">
        <v>41621</v>
      </c>
      <c r="B2517" s="36">
        <v>12095</v>
      </c>
      <c r="C2517" s="7">
        <v>12140</v>
      </c>
      <c r="D2517" s="7">
        <v>12100</v>
      </c>
      <c r="E2517" s="7">
        <v>12050</v>
      </c>
      <c r="F2517" s="7">
        <v>12050</v>
      </c>
      <c r="G2517" s="34">
        <v>63</v>
      </c>
      <c r="H2517" s="35">
        <v>85</v>
      </c>
      <c r="I2517" s="38">
        <f t="shared" si="38"/>
        <v>12117.5</v>
      </c>
    </row>
    <row r="2518" spans="1:9" x14ac:dyDescent="0.2">
      <c r="A2518" s="33">
        <v>41620</v>
      </c>
      <c r="B2518" s="36">
        <v>12010</v>
      </c>
      <c r="C2518" s="7">
        <v>12035</v>
      </c>
      <c r="D2518" s="7">
        <v>12040</v>
      </c>
      <c r="E2518" s="7">
        <v>11995</v>
      </c>
      <c r="F2518" s="7">
        <v>12000</v>
      </c>
      <c r="G2518" s="34">
        <v>34</v>
      </c>
      <c r="H2518" s="35">
        <v>25</v>
      </c>
      <c r="I2518" s="38">
        <f t="shared" si="38"/>
        <v>12022.5</v>
      </c>
    </row>
    <row r="2519" spans="1:9" x14ac:dyDescent="0.2">
      <c r="A2519" s="33">
        <v>41619</v>
      </c>
      <c r="B2519" s="36">
        <v>11985</v>
      </c>
      <c r="C2519" s="7">
        <v>11995</v>
      </c>
      <c r="D2519" s="7">
        <v>12012</v>
      </c>
      <c r="E2519" s="7">
        <v>11985</v>
      </c>
      <c r="F2519" s="7">
        <v>11990</v>
      </c>
      <c r="G2519" s="34">
        <v>62</v>
      </c>
      <c r="H2519" s="35">
        <v>5</v>
      </c>
      <c r="I2519" s="38">
        <f t="shared" si="38"/>
        <v>11990</v>
      </c>
    </row>
    <row r="2520" spans="1:9" x14ac:dyDescent="0.2">
      <c r="A2520" s="33">
        <v>41618</v>
      </c>
      <c r="B2520" s="36">
        <v>11980</v>
      </c>
      <c r="C2520" s="7">
        <v>11990</v>
      </c>
      <c r="D2520" s="7">
        <v>11990</v>
      </c>
      <c r="E2520" s="7">
        <v>11940</v>
      </c>
      <c r="F2520" s="7">
        <v>11940</v>
      </c>
      <c r="G2520" s="34">
        <v>26</v>
      </c>
      <c r="H2520" s="35">
        <v>15</v>
      </c>
      <c r="I2520" s="38">
        <f t="shared" si="38"/>
        <v>11985</v>
      </c>
    </row>
    <row r="2521" spans="1:9" x14ac:dyDescent="0.2">
      <c r="A2521" s="33">
        <v>41617</v>
      </c>
      <c r="B2521" s="36">
        <v>11965</v>
      </c>
      <c r="C2521" s="7">
        <v>11980</v>
      </c>
      <c r="D2521" s="7">
        <v>11980</v>
      </c>
      <c r="E2521" s="7">
        <v>11920</v>
      </c>
      <c r="F2521" s="7">
        <v>11920</v>
      </c>
      <c r="G2521" s="34">
        <v>38</v>
      </c>
      <c r="H2521" s="35">
        <v>15</v>
      </c>
      <c r="I2521" s="38">
        <f t="shared" si="38"/>
        <v>11972.5</v>
      </c>
    </row>
    <row r="2522" spans="1:9" x14ac:dyDescent="0.2">
      <c r="A2522" s="33">
        <v>41614</v>
      </c>
      <c r="B2522" s="36">
        <v>11950</v>
      </c>
      <c r="C2522" s="7">
        <v>11975</v>
      </c>
      <c r="D2522" s="7">
        <v>12000</v>
      </c>
      <c r="E2522" s="7">
        <v>11929</v>
      </c>
      <c r="F2522" s="7">
        <v>12000</v>
      </c>
      <c r="G2522" s="34">
        <v>59</v>
      </c>
      <c r="H2522" s="35">
        <v>0</v>
      </c>
      <c r="I2522" s="38">
        <f t="shared" si="38"/>
        <v>11962.5</v>
      </c>
    </row>
    <row r="2523" spans="1:9" x14ac:dyDescent="0.2">
      <c r="A2523" s="33">
        <v>41613</v>
      </c>
      <c r="B2523" s="36">
        <v>11950</v>
      </c>
      <c r="C2523" s="7">
        <v>11975</v>
      </c>
      <c r="D2523" s="7">
        <v>12035</v>
      </c>
      <c r="E2523" s="7">
        <v>11910</v>
      </c>
      <c r="F2523" s="7">
        <v>12000</v>
      </c>
      <c r="G2523" s="34">
        <v>138</v>
      </c>
      <c r="H2523" s="35">
        <v>-25</v>
      </c>
      <c r="I2523" s="38">
        <f t="shared" si="38"/>
        <v>11962.5</v>
      </c>
    </row>
    <row r="2524" spans="1:9" x14ac:dyDescent="0.2">
      <c r="A2524" s="33">
        <v>41612</v>
      </c>
      <c r="B2524" s="36">
        <v>11975</v>
      </c>
      <c r="C2524" s="7">
        <v>11995</v>
      </c>
      <c r="D2524" s="7">
        <v>12000</v>
      </c>
      <c r="E2524" s="7">
        <v>11920</v>
      </c>
      <c r="F2524" s="7">
        <v>11920</v>
      </c>
      <c r="G2524" s="34">
        <v>111</v>
      </c>
      <c r="H2524" s="35">
        <v>95</v>
      </c>
      <c r="I2524" s="38">
        <f t="shared" si="38"/>
        <v>11985</v>
      </c>
    </row>
    <row r="2525" spans="1:9" x14ac:dyDescent="0.2">
      <c r="A2525" s="33">
        <v>41611</v>
      </c>
      <c r="B2525" s="36">
        <v>11880</v>
      </c>
      <c r="C2525" s="7">
        <v>11890</v>
      </c>
      <c r="D2525" s="7">
        <v>11920</v>
      </c>
      <c r="E2525" s="7">
        <v>11750</v>
      </c>
      <c r="F2525" s="7">
        <v>11750</v>
      </c>
      <c r="G2525" s="34">
        <v>99</v>
      </c>
      <c r="H2525" s="35">
        <v>120</v>
      </c>
      <c r="I2525" s="38">
        <f t="shared" si="38"/>
        <v>11885</v>
      </c>
    </row>
    <row r="2526" spans="1:9" x14ac:dyDescent="0.2">
      <c r="A2526" s="33">
        <v>41610</v>
      </c>
      <c r="B2526" s="36">
        <v>11760</v>
      </c>
      <c r="C2526" s="7">
        <v>11780</v>
      </c>
      <c r="D2526" s="7">
        <v>11950</v>
      </c>
      <c r="E2526" s="7">
        <v>11680</v>
      </c>
      <c r="F2526" s="7">
        <v>11945</v>
      </c>
      <c r="G2526" s="34">
        <v>119</v>
      </c>
      <c r="H2526" s="35">
        <v>-195</v>
      </c>
      <c r="I2526" s="38">
        <f t="shared" si="38"/>
        <v>11770</v>
      </c>
    </row>
    <row r="2527" spans="1:9" x14ac:dyDescent="0.2">
      <c r="A2527" s="33">
        <v>41607</v>
      </c>
      <c r="B2527" s="36">
        <v>11955</v>
      </c>
      <c r="C2527" s="7">
        <v>11970</v>
      </c>
      <c r="D2527" s="7">
        <v>11990</v>
      </c>
      <c r="E2527" s="7">
        <v>11955</v>
      </c>
      <c r="F2527" s="7">
        <v>11990</v>
      </c>
      <c r="G2527" s="34">
        <v>99</v>
      </c>
      <c r="H2527" s="35">
        <v>-35</v>
      </c>
      <c r="I2527" s="38">
        <f t="shared" si="38"/>
        <v>11962.5</v>
      </c>
    </row>
    <row r="2528" spans="1:9" x14ac:dyDescent="0.2">
      <c r="A2528" s="33">
        <v>41606</v>
      </c>
      <c r="B2528" s="36">
        <v>11990</v>
      </c>
      <c r="C2528" s="7">
        <v>12040</v>
      </c>
      <c r="D2528" s="7">
        <v>12000</v>
      </c>
      <c r="E2528" s="7">
        <v>11870</v>
      </c>
      <c r="F2528" s="7">
        <v>11870</v>
      </c>
      <c r="G2528" s="34">
        <v>75</v>
      </c>
      <c r="H2528" s="35">
        <v>110</v>
      </c>
      <c r="I2528" s="38">
        <f t="shared" ref="I2528:I2591" si="39">+(B2528+C2528)*0.5</f>
        <v>12015</v>
      </c>
    </row>
    <row r="2529" spans="1:9" x14ac:dyDescent="0.2">
      <c r="A2529" s="33">
        <v>41605</v>
      </c>
      <c r="B2529" s="36">
        <v>11880</v>
      </c>
      <c r="C2529" s="7">
        <v>11890</v>
      </c>
      <c r="D2529" s="7">
        <v>11880</v>
      </c>
      <c r="E2529" s="7">
        <v>11775</v>
      </c>
      <c r="F2529" s="7">
        <v>11790</v>
      </c>
      <c r="G2529" s="34">
        <v>22</v>
      </c>
      <c r="H2529" s="35">
        <v>125</v>
      </c>
      <c r="I2529" s="38">
        <f t="shared" si="39"/>
        <v>11885</v>
      </c>
    </row>
    <row r="2530" spans="1:9" x14ac:dyDescent="0.2">
      <c r="A2530" s="33">
        <v>41604</v>
      </c>
      <c r="B2530" s="36">
        <v>11755</v>
      </c>
      <c r="C2530" s="7">
        <v>11770</v>
      </c>
      <c r="D2530" s="7">
        <v>11790</v>
      </c>
      <c r="E2530" s="7">
        <v>11725</v>
      </c>
      <c r="F2530" s="7">
        <v>11725</v>
      </c>
      <c r="G2530" s="34">
        <v>45</v>
      </c>
      <c r="H2530" s="35">
        <v>15</v>
      </c>
      <c r="I2530" s="38">
        <f t="shared" si="39"/>
        <v>11762.5</v>
      </c>
    </row>
    <row r="2531" spans="1:9" x14ac:dyDescent="0.2">
      <c r="A2531" s="33">
        <v>41603</v>
      </c>
      <c r="B2531" s="36">
        <v>11740</v>
      </c>
      <c r="C2531" s="7">
        <v>11755</v>
      </c>
      <c r="D2531" s="7">
        <v>11745</v>
      </c>
      <c r="E2531" s="7">
        <v>11675</v>
      </c>
      <c r="F2531" s="7">
        <v>11685</v>
      </c>
      <c r="G2531" s="34">
        <v>53</v>
      </c>
      <c r="H2531" s="35">
        <v>55</v>
      </c>
      <c r="I2531" s="38">
        <f t="shared" si="39"/>
        <v>11747.5</v>
      </c>
    </row>
    <row r="2532" spans="1:9" x14ac:dyDescent="0.2">
      <c r="A2532" s="33">
        <v>41600</v>
      </c>
      <c r="B2532" s="36">
        <v>11685</v>
      </c>
      <c r="C2532" s="7">
        <v>11705</v>
      </c>
      <c r="D2532" s="7">
        <v>11725</v>
      </c>
      <c r="E2532" s="7">
        <v>11685</v>
      </c>
      <c r="F2532" s="7">
        <v>11700</v>
      </c>
      <c r="G2532" s="34">
        <v>31</v>
      </c>
      <c r="H2532" s="35">
        <v>-10</v>
      </c>
      <c r="I2532" s="38">
        <f t="shared" si="39"/>
        <v>11695</v>
      </c>
    </row>
    <row r="2533" spans="1:9" x14ac:dyDescent="0.2">
      <c r="A2533" s="33">
        <v>41599</v>
      </c>
      <c r="B2533" s="36">
        <v>11695</v>
      </c>
      <c r="C2533" s="7">
        <v>11710</v>
      </c>
      <c r="D2533" s="7">
        <v>11725</v>
      </c>
      <c r="E2533" s="7">
        <v>11670</v>
      </c>
      <c r="F2533" s="7">
        <v>11670</v>
      </c>
      <c r="G2533" s="34">
        <v>98</v>
      </c>
      <c r="H2533" s="35">
        <v>45</v>
      </c>
      <c r="I2533" s="38">
        <f t="shared" si="39"/>
        <v>11702.5</v>
      </c>
    </row>
    <row r="2534" spans="1:9" x14ac:dyDescent="0.2">
      <c r="A2534" s="33">
        <v>41598</v>
      </c>
      <c r="B2534" s="36">
        <v>11650</v>
      </c>
      <c r="C2534" s="7">
        <v>11665</v>
      </c>
      <c r="D2534" s="7">
        <v>11650</v>
      </c>
      <c r="E2534" s="7">
        <v>11590</v>
      </c>
      <c r="F2534" s="7">
        <v>11590</v>
      </c>
      <c r="G2534" s="34">
        <v>33</v>
      </c>
      <c r="H2534" s="35">
        <v>55</v>
      </c>
      <c r="I2534" s="38">
        <f t="shared" si="39"/>
        <v>11657.5</v>
      </c>
    </row>
    <row r="2535" spans="1:9" x14ac:dyDescent="0.2">
      <c r="A2535" s="33">
        <v>41597</v>
      </c>
      <c r="B2535" s="36">
        <v>11595</v>
      </c>
      <c r="C2535" s="7">
        <v>11600</v>
      </c>
      <c r="D2535" s="7">
        <v>11625</v>
      </c>
      <c r="E2535" s="7">
        <v>11570</v>
      </c>
      <c r="F2535" s="7">
        <v>11625</v>
      </c>
      <c r="G2535" s="34">
        <v>139</v>
      </c>
      <c r="H2535" s="35">
        <v>-30</v>
      </c>
      <c r="I2535" s="38">
        <f t="shared" si="39"/>
        <v>11597.5</v>
      </c>
    </row>
    <row r="2536" spans="1:9" x14ac:dyDescent="0.2">
      <c r="A2536" s="33">
        <v>41596</v>
      </c>
      <c r="B2536" s="36">
        <v>11625</v>
      </c>
      <c r="C2536" s="7">
        <v>11640</v>
      </c>
      <c r="D2536" s="7">
        <v>11640</v>
      </c>
      <c r="E2536" s="7">
        <v>11595</v>
      </c>
      <c r="F2536" s="7">
        <v>11595</v>
      </c>
      <c r="G2536" s="34">
        <v>49</v>
      </c>
      <c r="H2536" s="35">
        <v>20</v>
      </c>
      <c r="I2536" s="38">
        <f t="shared" si="39"/>
        <v>11632.5</v>
      </c>
    </row>
    <row r="2537" spans="1:9" x14ac:dyDescent="0.2">
      <c r="A2537" s="33">
        <v>41593</v>
      </c>
      <c r="B2537" s="36">
        <v>11605</v>
      </c>
      <c r="C2537" s="7">
        <v>11635</v>
      </c>
      <c r="D2537" s="7">
        <v>11620</v>
      </c>
      <c r="E2537" s="7">
        <v>11510</v>
      </c>
      <c r="F2537" s="7">
        <v>11520</v>
      </c>
      <c r="G2537" s="34">
        <v>63</v>
      </c>
      <c r="H2537" s="35">
        <v>70</v>
      </c>
      <c r="I2537" s="38">
        <f t="shared" si="39"/>
        <v>11620</v>
      </c>
    </row>
    <row r="2538" spans="1:9" x14ac:dyDescent="0.2">
      <c r="A2538" s="33">
        <v>41592</v>
      </c>
      <c r="B2538" s="36">
        <v>11535</v>
      </c>
      <c r="C2538" s="7">
        <v>11550</v>
      </c>
      <c r="D2538" s="7">
        <v>11560</v>
      </c>
      <c r="E2538" s="7">
        <v>11505</v>
      </c>
      <c r="F2538" s="7">
        <v>11550</v>
      </c>
      <c r="G2538" s="34">
        <v>113</v>
      </c>
      <c r="H2538" s="35">
        <v>-60</v>
      </c>
      <c r="I2538" s="38">
        <f t="shared" si="39"/>
        <v>11542.5</v>
      </c>
    </row>
    <row r="2539" spans="1:9" x14ac:dyDescent="0.2">
      <c r="A2539" s="33">
        <v>41591</v>
      </c>
      <c r="B2539" s="36">
        <v>11595</v>
      </c>
      <c r="C2539" s="7">
        <v>11615</v>
      </c>
      <c r="D2539" s="7">
        <v>11670</v>
      </c>
      <c r="E2539" s="7">
        <v>11580</v>
      </c>
      <c r="F2539" s="7">
        <v>11611</v>
      </c>
      <c r="G2539" s="34">
        <v>74</v>
      </c>
      <c r="H2539" s="35">
        <v>5</v>
      </c>
      <c r="I2539" s="38">
        <f t="shared" si="39"/>
        <v>11605</v>
      </c>
    </row>
    <row r="2540" spans="1:9" x14ac:dyDescent="0.2">
      <c r="A2540" s="33">
        <v>41590</v>
      </c>
      <c r="B2540" s="36">
        <v>11590</v>
      </c>
      <c r="C2540" s="7">
        <v>11595</v>
      </c>
      <c r="D2540" s="7">
        <v>11635</v>
      </c>
      <c r="E2540" s="7">
        <v>11530</v>
      </c>
      <c r="F2540" s="7">
        <v>11550</v>
      </c>
      <c r="G2540" s="34">
        <v>80</v>
      </c>
      <c r="H2540" s="35">
        <v>35</v>
      </c>
      <c r="I2540" s="38">
        <f t="shared" si="39"/>
        <v>11592.5</v>
      </c>
    </row>
    <row r="2541" spans="1:9" x14ac:dyDescent="0.2">
      <c r="A2541" s="33">
        <v>41589</v>
      </c>
      <c r="B2541" s="36">
        <v>11555</v>
      </c>
      <c r="C2541" s="7">
        <v>11565</v>
      </c>
      <c r="D2541" s="7">
        <v>11560</v>
      </c>
      <c r="E2541" s="7">
        <v>11420</v>
      </c>
      <c r="F2541" s="7">
        <v>11420</v>
      </c>
      <c r="G2541" s="34">
        <v>33</v>
      </c>
      <c r="H2541" s="35">
        <v>150</v>
      </c>
      <c r="I2541" s="38">
        <f t="shared" si="39"/>
        <v>11560</v>
      </c>
    </row>
    <row r="2542" spans="1:9" x14ac:dyDescent="0.2">
      <c r="A2542" s="33">
        <v>41586</v>
      </c>
      <c r="B2542" s="36">
        <v>11405</v>
      </c>
      <c r="C2542" s="7">
        <v>11415</v>
      </c>
      <c r="D2542" s="7">
        <v>11415</v>
      </c>
      <c r="E2542" s="7">
        <v>11385</v>
      </c>
      <c r="F2542" s="7">
        <v>11400</v>
      </c>
      <c r="G2542" s="34">
        <v>31</v>
      </c>
      <c r="H2542" s="35">
        <v>20</v>
      </c>
      <c r="I2542" s="38">
        <f t="shared" si="39"/>
        <v>11410</v>
      </c>
    </row>
    <row r="2543" spans="1:9" x14ac:dyDescent="0.2">
      <c r="A2543" s="33">
        <v>41585</v>
      </c>
      <c r="B2543" s="36">
        <v>11385</v>
      </c>
      <c r="C2543" s="7">
        <v>11395</v>
      </c>
      <c r="D2543" s="7">
        <v>11410</v>
      </c>
      <c r="E2543" s="7">
        <v>11355</v>
      </c>
      <c r="F2543" s="7">
        <v>11400</v>
      </c>
      <c r="G2543" s="34">
        <v>69</v>
      </c>
      <c r="H2543" s="35">
        <v>-10</v>
      </c>
      <c r="I2543" s="38">
        <f t="shared" si="39"/>
        <v>11390</v>
      </c>
    </row>
    <row r="2544" spans="1:9" x14ac:dyDescent="0.2">
      <c r="A2544" s="33">
        <v>41584</v>
      </c>
      <c r="B2544" s="36">
        <v>11395</v>
      </c>
      <c r="C2544" s="7">
        <v>11420</v>
      </c>
      <c r="D2544" s="7">
        <v>11420</v>
      </c>
      <c r="E2544" s="7">
        <v>11375</v>
      </c>
      <c r="F2544" s="7">
        <v>11375</v>
      </c>
      <c r="G2544" s="34">
        <v>61</v>
      </c>
      <c r="H2544" s="35">
        <v>50</v>
      </c>
      <c r="I2544" s="38">
        <f t="shared" si="39"/>
        <v>11407.5</v>
      </c>
    </row>
    <row r="2545" spans="1:9" x14ac:dyDescent="0.2">
      <c r="A2545" s="33">
        <v>41583</v>
      </c>
      <c r="B2545" s="36">
        <v>11345</v>
      </c>
      <c r="C2545" s="7">
        <v>11365</v>
      </c>
      <c r="D2545" s="7"/>
      <c r="E2545" s="7"/>
      <c r="F2545" s="7"/>
      <c r="G2545" s="34"/>
      <c r="H2545" s="35">
        <v>0</v>
      </c>
      <c r="I2545" s="38">
        <f t="shared" si="39"/>
        <v>11355</v>
      </c>
    </row>
    <row r="2546" spans="1:9" x14ac:dyDescent="0.2">
      <c r="A2546" s="33">
        <v>41582</v>
      </c>
      <c r="B2546" s="36">
        <v>11345</v>
      </c>
      <c r="C2546" s="7">
        <v>11365</v>
      </c>
      <c r="D2546" s="7">
        <v>11380</v>
      </c>
      <c r="E2546" s="7">
        <v>11300</v>
      </c>
      <c r="F2546" s="7">
        <v>11300</v>
      </c>
      <c r="G2546" s="34">
        <v>32</v>
      </c>
      <c r="H2546" s="35">
        <v>15</v>
      </c>
      <c r="I2546" s="38">
        <f t="shared" si="39"/>
        <v>11355</v>
      </c>
    </row>
    <row r="2547" spans="1:9" x14ac:dyDescent="0.2">
      <c r="A2547" s="33">
        <v>41579</v>
      </c>
      <c r="B2547" s="36">
        <v>11330</v>
      </c>
      <c r="C2547" s="7">
        <v>11335</v>
      </c>
      <c r="D2547" s="7">
        <v>11380</v>
      </c>
      <c r="E2547" s="7">
        <v>11290</v>
      </c>
      <c r="F2547" s="7">
        <v>11290</v>
      </c>
      <c r="G2547" s="34">
        <v>93</v>
      </c>
      <c r="H2547" s="35">
        <v>65</v>
      </c>
      <c r="I2547" s="38">
        <f t="shared" si="39"/>
        <v>11332.5</v>
      </c>
    </row>
    <row r="2548" spans="1:9" x14ac:dyDescent="0.2">
      <c r="A2548" s="33">
        <v>41578</v>
      </c>
      <c r="B2548" s="36">
        <v>11265</v>
      </c>
      <c r="C2548" s="7">
        <v>11280</v>
      </c>
      <c r="D2548" s="7">
        <v>11280</v>
      </c>
      <c r="E2548" s="7">
        <v>11185</v>
      </c>
      <c r="F2548" s="7">
        <v>11185</v>
      </c>
      <c r="G2548" s="34">
        <v>30</v>
      </c>
      <c r="H2548" s="35">
        <v>100</v>
      </c>
      <c r="I2548" s="38">
        <f t="shared" si="39"/>
        <v>11272.5</v>
      </c>
    </row>
    <row r="2549" spans="1:9" x14ac:dyDescent="0.2">
      <c r="A2549" s="33">
        <v>41577</v>
      </c>
      <c r="B2549" s="36">
        <v>11165</v>
      </c>
      <c r="C2549" s="7">
        <v>11185</v>
      </c>
      <c r="D2549" s="7">
        <v>11210</v>
      </c>
      <c r="E2549" s="7">
        <v>11120</v>
      </c>
      <c r="F2549" s="7">
        <v>11120</v>
      </c>
      <c r="G2549" s="34">
        <v>81</v>
      </c>
      <c r="H2549" s="35">
        <v>65</v>
      </c>
      <c r="I2549" s="38">
        <f t="shared" si="39"/>
        <v>11175</v>
      </c>
    </row>
    <row r="2550" spans="1:9" x14ac:dyDescent="0.2">
      <c r="A2550" s="33">
        <v>41576</v>
      </c>
      <c r="B2550" s="36">
        <v>11100</v>
      </c>
      <c r="C2550" s="7">
        <v>11105</v>
      </c>
      <c r="D2550" s="7">
        <v>11100</v>
      </c>
      <c r="E2550" s="7">
        <v>11047</v>
      </c>
      <c r="F2550" s="7">
        <v>11065</v>
      </c>
      <c r="G2550" s="34">
        <v>36</v>
      </c>
      <c r="H2550" s="35">
        <v>52</v>
      </c>
      <c r="I2550" s="38">
        <f t="shared" si="39"/>
        <v>11102.5</v>
      </c>
    </row>
    <row r="2551" spans="1:9" x14ac:dyDescent="0.2">
      <c r="A2551" s="33">
        <v>41575</v>
      </c>
      <c r="B2551" s="36">
        <v>11048</v>
      </c>
      <c r="C2551" s="7">
        <v>11058</v>
      </c>
      <c r="D2551" s="7">
        <v>11100</v>
      </c>
      <c r="E2551" s="7">
        <v>10970</v>
      </c>
      <c r="F2551" s="7">
        <v>10970</v>
      </c>
      <c r="G2551" s="34">
        <v>63</v>
      </c>
      <c r="H2551" s="35">
        <v>38</v>
      </c>
      <c r="I2551" s="38">
        <f t="shared" si="39"/>
        <v>11053</v>
      </c>
    </row>
    <row r="2552" spans="1:9" x14ac:dyDescent="0.2">
      <c r="A2552" s="33">
        <v>41572</v>
      </c>
      <c r="B2552" s="36">
        <v>11010</v>
      </c>
      <c r="C2552" s="7">
        <v>11020</v>
      </c>
      <c r="D2552" s="7">
        <v>11150</v>
      </c>
      <c r="E2552" s="7">
        <v>10910</v>
      </c>
      <c r="F2552" s="7">
        <v>11140</v>
      </c>
      <c r="G2552" s="34">
        <v>76</v>
      </c>
      <c r="H2552" s="35">
        <v>-140</v>
      </c>
      <c r="I2552" s="38">
        <f t="shared" si="39"/>
        <v>11015</v>
      </c>
    </row>
    <row r="2553" spans="1:9" x14ac:dyDescent="0.2">
      <c r="A2553" s="33">
        <v>41571</v>
      </c>
      <c r="B2553" s="36">
        <v>11150</v>
      </c>
      <c r="C2553" s="7">
        <v>11160</v>
      </c>
      <c r="D2553" s="7">
        <v>11280</v>
      </c>
      <c r="E2553" s="7">
        <v>11125</v>
      </c>
      <c r="F2553" s="7">
        <v>11260</v>
      </c>
      <c r="G2553" s="34">
        <v>60</v>
      </c>
      <c r="H2553" s="35">
        <v>-115</v>
      </c>
      <c r="I2553" s="38">
        <f t="shared" si="39"/>
        <v>11155</v>
      </c>
    </row>
    <row r="2554" spans="1:9" x14ac:dyDescent="0.2">
      <c r="A2554" s="33">
        <v>41570</v>
      </c>
      <c r="B2554" s="36">
        <v>11265</v>
      </c>
      <c r="C2554" s="7">
        <v>11273</v>
      </c>
      <c r="D2554" s="7">
        <v>11270</v>
      </c>
      <c r="E2554" s="7">
        <v>11235</v>
      </c>
      <c r="F2554" s="7">
        <v>11265</v>
      </c>
      <c r="G2554" s="34">
        <v>28</v>
      </c>
      <c r="H2554" s="35">
        <v>-23</v>
      </c>
      <c r="I2554" s="38">
        <f t="shared" si="39"/>
        <v>11269</v>
      </c>
    </row>
    <row r="2555" spans="1:9" x14ac:dyDescent="0.2">
      <c r="A2555" s="33">
        <v>41569</v>
      </c>
      <c r="B2555" s="36">
        <v>11288</v>
      </c>
      <c r="C2555" s="7">
        <v>11295</v>
      </c>
      <c r="D2555" s="7">
        <v>11345</v>
      </c>
      <c r="E2555" s="7">
        <v>11285</v>
      </c>
      <c r="F2555" s="7">
        <v>11330</v>
      </c>
      <c r="G2555" s="34">
        <v>67</v>
      </c>
      <c r="H2555" s="35">
        <v>-42</v>
      </c>
      <c r="I2555" s="38">
        <f t="shared" si="39"/>
        <v>11291.5</v>
      </c>
    </row>
    <row r="2556" spans="1:9" x14ac:dyDescent="0.2">
      <c r="A2556" s="33">
        <v>41568</v>
      </c>
      <c r="B2556" s="36">
        <v>11330</v>
      </c>
      <c r="C2556" s="7">
        <v>11340</v>
      </c>
      <c r="D2556" s="7">
        <v>11360</v>
      </c>
      <c r="E2556" s="7">
        <v>11315</v>
      </c>
      <c r="F2556" s="7">
        <v>11315</v>
      </c>
      <c r="G2556" s="34">
        <v>30</v>
      </c>
      <c r="H2556" s="35">
        <v>10</v>
      </c>
      <c r="I2556" s="38">
        <f t="shared" si="39"/>
        <v>11335</v>
      </c>
    </row>
    <row r="2557" spans="1:9" x14ac:dyDescent="0.2">
      <c r="A2557" s="33">
        <v>41565</v>
      </c>
      <c r="B2557" s="36">
        <v>11320</v>
      </c>
      <c r="C2557" s="7">
        <v>11325</v>
      </c>
      <c r="D2557" s="7">
        <v>11320</v>
      </c>
      <c r="E2557" s="7">
        <v>11277</v>
      </c>
      <c r="F2557" s="7">
        <v>11290</v>
      </c>
      <c r="G2557" s="34">
        <v>35</v>
      </c>
      <c r="H2557" s="35">
        <v>-5</v>
      </c>
      <c r="I2557" s="38">
        <f t="shared" si="39"/>
        <v>11322.5</v>
      </c>
    </row>
    <row r="2558" spans="1:9" x14ac:dyDescent="0.2">
      <c r="A2558" s="33">
        <v>41564</v>
      </c>
      <c r="B2558" s="36">
        <v>11325</v>
      </c>
      <c r="C2558" s="7">
        <v>11335</v>
      </c>
      <c r="D2558" s="7">
        <v>11360</v>
      </c>
      <c r="E2558" s="7">
        <v>11310</v>
      </c>
      <c r="F2558" s="7">
        <v>11340</v>
      </c>
      <c r="G2558" s="34">
        <v>52</v>
      </c>
      <c r="H2558" s="35">
        <v>-35</v>
      </c>
      <c r="I2558" s="38">
        <f t="shared" si="39"/>
        <v>11330</v>
      </c>
    </row>
    <row r="2559" spans="1:9" x14ac:dyDescent="0.2">
      <c r="A2559" s="33">
        <v>41563</v>
      </c>
      <c r="B2559" s="36">
        <v>11360</v>
      </c>
      <c r="C2559" s="7">
        <v>11370</v>
      </c>
      <c r="D2559" s="7">
        <v>11360</v>
      </c>
      <c r="E2559" s="7">
        <v>11280</v>
      </c>
      <c r="F2559" s="7">
        <v>11330</v>
      </c>
      <c r="G2559" s="34">
        <v>36</v>
      </c>
      <c r="H2559" s="35">
        <v>0</v>
      </c>
      <c r="I2559" s="38">
        <f t="shared" si="39"/>
        <v>11365</v>
      </c>
    </row>
    <row r="2560" spans="1:9" x14ac:dyDescent="0.2">
      <c r="A2560" s="33">
        <v>41562</v>
      </c>
      <c r="B2560" s="36">
        <v>11360</v>
      </c>
      <c r="C2560" s="7">
        <v>11370</v>
      </c>
      <c r="D2560" s="7"/>
      <c r="E2560" s="7"/>
      <c r="F2560" s="7"/>
      <c r="G2560" s="34"/>
      <c r="H2560" s="35">
        <v>0</v>
      </c>
      <c r="I2560" s="38">
        <f t="shared" si="39"/>
        <v>11365</v>
      </c>
    </row>
    <row r="2561" spans="1:9" x14ac:dyDescent="0.2">
      <c r="A2561" s="33">
        <v>41561</v>
      </c>
      <c r="B2561" s="36">
        <v>11360</v>
      </c>
      <c r="C2561" s="7">
        <v>11370</v>
      </c>
      <c r="D2561" s="7"/>
      <c r="E2561" s="7"/>
      <c r="F2561" s="7"/>
      <c r="G2561" s="34"/>
      <c r="H2561" s="35">
        <v>0</v>
      </c>
      <c r="I2561" s="38">
        <f t="shared" si="39"/>
        <v>11365</v>
      </c>
    </row>
    <row r="2562" spans="1:9" x14ac:dyDescent="0.2">
      <c r="A2562" s="33">
        <v>41558</v>
      </c>
      <c r="B2562" s="36">
        <v>11360</v>
      </c>
      <c r="C2562" s="7">
        <v>11370</v>
      </c>
      <c r="D2562" s="7">
        <v>11480</v>
      </c>
      <c r="E2562" s="7">
        <v>11350</v>
      </c>
      <c r="F2562" s="7">
        <v>11480</v>
      </c>
      <c r="G2562" s="34">
        <v>100</v>
      </c>
      <c r="H2562" s="35">
        <v>-120</v>
      </c>
      <c r="I2562" s="38">
        <f t="shared" si="39"/>
        <v>11365</v>
      </c>
    </row>
    <row r="2563" spans="1:9" x14ac:dyDescent="0.2">
      <c r="A2563" s="33">
        <v>41557</v>
      </c>
      <c r="B2563" s="36">
        <v>11480</v>
      </c>
      <c r="C2563" s="7">
        <v>11500</v>
      </c>
      <c r="D2563" s="7">
        <v>11545</v>
      </c>
      <c r="E2563" s="7">
        <v>11480</v>
      </c>
      <c r="F2563" s="7">
        <v>11525</v>
      </c>
      <c r="G2563" s="34">
        <v>61</v>
      </c>
      <c r="H2563" s="35">
        <v>-40</v>
      </c>
      <c r="I2563" s="38">
        <f t="shared" si="39"/>
        <v>11490</v>
      </c>
    </row>
    <row r="2564" spans="1:9" x14ac:dyDescent="0.2">
      <c r="A2564" s="33">
        <v>41556</v>
      </c>
      <c r="B2564" s="36">
        <v>11520</v>
      </c>
      <c r="C2564" s="7">
        <v>11545</v>
      </c>
      <c r="D2564" s="7">
        <v>11540</v>
      </c>
      <c r="E2564" s="7">
        <v>11500</v>
      </c>
      <c r="F2564" s="7">
        <v>11510</v>
      </c>
      <c r="G2564" s="34">
        <v>44</v>
      </c>
      <c r="H2564" s="35">
        <v>15</v>
      </c>
      <c r="I2564" s="38">
        <f t="shared" si="39"/>
        <v>11532.5</v>
      </c>
    </row>
    <row r="2565" spans="1:9" x14ac:dyDescent="0.2">
      <c r="A2565" s="33">
        <v>41555</v>
      </c>
      <c r="B2565" s="36">
        <v>11505</v>
      </c>
      <c r="C2565" s="7">
        <v>11527</v>
      </c>
      <c r="D2565" s="7">
        <v>11540</v>
      </c>
      <c r="E2565" s="7">
        <v>11505</v>
      </c>
      <c r="F2565" s="7">
        <v>11520</v>
      </c>
      <c r="G2565" s="34">
        <v>59</v>
      </c>
      <c r="H2565" s="35">
        <v>-5</v>
      </c>
      <c r="I2565" s="38">
        <f t="shared" si="39"/>
        <v>11516</v>
      </c>
    </row>
    <row r="2566" spans="1:9" x14ac:dyDescent="0.2">
      <c r="A2566" s="33">
        <v>41554</v>
      </c>
      <c r="B2566" s="36">
        <v>11510</v>
      </c>
      <c r="C2566" s="7">
        <v>11540</v>
      </c>
      <c r="D2566" s="7">
        <v>11535</v>
      </c>
      <c r="E2566" s="7">
        <v>11490</v>
      </c>
      <c r="F2566" s="7">
        <v>11500</v>
      </c>
      <c r="G2566" s="34">
        <v>37</v>
      </c>
      <c r="H2566" s="35">
        <v>0</v>
      </c>
      <c r="I2566" s="38">
        <f t="shared" si="39"/>
        <v>11525</v>
      </c>
    </row>
    <row r="2567" spans="1:9" x14ac:dyDescent="0.2">
      <c r="A2567" s="33">
        <v>41551</v>
      </c>
      <c r="B2567" s="36">
        <v>11510</v>
      </c>
      <c r="C2567" s="7">
        <v>11535</v>
      </c>
      <c r="D2567" s="7">
        <v>11557</v>
      </c>
      <c r="E2567" s="7">
        <v>11485</v>
      </c>
      <c r="F2567" s="7">
        <v>11525</v>
      </c>
      <c r="G2567" s="34">
        <v>79</v>
      </c>
      <c r="H2567" s="35">
        <v>-5</v>
      </c>
      <c r="I2567" s="38">
        <f t="shared" si="39"/>
        <v>11522.5</v>
      </c>
    </row>
    <row r="2568" spans="1:9" x14ac:dyDescent="0.2">
      <c r="A2568" s="33">
        <v>41550</v>
      </c>
      <c r="B2568" s="36">
        <v>11515</v>
      </c>
      <c r="C2568" s="7">
        <v>11540</v>
      </c>
      <c r="D2568" s="7">
        <v>11545</v>
      </c>
      <c r="E2568" s="7">
        <v>11515</v>
      </c>
      <c r="F2568" s="7">
        <v>11525</v>
      </c>
      <c r="G2568" s="34">
        <v>67</v>
      </c>
      <c r="H2568" s="35">
        <v>-5</v>
      </c>
      <c r="I2568" s="38">
        <f t="shared" si="39"/>
        <v>11527.5</v>
      </c>
    </row>
    <row r="2569" spans="1:9" x14ac:dyDescent="0.2">
      <c r="A2569" s="33">
        <v>41549</v>
      </c>
      <c r="B2569" s="36">
        <v>11520</v>
      </c>
      <c r="C2569" s="7">
        <v>11540</v>
      </c>
      <c r="D2569" s="7">
        <v>11566</v>
      </c>
      <c r="E2569" s="7">
        <v>11500</v>
      </c>
      <c r="F2569" s="7">
        <v>11530</v>
      </c>
      <c r="G2569" s="34">
        <v>49</v>
      </c>
      <c r="H2569" s="35">
        <v>25</v>
      </c>
      <c r="I2569" s="38">
        <f t="shared" si="39"/>
        <v>11530</v>
      </c>
    </row>
    <row r="2570" spans="1:9" x14ac:dyDescent="0.2">
      <c r="A2570" s="33">
        <v>41548</v>
      </c>
      <c r="B2570" s="36">
        <v>11495</v>
      </c>
      <c r="C2570" s="7">
        <v>11515</v>
      </c>
      <c r="D2570" s="7">
        <v>11600</v>
      </c>
      <c r="E2570" s="7">
        <v>11490</v>
      </c>
      <c r="F2570" s="7">
        <v>11600</v>
      </c>
      <c r="G2570" s="34">
        <v>53</v>
      </c>
      <c r="H2570" s="35">
        <v>-75</v>
      </c>
      <c r="I2570" s="38">
        <f t="shared" si="39"/>
        <v>11505</v>
      </c>
    </row>
    <row r="2571" spans="1:9" x14ac:dyDescent="0.2">
      <c r="A2571" s="33">
        <v>41547</v>
      </c>
      <c r="B2571" s="36">
        <v>11570</v>
      </c>
      <c r="C2571" s="7">
        <v>11590</v>
      </c>
      <c r="D2571" s="7">
        <v>11660</v>
      </c>
      <c r="E2571" s="7">
        <v>11525</v>
      </c>
      <c r="F2571" s="7">
        <v>11525</v>
      </c>
      <c r="G2571" s="34">
        <v>61</v>
      </c>
      <c r="H2571" s="35">
        <v>45</v>
      </c>
      <c r="I2571" s="38">
        <f t="shared" si="39"/>
        <v>11580</v>
      </c>
    </row>
    <row r="2572" spans="1:9" x14ac:dyDescent="0.2">
      <c r="A2572" s="33">
        <v>41544</v>
      </c>
      <c r="B2572" s="36">
        <v>11525</v>
      </c>
      <c r="C2572" s="7">
        <v>11550</v>
      </c>
      <c r="D2572" s="7">
        <v>11555</v>
      </c>
      <c r="E2572" s="7">
        <v>11470</v>
      </c>
      <c r="F2572" s="7">
        <v>11470</v>
      </c>
      <c r="G2572" s="34">
        <v>76</v>
      </c>
      <c r="H2572" s="35">
        <v>75</v>
      </c>
      <c r="I2572" s="38">
        <f t="shared" si="39"/>
        <v>11537.5</v>
      </c>
    </row>
    <row r="2573" spans="1:9" x14ac:dyDescent="0.2">
      <c r="A2573" s="33">
        <v>41543</v>
      </c>
      <c r="B2573" s="36">
        <v>11450</v>
      </c>
      <c r="C2573" s="7">
        <v>11465</v>
      </c>
      <c r="D2573" s="7">
        <v>11580</v>
      </c>
      <c r="E2573" s="7">
        <v>11425</v>
      </c>
      <c r="F2573" s="7">
        <v>11540</v>
      </c>
      <c r="G2573" s="34">
        <v>74</v>
      </c>
      <c r="H2573" s="35">
        <v>-30</v>
      </c>
      <c r="I2573" s="38">
        <f t="shared" si="39"/>
        <v>11457.5</v>
      </c>
    </row>
    <row r="2574" spans="1:9" x14ac:dyDescent="0.2">
      <c r="A2574" s="33">
        <v>41542</v>
      </c>
      <c r="B2574" s="36">
        <v>11480</v>
      </c>
      <c r="C2574" s="7">
        <v>11490</v>
      </c>
      <c r="D2574" s="7">
        <v>11580</v>
      </c>
      <c r="E2574" s="7">
        <v>11480</v>
      </c>
      <c r="F2574" s="7">
        <v>11490</v>
      </c>
      <c r="G2574" s="34">
        <v>77</v>
      </c>
      <c r="H2574" s="35">
        <v>20</v>
      </c>
      <c r="I2574" s="38">
        <f t="shared" si="39"/>
        <v>11485</v>
      </c>
    </row>
    <row r="2575" spans="1:9" x14ac:dyDescent="0.2">
      <c r="A2575" s="33">
        <v>41541</v>
      </c>
      <c r="B2575" s="36">
        <v>11460</v>
      </c>
      <c r="C2575" s="7">
        <v>11480</v>
      </c>
      <c r="D2575" s="7">
        <v>11580</v>
      </c>
      <c r="E2575" s="7">
        <v>11460</v>
      </c>
      <c r="F2575" s="7">
        <v>11480</v>
      </c>
      <c r="G2575" s="34">
        <v>59</v>
      </c>
      <c r="H2575" s="35">
        <v>30</v>
      </c>
      <c r="I2575" s="38">
        <f t="shared" si="39"/>
        <v>11470</v>
      </c>
    </row>
    <row r="2576" spans="1:9" x14ac:dyDescent="0.2">
      <c r="A2576" s="33">
        <v>41540</v>
      </c>
      <c r="B2576" s="36">
        <v>11430</v>
      </c>
      <c r="C2576" s="7">
        <v>11460</v>
      </c>
      <c r="D2576" s="7">
        <v>11500</v>
      </c>
      <c r="E2576" s="7">
        <v>11330</v>
      </c>
      <c r="F2576" s="7">
        <v>11330</v>
      </c>
      <c r="G2576" s="34">
        <v>55</v>
      </c>
      <c r="H2576" s="35">
        <v>90</v>
      </c>
      <c r="I2576" s="38">
        <f t="shared" si="39"/>
        <v>11445</v>
      </c>
    </row>
    <row r="2577" spans="1:9" x14ac:dyDescent="0.2">
      <c r="A2577" s="33">
        <v>41537</v>
      </c>
      <c r="B2577" s="36">
        <v>11340</v>
      </c>
      <c r="C2577" s="7">
        <v>11360</v>
      </c>
      <c r="D2577" s="7">
        <v>11390</v>
      </c>
      <c r="E2577" s="7">
        <v>11270</v>
      </c>
      <c r="F2577" s="7">
        <v>11275</v>
      </c>
      <c r="G2577" s="34">
        <v>103</v>
      </c>
      <c r="H2577" s="35">
        <v>63</v>
      </c>
      <c r="I2577" s="38">
        <f t="shared" si="39"/>
        <v>11350</v>
      </c>
    </row>
    <row r="2578" spans="1:9" x14ac:dyDescent="0.2">
      <c r="A2578" s="33">
        <v>41536</v>
      </c>
      <c r="B2578" s="36">
        <v>11277</v>
      </c>
      <c r="C2578" s="7">
        <v>11288</v>
      </c>
      <c r="D2578" s="7">
        <v>11460</v>
      </c>
      <c r="E2578" s="7">
        <v>11195</v>
      </c>
      <c r="F2578" s="7">
        <v>11460</v>
      </c>
      <c r="G2578" s="34">
        <v>97</v>
      </c>
      <c r="H2578" s="35">
        <v>-183</v>
      </c>
      <c r="I2578" s="38">
        <f t="shared" si="39"/>
        <v>11282.5</v>
      </c>
    </row>
    <row r="2579" spans="1:9" x14ac:dyDescent="0.2">
      <c r="A2579" s="33">
        <v>41535</v>
      </c>
      <c r="B2579" s="36">
        <v>11460</v>
      </c>
      <c r="C2579" s="7">
        <v>11490</v>
      </c>
      <c r="D2579" s="7">
        <v>11512</v>
      </c>
      <c r="E2579" s="7">
        <v>11450</v>
      </c>
      <c r="F2579" s="7">
        <v>11450</v>
      </c>
      <c r="G2579" s="34">
        <v>46</v>
      </c>
      <c r="H2579" s="35">
        <v>30</v>
      </c>
      <c r="I2579" s="38">
        <f t="shared" si="39"/>
        <v>11475</v>
      </c>
    </row>
    <row r="2580" spans="1:9" x14ac:dyDescent="0.2">
      <c r="A2580" s="33">
        <v>41534</v>
      </c>
      <c r="B2580" s="36">
        <v>11430</v>
      </c>
      <c r="C2580" s="7">
        <v>11460</v>
      </c>
      <c r="D2580" s="7">
        <v>11470</v>
      </c>
      <c r="E2580" s="7">
        <v>11400</v>
      </c>
      <c r="F2580" s="7">
        <v>11400</v>
      </c>
      <c r="G2580" s="34">
        <v>28</v>
      </c>
      <c r="H2580" s="35">
        <v>70</v>
      </c>
      <c r="I2580" s="38">
        <f t="shared" si="39"/>
        <v>11445</v>
      </c>
    </row>
    <row r="2581" spans="1:9" x14ac:dyDescent="0.2">
      <c r="A2581" s="33">
        <v>41533</v>
      </c>
      <c r="B2581" s="36">
        <v>11360</v>
      </c>
      <c r="C2581" s="7">
        <v>11395</v>
      </c>
      <c r="D2581" s="7">
        <v>11425</v>
      </c>
      <c r="E2581" s="7">
        <v>11290</v>
      </c>
      <c r="F2581" s="7">
        <v>11300</v>
      </c>
      <c r="G2581" s="34">
        <v>93</v>
      </c>
      <c r="H2581" s="35">
        <v>-20</v>
      </c>
      <c r="I2581" s="38">
        <f t="shared" si="39"/>
        <v>11377.5</v>
      </c>
    </row>
    <row r="2582" spans="1:9" x14ac:dyDescent="0.2">
      <c r="A2582" s="33">
        <v>41530</v>
      </c>
      <c r="B2582" s="36">
        <v>11380</v>
      </c>
      <c r="C2582" s="7">
        <v>11440</v>
      </c>
      <c r="D2582" s="7">
        <v>11440</v>
      </c>
      <c r="E2582" s="7">
        <v>11325</v>
      </c>
      <c r="F2582" s="7">
        <v>11325</v>
      </c>
      <c r="G2582" s="34">
        <v>42</v>
      </c>
      <c r="H2582" s="35">
        <v>55</v>
      </c>
      <c r="I2582" s="38">
        <f t="shared" si="39"/>
        <v>11410</v>
      </c>
    </row>
    <row r="2583" spans="1:9" x14ac:dyDescent="0.2">
      <c r="A2583" s="33">
        <v>41529</v>
      </c>
      <c r="B2583" s="36">
        <v>11325</v>
      </c>
      <c r="C2583" s="7">
        <v>11375</v>
      </c>
      <c r="D2583" s="7">
        <v>11520</v>
      </c>
      <c r="E2583" s="7">
        <v>11320</v>
      </c>
      <c r="F2583" s="7">
        <v>11400</v>
      </c>
      <c r="G2583" s="34">
        <v>169</v>
      </c>
      <c r="H2583" s="35">
        <v>-5</v>
      </c>
      <c r="I2583" s="38">
        <f t="shared" si="39"/>
        <v>11350</v>
      </c>
    </row>
    <row r="2584" spans="1:9" x14ac:dyDescent="0.2">
      <c r="A2584" s="33">
        <v>41528</v>
      </c>
      <c r="B2584" s="36">
        <v>11330</v>
      </c>
      <c r="C2584" s="7">
        <v>11360</v>
      </c>
      <c r="D2584" s="7">
        <v>11480</v>
      </c>
      <c r="E2584" s="7">
        <v>11250</v>
      </c>
      <c r="F2584" s="7">
        <v>11250</v>
      </c>
      <c r="G2584" s="34">
        <v>85</v>
      </c>
      <c r="H2584" s="35">
        <v>120</v>
      </c>
      <c r="I2584" s="38">
        <f t="shared" si="39"/>
        <v>11345</v>
      </c>
    </row>
    <row r="2585" spans="1:9" x14ac:dyDescent="0.2">
      <c r="A2585" s="33">
        <v>41527</v>
      </c>
      <c r="B2585" s="36">
        <v>11210</v>
      </c>
      <c r="C2585" s="7">
        <v>11260</v>
      </c>
      <c r="D2585" s="7">
        <v>11500</v>
      </c>
      <c r="E2585" s="7">
        <v>11140</v>
      </c>
      <c r="F2585" s="7">
        <v>11140</v>
      </c>
      <c r="G2585" s="34">
        <v>48</v>
      </c>
      <c r="H2585" s="35">
        <v>70</v>
      </c>
      <c r="I2585" s="38">
        <f t="shared" si="39"/>
        <v>11235</v>
      </c>
    </row>
    <row r="2586" spans="1:9" x14ac:dyDescent="0.2">
      <c r="A2586" s="33">
        <v>41526</v>
      </c>
      <c r="B2586" s="36">
        <v>11140</v>
      </c>
      <c r="C2586" s="7">
        <v>11180</v>
      </c>
      <c r="D2586" s="7">
        <v>11170</v>
      </c>
      <c r="E2586" s="7">
        <v>11140</v>
      </c>
      <c r="F2586" s="7">
        <v>11150</v>
      </c>
      <c r="G2586" s="34">
        <v>9</v>
      </c>
      <c r="H2586" s="35">
        <v>-10</v>
      </c>
      <c r="I2586" s="38">
        <f t="shared" si="39"/>
        <v>11160</v>
      </c>
    </row>
    <row r="2587" spans="1:9" x14ac:dyDescent="0.2">
      <c r="A2587" s="33">
        <v>41523</v>
      </c>
      <c r="B2587" s="36">
        <v>11150</v>
      </c>
      <c r="C2587" s="7">
        <v>11200</v>
      </c>
      <c r="D2587" s="7">
        <v>11151</v>
      </c>
      <c r="E2587" s="7">
        <v>11100</v>
      </c>
      <c r="F2587" s="7">
        <v>11150</v>
      </c>
      <c r="G2587" s="34">
        <v>32</v>
      </c>
      <c r="H2587" s="35">
        <v>50</v>
      </c>
      <c r="I2587" s="38">
        <f t="shared" si="39"/>
        <v>11175</v>
      </c>
    </row>
    <row r="2588" spans="1:9" x14ac:dyDescent="0.2">
      <c r="A2588" s="33">
        <v>41522</v>
      </c>
      <c r="B2588" s="36">
        <v>11100</v>
      </c>
      <c r="C2588" s="7">
        <v>11150</v>
      </c>
      <c r="D2588" s="7"/>
      <c r="E2588" s="7"/>
      <c r="F2588" s="7"/>
      <c r="G2588" s="34"/>
      <c r="H2588" s="35">
        <v>0</v>
      </c>
      <c r="I2588" s="38">
        <f t="shared" si="39"/>
        <v>11125</v>
      </c>
    </row>
    <row r="2589" spans="1:9" x14ac:dyDescent="0.2">
      <c r="A2589" s="33">
        <v>41521</v>
      </c>
      <c r="B2589" s="36">
        <v>11100</v>
      </c>
      <c r="C2589" s="7">
        <v>11150</v>
      </c>
      <c r="D2589" s="7">
        <v>11100</v>
      </c>
      <c r="E2589" s="7">
        <v>11080</v>
      </c>
      <c r="F2589" s="7">
        <v>11080</v>
      </c>
      <c r="G2589" s="34">
        <v>2</v>
      </c>
      <c r="H2589" s="35">
        <v>50</v>
      </c>
      <c r="I2589" s="38">
        <f t="shared" si="39"/>
        <v>11125</v>
      </c>
    </row>
    <row r="2590" spans="1:9" x14ac:dyDescent="0.2">
      <c r="A2590" s="33">
        <v>41520</v>
      </c>
      <c r="B2590" s="36">
        <v>11050</v>
      </c>
      <c r="C2590" s="7">
        <v>11080</v>
      </c>
      <c r="D2590" s="7">
        <v>11050</v>
      </c>
      <c r="E2590" s="7">
        <v>10975</v>
      </c>
      <c r="F2590" s="7">
        <v>10975</v>
      </c>
      <c r="G2590" s="34">
        <v>8</v>
      </c>
      <c r="H2590" s="35">
        <v>80</v>
      </c>
      <c r="I2590" s="38">
        <f t="shared" si="39"/>
        <v>11065</v>
      </c>
    </row>
    <row r="2591" spans="1:9" x14ac:dyDescent="0.2">
      <c r="A2591" s="33">
        <v>41519</v>
      </c>
      <c r="B2591" s="36">
        <v>10970</v>
      </c>
      <c r="C2591" s="7">
        <v>10985</v>
      </c>
      <c r="D2591" s="7">
        <v>10970</v>
      </c>
      <c r="E2591" s="7">
        <v>10910</v>
      </c>
      <c r="F2591" s="7">
        <v>10920</v>
      </c>
      <c r="G2591" s="34">
        <v>9</v>
      </c>
      <c r="H2591" s="35">
        <v>60</v>
      </c>
      <c r="I2591" s="38">
        <f t="shared" si="39"/>
        <v>10977.5</v>
      </c>
    </row>
    <row r="2592" spans="1:9" x14ac:dyDescent="0.2">
      <c r="A2592" s="33">
        <v>41516</v>
      </c>
      <c r="B2592" s="36">
        <v>10910</v>
      </c>
      <c r="C2592" s="7">
        <v>10930</v>
      </c>
      <c r="D2592" s="7">
        <v>10920</v>
      </c>
      <c r="E2592" s="7">
        <v>10890</v>
      </c>
      <c r="F2592" s="7">
        <v>10900</v>
      </c>
      <c r="G2592" s="34">
        <v>151</v>
      </c>
      <c r="H2592" s="35">
        <v>-10</v>
      </c>
      <c r="I2592" s="38">
        <f t="shared" ref="I2592:I2655" si="40">+(B2592+C2592)*0.5</f>
        <v>10920</v>
      </c>
    </row>
    <row r="2593" spans="1:9" x14ac:dyDescent="0.2">
      <c r="A2593" s="33">
        <v>41515</v>
      </c>
      <c r="B2593" s="36">
        <v>10920</v>
      </c>
      <c r="C2593" s="7">
        <v>10950</v>
      </c>
      <c r="D2593" s="7">
        <v>10930</v>
      </c>
      <c r="E2593" s="7">
        <v>10900</v>
      </c>
      <c r="F2593" s="7">
        <v>10930</v>
      </c>
      <c r="G2593" s="34">
        <v>81</v>
      </c>
      <c r="H2593" s="35">
        <v>-10</v>
      </c>
      <c r="I2593" s="38">
        <f t="shared" si="40"/>
        <v>10935</v>
      </c>
    </row>
    <row r="2594" spans="1:9" x14ac:dyDescent="0.2">
      <c r="A2594" s="33">
        <v>41514</v>
      </c>
      <c r="B2594" s="36">
        <v>10930</v>
      </c>
      <c r="C2594" s="7">
        <v>10960</v>
      </c>
      <c r="D2594" s="7">
        <v>10950</v>
      </c>
      <c r="E2594" s="7">
        <v>10890</v>
      </c>
      <c r="F2594" s="7">
        <v>10900</v>
      </c>
      <c r="G2594" s="34">
        <v>36</v>
      </c>
      <c r="H2594" s="35">
        <v>30</v>
      </c>
      <c r="I2594" s="38">
        <f t="shared" si="40"/>
        <v>10945</v>
      </c>
    </row>
    <row r="2595" spans="1:9" x14ac:dyDescent="0.2">
      <c r="A2595" s="33">
        <v>41513</v>
      </c>
      <c r="B2595" s="36">
        <v>10900</v>
      </c>
      <c r="C2595" s="7">
        <v>10950</v>
      </c>
      <c r="D2595" s="7">
        <v>10905</v>
      </c>
      <c r="E2595" s="7">
        <v>10830</v>
      </c>
      <c r="F2595" s="7">
        <v>10830</v>
      </c>
      <c r="G2595" s="34">
        <v>68</v>
      </c>
      <c r="H2595" s="35">
        <v>60</v>
      </c>
      <c r="I2595" s="38">
        <f t="shared" si="40"/>
        <v>10925</v>
      </c>
    </row>
    <row r="2596" spans="1:9" x14ac:dyDescent="0.2">
      <c r="A2596" s="33">
        <v>41512</v>
      </c>
      <c r="B2596" s="36">
        <v>10840</v>
      </c>
      <c r="C2596" s="7">
        <v>10850</v>
      </c>
      <c r="D2596" s="7">
        <v>10875</v>
      </c>
      <c r="E2596" s="7">
        <v>10780</v>
      </c>
      <c r="F2596" s="7">
        <v>10780</v>
      </c>
      <c r="G2596" s="34">
        <v>102</v>
      </c>
      <c r="H2596" s="35">
        <v>70</v>
      </c>
      <c r="I2596" s="38">
        <f t="shared" si="40"/>
        <v>10845</v>
      </c>
    </row>
    <row r="2597" spans="1:9" x14ac:dyDescent="0.2">
      <c r="A2597" s="33">
        <v>41509</v>
      </c>
      <c r="B2597" s="36">
        <v>10770</v>
      </c>
      <c r="C2597" s="7">
        <v>10790</v>
      </c>
      <c r="D2597" s="7">
        <v>10830</v>
      </c>
      <c r="E2597" s="7">
        <v>10770</v>
      </c>
      <c r="F2597" s="7">
        <v>10800</v>
      </c>
      <c r="G2597" s="34">
        <v>115</v>
      </c>
      <c r="H2597" s="35">
        <v>-30</v>
      </c>
      <c r="I2597" s="38">
        <f t="shared" si="40"/>
        <v>10780</v>
      </c>
    </row>
    <row r="2598" spans="1:9" x14ac:dyDescent="0.2">
      <c r="A2598" s="33">
        <v>41508</v>
      </c>
      <c r="B2598" s="36">
        <v>10800</v>
      </c>
      <c r="C2598" s="7">
        <v>10835</v>
      </c>
      <c r="D2598" s="7">
        <v>10805</v>
      </c>
      <c r="E2598" s="7">
        <v>10780</v>
      </c>
      <c r="F2598" s="7">
        <v>10780</v>
      </c>
      <c r="G2598" s="34">
        <v>96</v>
      </c>
      <c r="H2598" s="35">
        <v>45</v>
      </c>
      <c r="I2598" s="38">
        <f t="shared" si="40"/>
        <v>10817.5</v>
      </c>
    </row>
    <row r="2599" spans="1:9" x14ac:dyDescent="0.2">
      <c r="A2599" s="33">
        <v>41507</v>
      </c>
      <c r="B2599" s="36">
        <v>10755</v>
      </c>
      <c r="C2599" s="7">
        <v>10795</v>
      </c>
      <c r="D2599" s="7">
        <v>10780</v>
      </c>
      <c r="E2599" s="7">
        <v>10700</v>
      </c>
      <c r="F2599" s="7">
        <v>10700</v>
      </c>
      <c r="G2599" s="34">
        <v>92</v>
      </c>
      <c r="H2599" s="35">
        <v>75</v>
      </c>
      <c r="I2599" s="38">
        <f t="shared" si="40"/>
        <v>10775</v>
      </c>
    </row>
    <row r="2600" spans="1:9" x14ac:dyDescent="0.2">
      <c r="A2600" s="33">
        <v>41506</v>
      </c>
      <c r="B2600" s="36">
        <v>10680</v>
      </c>
      <c r="C2600" s="7">
        <v>10690</v>
      </c>
      <c r="D2600" s="7">
        <v>10700</v>
      </c>
      <c r="E2600" s="7">
        <v>10485</v>
      </c>
      <c r="F2600" s="7">
        <v>10490</v>
      </c>
      <c r="G2600" s="34">
        <v>44</v>
      </c>
      <c r="H2600" s="35">
        <v>195</v>
      </c>
      <c r="I2600" s="38">
        <f t="shared" si="40"/>
        <v>10685</v>
      </c>
    </row>
    <row r="2601" spans="1:9" x14ac:dyDescent="0.2">
      <c r="A2601" s="33">
        <v>41505</v>
      </c>
      <c r="B2601" s="36">
        <v>10485</v>
      </c>
      <c r="C2601" s="7">
        <v>10495</v>
      </c>
      <c r="D2601" s="7">
        <v>10495</v>
      </c>
      <c r="E2601" s="7">
        <v>10390</v>
      </c>
      <c r="F2601" s="7">
        <v>10390</v>
      </c>
      <c r="G2601" s="34">
        <v>45</v>
      </c>
      <c r="H2601" s="35">
        <v>105</v>
      </c>
      <c r="I2601" s="38">
        <f t="shared" si="40"/>
        <v>10490</v>
      </c>
    </row>
    <row r="2602" spans="1:9" x14ac:dyDescent="0.2">
      <c r="A2602" s="33">
        <v>41502</v>
      </c>
      <c r="B2602" s="36">
        <v>10380</v>
      </c>
      <c r="C2602" s="7">
        <v>10390</v>
      </c>
      <c r="D2602" s="7">
        <v>10385</v>
      </c>
      <c r="E2602" s="7">
        <v>10370</v>
      </c>
      <c r="F2602" s="7">
        <v>10370</v>
      </c>
      <c r="G2602" s="34">
        <v>25</v>
      </c>
      <c r="H2602" s="35">
        <v>35</v>
      </c>
      <c r="I2602" s="38">
        <f t="shared" si="40"/>
        <v>10385</v>
      </c>
    </row>
    <row r="2603" spans="1:9" x14ac:dyDescent="0.2">
      <c r="A2603" s="33">
        <v>41501</v>
      </c>
      <c r="B2603" s="36">
        <v>10345</v>
      </c>
      <c r="C2603" s="7">
        <v>10355</v>
      </c>
      <c r="D2603" s="7">
        <v>10345</v>
      </c>
      <c r="E2603" s="7">
        <v>10290</v>
      </c>
      <c r="F2603" s="7">
        <v>10290</v>
      </c>
      <c r="G2603" s="34">
        <v>14</v>
      </c>
      <c r="H2603" s="35">
        <v>55</v>
      </c>
      <c r="I2603" s="38">
        <f t="shared" si="40"/>
        <v>10350</v>
      </c>
    </row>
    <row r="2604" spans="1:9" x14ac:dyDescent="0.2">
      <c r="A2604" s="33">
        <v>41500</v>
      </c>
      <c r="B2604" s="36">
        <v>10290</v>
      </c>
      <c r="C2604" s="7">
        <v>10295</v>
      </c>
      <c r="D2604" s="7">
        <v>10291</v>
      </c>
      <c r="E2604" s="7">
        <v>10290</v>
      </c>
      <c r="F2604" s="7">
        <v>10290</v>
      </c>
      <c r="G2604" s="34">
        <v>12</v>
      </c>
      <c r="H2604" s="35">
        <v>5</v>
      </c>
      <c r="I2604" s="38">
        <f t="shared" si="40"/>
        <v>10292.5</v>
      </c>
    </row>
    <row r="2605" spans="1:9" x14ac:dyDescent="0.2">
      <c r="A2605" s="33">
        <v>41499</v>
      </c>
      <c r="B2605" s="36">
        <v>10285</v>
      </c>
      <c r="C2605" s="7">
        <v>10295</v>
      </c>
      <c r="D2605" s="7">
        <v>10285</v>
      </c>
      <c r="E2605" s="7">
        <v>10280</v>
      </c>
      <c r="F2605" s="7">
        <v>10280</v>
      </c>
      <c r="G2605" s="34">
        <v>23</v>
      </c>
      <c r="H2605" s="35">
        <v>0</v>
      </c>
      <c r="I2605" s="38">
        <f t="shared" si="40"/>
        <v>10290</v>
      </c>
    </row>
    <row r="2606" spans="1:9" x14ac:dyDescent="0.2">
      <c r="A2606" s="33">
        <v>41498</v>
      </c>
      <c r="B2606" s="36">
        <v>10285</v>
      </c>
      <c r="C2606" s="7">
        <v>10295</v>
      </c>
      <c r="D2606" s="7">
        <v>10285</v>
      </c>
      <c r="E2606" s="7">
        <v>10270</v>
      </c>
      <c r="F2606" s="7">
        <v>10270</v>
      </c>
      <c r="G2606" s="34">
        <v>19</v>
      </c>
      <c r="H2606" s="35">
        <v>5</v>
      </c>
      <c r="I2606" s="38">
        <f t="shared" si="40"/>
        <v>10290</v>
      </c>
    </row>
    <row r="2607" spans="1:9" x14ac:dyDescent="0.2">
      <c r="A2607" s="33">
        <v>41495</v>
      </c>
      <c r="B2607" s="36">
        <v>10280</v>
      </c>
      <c r="C2607" s="7">
        <v>10290</v>
      </c>
      <c r="D2607" s="7"/>
      <c r="E2607" s="7"/>
      <c r="F2607" s="7"/>
      <c r="G2607" s="34"/>
      <c r="H2607" s="35">
        <v>0</v>
      </c>
      <c r="I2607" s="38">
        <f t="shared" si="40"/>
        <v>10285</v>
      </c>
    </row>
    <row r="2608" spans="1:9" x14ac:dyDescent="0.2">
      <c r="A2608" s="33">
        <v>41494</v>
      </c>
      <c r="B2608" s="36">
        <v>10280</v>
      </c>
      <c r="C2608" s="7">
        <v>10290</v>
      </c>
      <c r="D2608" s="7"/>
      <c r="E2608" s="7"/>
      <c r="F2608" s="7"/>
      <c r="G2608" s="34"/>
      <c r="H2608" s="35">
        <v>0</v>
      </c>
      <c r="I2608" s="38">
        <f t="shared" si="40"/>
        <v>10285</v>
      </c>
    </row>
    <row r="2609" spans="1:9" x14ac:dyDescent="0.2">
      <c r="A2609" s="33">
        <v>41493</v>
      </c>
      <c r="B2609" s="36">
        <v>10280</v>
      </c>
      <c r="C2609" s="7">
        <v>10290</v>
      </c>
      <c r="D2609" s="7"/>
      <c r="E2609" s="7"/>
      <c r="F2609" s="7"/>
      <c r="G2609" s="34"/>
      <c r="H2609" s="35">
        <v>0</v>
      </c>
      <c r="I2609" s="38">
        <f t="shared" si="40"/>
        <v>10285</v>
      </c>
    </row>
    <row r="2610" spans="1:9" x14ac:dyDescent="0.2">
      <c r="A2610" s="33">
        <v>41492</v>
      </c>
      <c r="B2610" s="36">
        <v>10280</v>
      </c>
      <c r="C2610" s="7">
        <v>10290</v>
      </c>
      <c r="D2610" s="7"/>
      <c r="E2610" s="7"/>
      <c r="F2610" s="7"/>
      <c r="G2610" s="34"/>
      <c r="H2610" s="35">
        <v>0</v>
      </c>
      <c r="I2610" s="38">
        <f t="shared" si="40"/>
        <v>10285</v>
      </c>
    </row>
    <row r="2611" spans="1:9" x14ac:dyDescent="0.2">
      <c r="A2611" s="33">
        <v>41491</v>
      </c>
      <c r="B2611" s="36">
        <v>10280</v>
      </c>
      <c r="C2611" s="7">
        <v>10290</v>
      </c>
      <c r="D2611" s="7"/>
      <c r="E2611" s="7"/>
      <c r="F2611" s="7"/>
      <c r="G2611" s="34"/>
      <c r="H2611" s="35">
        <v>0</v>
      </c>
      <c r="I2611" s="38">
        <f t="shared" si="40"/>
        <v>10285</v>
      </c>
    </row>
    <row r="2612" spans="1:9" x14ac:dyDescent="0.2">
      <c r="A2612" s="33">
        <v>41488</v>
      </c>
      <c r="B2612" s="36">
        <v>10280</v>
      </c>
      <c r="C2612" s="7">
        <v>10290</v>
      </c>
      <c r="D2612" s="7">
        <v>10285</v>
      </c>
      <c r="E2612" s="7">
        <v>10275</v>
      </c>
      <c r="F2612" s="7">
        <v>10275</v>
      </c>
      <c r="G2612" s="34">
        <v>38</v>
      </c>
      <c r="H2612" s="35">
        <v>5</v>
      </c>
      <c r="I2612" s="38">
        <f t="shared" si="40"/>
        <v>10285</v>
      </c>
    </row>
    <row r="2613" spans="1:9" x14ac:dyDescent="0.2">
      <c r="A2613" s="33">
        <v>41487</v>
      </c>
      <c r="B2613" s="36">
        <v>10275</v>
      </c>
      <c r="C2613" s="7">
        <v>10285</v>
      </c>
      <c r="D2613" s="7">
        <v>10285</v>
      </c>
      <c r="E2613" s="7">
        <v>10270</v>
      </c>
      <c r="F2613" s="7">
        <v>10275</v>
      </c>
      <c r="G2613" s="34">
        <v>63</v>
      </c>
      <c r="H2613" s="35">
        <v>5</v>
      </c>
      <c r="I2613" s="38">
        <f t="shared" si="40"/>
        <v>10280</v>
      </c>
    </row>
    <row r="2614" spans="1:9" x14ac:dyDescent="0.2">
      <c r="A2614" s="33">
        <v>41486</v>
      </c>
      <c r="B2614" s="36">
        <v>10270</v>
      </c>
      <c r="C2614" s="7">
        <v>10285</v>
      </c>
      <c r="D2614" s="7">
        <v>10280</v>
      </c>
      <c r="E2614" s="7">
        <v>10270</v>
      </c>
      <c r="F2614" s="7">
        <v>10270</v>
      </c>
      <c r="G2614" s="34">
        <v>28</v>
      </c>
      <c r="H2614" s="35">
        <v>5</v>
      </c>
      <c r="I2614" s="38">
        <f t="shared" si="40"/>
        <v>10277.5</v>
      </c>
    </row>
    <row r="2615" spans="1:9" x14ac:dyDescent="0.2">
      <c r="A2615" s="33">
        <v>41485</v>
      </c>
      <c r="B2615" s="36">
        <v>10265</v>
      </c>
      <c r="C2615" s="7">
        <v>10280</v>
      </c>
      <c r="D2615" s="7">
        <v>10280</v>
      </c>
      <c r="E2615" s="7">
        <v>10260</v>
      </c>
      <c r="F2615" s="7">
        <v>10260</v>
      </c>
      <c r="G2615" s="34">
        <v>56</v>
      </c>
      <c r="H2615" s="35">
        <v>0</v>
      </c>
      <c r="I2615" s="38">
        <f t="shared" si="40"/>
        <v>10272.5</v>
      </c>
    </row>
    <row r="2616" spans="1:9" x14ac:dyDescent="0.2">
      <c r="A2616" s="33">
        <v>41484</v>
      </c>
      <c r="B2616" s="36">
        <v>10265</v>
      </c>
      <c r="C2616" s="7">
        <v>10280</v>
      </c>
      <c r="D2616" s="7">
        <v>10280</v>
      </c>
      <c r="E2616" s="7">
        <v>10250</v>
      </c>
      <c r="F2616" s="7">
        <v>10270</v>
      </c>
      <c r="G2616" s="34">
        <v>41</v>
      </c>
      <c r="H2616" s="35">
        <v>5</v>
      </c>
      <c r="I2616" s="38">
        <f t="shared" si="40"/>
        <v>10272.5</v>
      </c>
    </row>
    <row r="2617" spans="1:9" x14ac:dyDescent="0.2">
      <c r="A2617" s="33">
        <v>41481</v>
      </c>
      <c r="B2617" s="36">
        <v>10260</v>
      </c>
      <c r="C2617" s="7">
        <v>10270</v>
      </c>
      <c r="D2617" s="7">
        <v>10270</v>
      </c>
      <c r="E2617" s="7">
        <v>10245</v>
      </c>
      <c r="F2617" s="7">
        <v>10265</v>
      </c>
      <c r="G2617" s="34">
        <v>40</v>
      </c>
      <c r="H2617" s="35">
        <v>0</v>
      </c>
      <c r="I2617" s="38">
        <f t="shared" si="40"/>
        <v>10265</v>
      </c>
    </row>
    <row r="2618" spans="1:9" x14ac:dyDescent="0.2">
      <c r="A2618" s="33">
        <v>41480</v>
      </c>
      <c r="B2618" s="36">
        <v>10260</v>
      </c>
      <c r="C2618" s="7">
        <v>10275</v>
      </c>
      <c r="D2618" s="7">
        <v>10280</v>
      </c>
      <c r="E2618" s="7">
        <v>10249</v>
      </c>
      <c r="F2618" s="7">
        <v>10250</v>
      </c>
      <c r="G2618" s="34">
        <v>98</v>
      </c>
      <c r="H2618" s="35">
        <v>10</v>
      </c>
      <c r="I2618" s="38">
        <f t="shared" si="40"/>
        <v>10267.5</v>
      </c>
    </row>
    <row r="2619" spans="1:9" x14ac:dyDescent="0.2">
      <c r="A2619" s="33">
        <v>41479</v>
      </c>
      <c r="B2619" s="36">
        <v>10250</v>
      </c>
      <c r="C2619" s="7">
        <v>10270</v>
      </c>
      <c r="D2619" s="7">
        <v>10265</v>
      </c>
      <c r="E2619" s="7">
        <v>10200</v>
      </c>
      <c r="F2619" s="7">
        <v>10200</v>
      </c>
      <c r="G2619" s="34">
        <v>84</v>
      </c>
      <c r="H2619" s="35">
        <v>70</v>
      </c>
      <c r="I2619" s="38">
        <f t="shared" si="40"/>
        <v>10260</v>
      </c>
    </row>
    <row r="2620" spans="1:9" x14ac:dyDescent="0.2">
      <c r="A2620" s="33">
        <v>41478</v>
      </c>
      <c r="B2620" s="36">
        <v>10180</v>
      </c>
      <c r="C2620" s="7">
        <v>10220</v>
      </c>
      <c r="D2620" s="7">
        <v>10250</v>
      </c>
      <c r="E2620" s="7">
        <v>10125</v>
      </c>
      <c r="F2620" s="7">
        <v>10200</v>
      </c>
      <c r="G2620" s="34">
        <v>64</v>
      </c>
      <c r="H2620" s="35">
        <v>120</v>
      </c>
      <c r="I2620" s="38">
        <f t="shared" si="40"/>
        <v>10200</v>
      </c>
    </row>
    <row r="2621" spans="1:9" x14ac:dyDescent="0.2">
      <c r="A2621" s="33">
        <v>41477</v>
      </c>
      <c r="B2621" s="36">
        <v>10060</v>
      </c>
      <c r="C2621" s="7">
        <v>10070</v>
      </c>
      <c r="D2621" s="7">
        <v>10070</v>
      </c>
      <c r="E2621" s="7">
        <v>10060</v>
      </c>
      <c r="F2621" s="7">
        <v>10070</v>
      </c>
      <c r="G2621" s="34">
        <v>5</v>
      </c>
      <c r="H2621" s="35">
        <v>-10</v>
      </c>
      <c r="I2621" s="38">
        <f t="shared" si="40"/>
        <v>10065</v>
      </c>
    </row>
    <row r="2622" spans="1:9" x14ac:dyDescent="0.2">
      <c r="A2622" s="33">
        <v>41474</v>
      </c>
      <c r="B2622" s="36">
        <v>10070</v>
      </c>
      <c r="C2622" s="7">
        <v>10085</v>
      </c>
      <c r="D2622" s="7">
        <v>10100</v>
      </c>
      <c r="E2622" s="7">
        <v>10060</v>
      </c>
      <c r="F2622" s="7">
        <v>10060</v>
      </c>
      <c r="G2622" s="34">
        <v>68</v>
      </c>
      <c r="H2622" s="35">
        <v>15</v>
      </c>
      <c r="I2622" s="38">
        <f t="shared" si="40"/>
        <v>10077.5</v>
      </c>
    </row>
    <row r="2623" spans="1:9" x14ac:dyDescent="0.2">
      <c r="A2623" s="33">
        <v>41473</v>
      </c>
      <c r="B2623" s="36">
        <v>10055</v>
      </c>
      <c r="C2623" s="7">
        <v>10065</v>
      </c>
      <c r="D2623" s="7">
        <v>10060</v>
      </c>
      <c r="E2623" s="7">
        <v>10050</v>
      </c>
      <c r="F2623" s="7">
        <v>10050</v>
      </c>
      <c r="G2623" s="34">
        <v>75</v>
      </c>
      <c r="H2623" s="35">
        <v>15</v>
      </c>
      <c r="I2623" s="38">
        <f t="shared" si="40"/>
        <v>10060</v>
      </c>
    </row>
    <row r="2624" spans="1:9" x14ac:dyDescent="0.2">
      <c r="A2624" s="33">
        <v>41472</v>
      </c>
      <c r="B2624" s="36">
        <v>10040</v>
      </c>
      <c r="C2624" s="7">
        <v>10050</v>
      </c>
      <c r="D2624" s="7">
        <v>10041</v>
      </c>
      <c r="E2624" s="7">
        <v>10029</v>
      </c>
      <c r="F2624" s="7">
        <v>10029</v>
      </c>
      <c r="G2624" s="34">
        <v>44</v>
      </c>
      <c r="H2624" s="35">
        <v>10</v>
      </c>
      <c r="I2624" s="38">
        <f t="shared" si="40"/>
        <v>10045</v>
      </c>
    </row>
    <row r="2625" spans="1:9" x14ac:dyDescent="0.2">
      <c r="A2625" s="33">
        <v>41471</v>
      </c>
      <c r="B2625" s="36">
        <v>10030</v>
      </c>
      <c r="C2625" s="7">
        <v>10040</v>
      </c>
      <c r="D2625" s="7">
        <v>10035</v>
      </c>
      <c r="E2625" s="7">
        <v>10029</v>
      </c>
      <c r="F2625" s="7">
        <v>10030</v>
      </c>
      <c r="G2625" s="34">
        <v>18</v>
      </c>
      <c r="H2625" s="35">
        <v>20</v>
      </c>
      <c r="I2625" s="38">
        <f t="shared" si="40"/>
        <v>10035</v>
      </c>
    </row>
    <row r="2626" spans="1:9" x14ac:dyDescent="0.2">
      <c r="A2626" s="33">
        <v>41470</v>
      </c>
      <c r="B2626" s="36">
        <v>10010</v>
      </c>
      <c r="C2626" s="7">
        <v>10025</v>
      </c>
      <c r="D2626" s="7">
        <v>10025</v>
      </c>
      <c r="E2626" s="7">
        <v>9995</v>
      </c>
      <c r="F2626" s="7">
        <v>9995</v>
      </c>
      <c r="G2626" s="34">
        <v>14</v>
      </c>
      <c r="H2626" s="35">
        <v>20</v>
      </c>
      <c r="I2626" s="38">
        <f t="shared" si="40"/>
        <v>10017.5</v>
      </c>
    </row>
    <row r="2627" spans="1:9" x14ac:dyDescent="0.2">
      <c r="A2627" s="33">
        <v>41467</v>
      </c>
      <c r="B2627" s="36">
        <v>9990</v>
      </c>
      <c r="C2627" s="7">
        <v>9995</v>
      </c>
      <c r="D2627" s="7">
        <v>9990</v>
      </c>
      <c r="E2627" s="7">
        <v>9970</v>
      </c>
      <c r="F2627" s="7">
        <v>9975</v>
      </c>
      <c r="G2627" s="34">
        <v>30</v>
      </c>
      <c r="H2627" s="35">
        <v>25</v>
      </c>
      <c r="I2627" s="38">
        <f t="shared" si="40"/>
        <v>9992.5</v>
      </c>
    </row>
    <row r="2628" spans="1:9" x14ac:dyDescent="0.2">
      <c r="A2628" s="33">
        <v>41466</v>
      </c>
      <c r="B2628" s="36">
        <v>9965</v>
      </c>
      <c r="C2628" s="7">
        <v>9975</v>
      </c>
      <c r="D2628" s="7">
        <v>9980</v>
      </c>
      <c r="E2628" s="7">
        <v>9960</v>
      </c>
      <c r="F2628" s="7">
        <v>9960</v>
      </c>
      <c r="G2628" s="34">
        <v>51</v>
      </c>
      <c r="H2628" s="35">
        <v>5</v>
      </c>
      <c r="I2628" s="38">
        <f t="shared" si="40"/>
        <v>9970</v>
      </c>
    </row>
    <row r="2629" spans="1:9" x14ac:dyDescent="0.2">
      <c r="A2629" s="33">
        <v>41465</v>
      </c>
      <c r="B2629" s="36">
        <v>9960</v>
      </c>
      <c r="C2629" s="7">
        <v>9970</v>
      </c>
      <c r="D2629" s="7">
        <v>9970</v>
      </c>
      <c r="E2629" s="7">
        <v>9955</v>
      </c>
      <c r="F2629" s="7">
        <v>9960</v>
      </c>
      <c r="G2629" s="34">
        <v>38</v>
      </c>
      <c r="H2629" s="35">
        <v>5</v>
      </c>
      <c r="I2629" s="38">
        <f t="shared" si="40"/>
        <v>9965</v>
      </c>
    </row>
    <row r="2630" spans="1:9" x14ac:dyDescent="0.2">
      <c r="A2630" s="33">
        <v>41464</v>
      </c>
      <c r="B2630" s="36">
        <v>9955</v>
      </c>
      <c r="C2630" s="7">
        <v>9960</v>
      </c>
      <c r="D2630" s="7">
        <v>9955</v>
      </c>
      <c r="E2630" s="7">
        <v>9949</v>
      </c>
      <c r="F2630" s="7">
        <v>9950</v>
      </c>
      <c r="G2630" s="34">
        <v>37</v>
      </c>
      <c r="H2630" s="35">
        <v>5</v>
      </c>
      <c r="I2630" s="38">
        <f t="shared" si="40"/>
        <v>9957.5</v>
      </c>
    </row>
    <row r="2631" spans="1:9" x14ac:dyDescent="0.2">
      <c r="A2631" s="33">
        <v>41463</v>
      </c>
      <c r="B2631" s="36">
        <v>9950</v>
      </c>
      <c r="C2631" s="7">
        <v>9960</v>
      </c>
      <c r="D2631" s="7">
        <v>9955</v>
      </c>
      <c r="E2631" s="7">
        <v>9940</v>
      </c>
      <c r="F2631" s="7">
        <v>9940</v>
      </c>
      <c r="G2631" s="34">
        <v>29</v>
      </c>
      <c r="H2631" s="35">
        <v>10</v>
      </c>
      <c r="I2631" s="38">
        <f t="shared" si="40"/>
        <v>9955</v>
      </c>
    </row>
    <row r="2632" spans="1:9" x14ac:dyDescent="0.2">
      <c r="A2632" s="33">
        <v>41460</v>
      </c>
      <c r="B2632" s="36">
        <v>9940</v>
      </c>
      <c r="C2632" s="7">
        <v>9945</v>
      </c>
      <c r="D2632" s="7">
        <v>9940</v>
      </c>
      <c r="E2632" s="7">
        <v>9930</v>
      </c>
      <c r="F2632" s="7">
        <v>9938</v>
      </c>
      <c r="G2632" s="34">
        <v>37</v>
      </c>
      <c r="H2632" s="35">
        <v>5</v>
      </c>
      <c r="I2632" s="38">
        <f t="shared" si="40"/>
        <v>9942.5</v>
      </c>
    </row>
    <row r="2633" spans="1:9" x14ac:dyDescent="0.2">
      <c r="A2633" s="33">
        <v>41459</v>
      </c>
      <c r="B2633" s="36">
        <v>9935</v>
      </c>
      <c r="C2633" s="7">
        <v>9945</v>
      </c>
      <c r="D2633" s="7">
        <v>9938</v>
      </c>
      <c r="E2633" s="7">
        <v>9934</v>
      </c>
      <c r="F2633" s="7">
        <v>9935</v>
      </c>
      <c r="G2633" s="34">
        <v>45</v>
      </c>
      <c r="H2633" s="35">
        <v>0</v>
      </c>
      <c r="I2633" s="38">
        <f t="shared" si="40"/>
        <v>9940</v>
      </c>
    </row>
    <row r="2634" spans="1:9" x14ac:dyDescent="0.2">
      <c r="A2634" s="33">
        <v>41458</v>
      </c>
      <c r="B2634" s="36">
        <v>9935</v>
      </c>
      <c r="C2634" s="7">
        <v>9945</v>
      </c>
      <c r="D2634" s="7">
        <v>9935</v>
      </c>
      <c r="E2634" s="7">
        <v>9930</v>
      </c>
      <c r="F2634" s="7">
        <v>9935</v>
      </c>
      <c r="G2634" s="34">
        <v>57</v>
      </c>
      <c r="H2634" s="35">
        <v>7</v>
      </c>
      <c r="I2634" s="38">
        <f t="shared" si="40"/>
        <v>9940</v>
      </c>
    </row>
    <row r="2635" spans="1:9" x14ac:dyDescent="0.2">
      <c r="A2635" s="33">
        <v>41457</v>
      </c>
      <c r="B2635" s="36">
        <v>9928</v>
      </c>
      <c r="C2635" s="7">
        <v>9938</v>
      </c>
      <c r="D2635" s="7">
        <v>9935</v>
      </c>
      <c r="E2635" s="7">
        <v>9928</v>
      </c>
      <c r="F2635" s="7">
        <v>9930</v>
      </c>
      <c r="G2635" s="34">
        <v>47</v>
      </c>
      <c r="H2635" s="35">
        <v>8</v>
      </c>
      <c r="I2635" s="38">
        <f t="shared" si="40"/>
        <v>9933</v>
      </c>
    </row>
    <row r="2636" spans="1:9" x14ac:dyDescent="0.2">
      <c r="A2636" s="33">
        <v>41456</v>
      </c>
      <c r="B2636" s="36">
        <v>9920</v>
      </c>
      <c r="C2636" s="7">
        <v>9935</v>
      </c>
      <c r="D2636" s="7">
        <v>9935</v>
      </c>
      <c r="E2636" s="7">
        <v>9919</v>
      </c>
      <c r="F2636" s="7">
        <v>9925</v>
      </c>
      <c r="G2636" s="34">
        <v>85</v>
      </c>
      <c r="H2636" s="35">
        <v>0</v>
      </c>
      <c r="I2636" s="38">
        <f t="shared" si="40"/>
        <v>9927.5</v>
      </c>
    </row>
    <row r="2637" spans="1:9" x14ac:dyDescent="0.2">
      <c r="A2637" s="33">
        <v>41453</v>
      </c>
      <c r="B2637" s="36">
        <v>9920</v>
      </c>
      <c r="C2637" s="7">
        <v>9930</v>
      </c>
      <c r="D2637" s="7">
        <v>9925</v>
      </c>
      <c r="E2637" s="7">
        <v>9915</v>
      </c>
      <c r="F2637" s="7">
        <v>9915</v>
      </c>
      <c r="G2637" s="34">
        <v>39</v>
      </c>
      <c r="H2637" s="35">
        <v>0</v>
      </c>
      <c r="I2637" s="38">
        <f t="shared" si="40"/>
        <v>9925</v>
      </c>
    </row>
    <row r="2638" spans="1:9" x14ac:dyDescent="0.2">
      <c r="A2638" s="33">
        <v>41452</v>
      </c>
      <c r="B2638" s="36">
        <v>9920</v>
      </c>
      <c r="C2638" s="7">
        <v>9930</v>
      </c>
      <c r="D2638" s="7">
        <v>9931</v>
      </c>
      <c r="E2638" s="7">
        <v>9920</v>
      </c>
      <c r="F2638" s="7">
        <v>9930</v>
      </c>
      <c r="G2638" s="34">
        <v>61</v>
      </c>
      <c r="H2638" s="35">
        <v>0</v>
      </c>
      <c r="I2638" s="38">
        <f t="shared" si="40"/>
        <v>9925</v>
      </c>
    </row>
    <row r="2639" spans="1:9" x14ac:dyDescent="0.2">
      <c r="A2639" s="33">
        <v>41451</v>
      </c>
      <c r="B2639" s="36">
        <v>9920</v>
      </c>
      <c r="C2639" s="7">
        <v>9930</v>
      </c>
      <c r="D2639" s="7">
        <v>9935</v>
      </c>
      <c r="E2639" s="7">
        <v>9914</v>
      </c>
      <c r="F2639" s="7">
        <v>9914</v>
      </c>
      <c r="G2639" s="34">
        <v>128</v>
      </c>
      <c r="H2639" s="35">
        <v>5</v>
      </c>
      <c r="I2639" s="38">
        <f t="shared" si="40"/>
        <v>9925</v>
      </c>
    </row>
    <row r="2640" spans="1:9" x14ac:dyDescent="0.2">
      <c r="A2640" s="33">
        <v>41450</v>
      </c>
      <c r="B2640" s="36">
        <v>9915</v>
      </c>
      <c r="C2640" s="7">
        <v>9925</v>
      </c>
      <c r="D2640" s="7">
        <v>9940</v>
      </c>
      <c r="E2640" s="7">
        <v>9914</v>
      </c>
      <c r="F2640" s="7">
        <v>9930</v>
      </c>
      <c r="G2640" s="34">
        <v>91</v>
      </c>
      <c r="H2640" s="35">
        <v>-10</v>
      </c>
      <c r="I2640" s="38">
        <f t="shared" si="40"/>
        <v>9920</v>
      </c>
    </row>
    <row r="2641" spans="1:9" x14ac:dyDescent="0.2">
      <c r="A2641" s="33">
        <v>41449</v>
      </c>
      <c r="B2641" s="36">
        <v>9925</v>
      </c>
      <c r="C2641" s="7">
        <v>9935</v>
      </c>
      <c r="D2641" s="7">
        <v>9931</v>
      </c>
      <c r="E2641" s="7">
        <v>9919</v>
      </c>
      <c r="F2641" s="7">
        <v>9920</v>
      </c>
      <c r="G2641" s="34">
        <v>211</v>
      </c>
      <c r="H2641" s="35">
        <v>5</v>
      </c>
      <c r="I2641" s="38">
        <f t="shared" si="40"/>
        <v>9930</v>
      </c>
    </row>
    <row r="2642" spans="1:9" x14ac:dyDescent="0.2">
      <c r="A2642" s="33">
        <v>41446</v>
      </c>
      <c r="B2642" s="36">
        <v>9920</v>
      </c>
      <c r="C2642" s="7">
        <v>9930</v>
      </c>
      <c r="D2642" s="7">
        <v>9935</v>
      </c>
      <c r="E2642" s="7">
        <v>9920</v>
      </c>
      <c r="F2642" s="7">
        <v>9925</v>
      </c>
      <c r="G2642" s="34">
        <v>75</v>
      </c>
      <c r="H2642" s="35">
        <v>0</v>
      </c>
      <c r="I2642" s="38">
        <f t="shared" si="40"/>
        <v>9925</v>
      </c>
    </row>
    <row r="2643" spans="1:9" x14ac:dyDescent="0.2">
      <c r="A2643" s="33">
        <v>41445</v>
      </c>
      <c r="B2643" s="36">
        <v>9920</v>
      </c>
      <c r="C2643" s="7">
        <v>9930</v>
      </c>
      <c r="D2643" s="7">
        <v>9925</v>
      </c>
      <c r="E2643" s="7">
        <v>9914</v>
      </c>
      <c r="F2643" s="7">
        <v>9915</v>
      </c>
      <c r="G2643" s="34">
        <v>164</v>
      </c>
      <c r="H2643" s="35">
        <v>15</v>
      </c>
      <c r="I2643" s="38">
        <f t="shared" si="40"/>
        <v>9925</v>
      </c>
    </row>
    <row r="2644" spans="1:9" x14ac:dyDescent="0.2">
      <c r="A2644" s="33">
        <v>41444</v>
      </c>
      <c r="B2644" s="36">
        <v>9905</v>
      </c>
      <c r="C2644" s="7">
        <v>9910</v>
      </c>
      <c r="D2644" s="7">
        <v>9910</v>
      </c>
      <c r="E2644" s="7">
        <v>9895</v>
      </c>
      <c r="F2644" s="7">
        <v>9900</v>
      </c>
      <c r="G2644" s="34">
        <v>142</v>
      </c>
      <c r="H2644" s="35">
        <v>5</v>
      </c>
      <c r="I2644" s="38">
        <f t="shared" si="40"/>
        <v>9907.5</v>
      </c>
    </row>
    <row r="2645" spans="1:9" x14ac:dyDescent="0.2">
      <c r="A2645" s="33">
        <v>41443</v>
      </c>
      <c r="B2645" s="36">
        <v>9900</v>
      </c>
      <c r="C2645" s="7">
        <v>9910</v>
      </c>
      <c r="D2645" s="7">
        <v>9955</v>
      </c>
      <c r="E2645" s="7">
        <v>9890</v>
      </c>
      <c r="F2645" s="7">
        <v>9895</v>
      </c>
      <c r="G2645" s="34">
        <v>173</v>
      </c>
      <c r="H2645" s="35">
        <v>15</v>
      </c>
      <c r="I2645" s="38">
        <f t="shared" si="40"/>
        <v>9905</v>
      </c>
    </row>
    <row r="2646" spans="1:9" x14ac:dyDescent="0.2">
      <c r="A2646" s="33">
        <v>41442</v>
      </c>
      <c r="B2646" s="36">
        <v>9885</v>
      </c>
      <c r="C2646" s="7">
        <v>9890</v>
      </c>
      <c r="D2646" s="7">
        <v>9885</v>
      </c>
      <c r="E2646" s="7">
        <v>9870</v>
      </c>
      <c r="F2646" s="7">
        <v>9870</v>
      </c>
      <c r="G2646" s="34">
        <v>41</v>
      </c>
      <c r="H2646" s="35">
        <v>15</v>
      </c>
      <c r="I2646" s="38">
        <f t="shared" si="40"/>
        <v>9887.5</v>
      </c>
    </row>
    <row r="2647" spans="1:9" x14ac:dyDescent="0.2">
      <c r="A2647" s="33">
        <v>41439</v>
      </c>
      <c r="B2647" s="36">
        <v>9870</v>
      </c>
      <c r="C2647" s="7">
        <v>9875</v>
      </c>
      <c r="D2647" s="7">
        <v>9881</v>
      </c>
      <c r="E2647" s="7">
        <v>9850</v>
      </c>
      <c r="F2647" s="7">
        <v>9850</v>
      </c>
      <c r="G2647" s="34">
        <v>100</v>
      </c>
      <c r="H2647" s="35">
        <v>-10</v>
      </c>
      <c r="I2647" s="38">
        <f t="shared" si="40"/>
        <v>9872.5</v>
      </c>
    </row>
    <row r="2648" spans="1:9" x14ac:dyDescent="0.2">
      <c r="A2648" s="33">
        <v>41438</v>
      </c>
      <c r="B2648" s="36">
        <v>9880</v>
      </c>
      <c r="C2648" s="7">
        <v>9885</v>
      </c>
      <c r="D2648" s="7">
        <v>9895</v>
      </c>
      <c r="E2648" s="7">
        <v>9865</v>
      </c>
      <c r="F2648" s="7">
        <v>9885</v>
      </c>
      <c r="G2648" s="34">
        <v>127</v>
      </c>
      <c r="H2648" s="35">
        <v>25</v>
      </c>
      <c r="I2648" s="38">
        <f t="shared" si="40"/>
        <v>9882.5</v>
      </c>
    </row>
    <row r="2649" spans="1:9" x14ac:dyDescent="0.2">
      <c r="A2649" s="33">
        <v>41437</v>
      </c>
      <c r="B2649" s="36">
        <v>9855</v>
      </c>
      <c r="C2649" s="7">
        <v>9865</v>
      </c>
      <c r="D2649" s="7">
        <v>9860</v>
      </c>
      <c r="E2649" s="7">
        <v>9839</v>
      </c>
      <c r="F2649" s="7">
        <v>9840</v>
      </c>
      <c r="G2649" s="34">
        <v>84</v>
      </c>
      <c r="H2649" s="35">
        <v>35</v>
      </c>
      <c r="I2649" s="38">
        <f t="shared" si="40"/>
        <v>9860</v>
      </c>
    </row>
    <row r="2650" spans="1:9" x14ac:dyDescent="0.2">
      <c r="A2650" s="33">
        <v>41436</v>
      </c>
      <c r="B2650" s="36">
        <v>9820</v>
      </c>
      <c r="C2650" s="7">
        <v>9830</v>
      </c>
      <c r="D2650" s="7">
        <v>9830</v>
      </c>
      <c r="E2650" s="7">
        <v>9810</v>
      </c>
      <c r="F2650" s="7">
        <v>9815</v>
      </c>
      <c r="G2650" s="34">
        <v>159</v>
      </c>
      <c r="H2650" s="35">
        <v>10</v>
      </c>
      <c r="I2650" s="38">
        <f t="shared" si="40"/>
        <v>9825</v>
      </c>
    </row>
    <row r="2651" spans="1:9" x14ac:dyDescent="0.2">
      <c r="A2651" s="33">
        <v>41435</v>
      </c>
      <c r="B2651" s="36">
        <v>9810</v>
      </c>
      <c r="C2651" s="7">
        <v>9815</v>
      </c>
      <c r="D2651" s="7">
        <v>9811</v>
      </c>
      <c r="E2651" s="7">
        <v>9800</v>
      </c>
      <c r="F2651" s="7">
        <v>9805</v>
      </c>
      <c r="G2651" s="34">
        <v>134</v>
      </c>
      <c r="H2651" s="35">
        <v>10</v>
      </c>
      <c r="I2651" s="38">
        <f t="shared" si="40"/>
        <v>9812.5</v>
      </c>
    </row>
    <row r="2652" spans="1:9" x14ac:dyDescent="0.2">
      <c r="A2652" s="33">
        <v>41432</v>
      </c>
      <c r="B2652" s="36">
        <v>9800</v>
      </c>
      <c r="C2652" s="7">
        <v>9810</v>
      </c>
      <c r="D2652" s="7">
        <v>9800</v>
      </c>
      <c r="E2652" s="7">
        <v>9775</v>
      </c>
      <c r="F2652" s="7">
        <v>9775</v>
      </c>
      <c r="G2652" s="34">
        <v>138</v>
      </c>
      <c r="H2652" s="35">
        <v>10</v>
      </c>
      <c r="I2652" s="38">
        <f t="shared" si="40"/>
        <v>9805</v>
      </c>
    </row>
    <row r="2653" spans="1:9" x14ac:dyDescent="0.2">
      <c r="A2653" s="33">
        <v>41431</v>
      </c>
      <c r="B2653" s="36">
        <v>9790</v>
      </c>
      <c r="C2653" s="7">
        <v>9795</v>
      </c>
      <c r="D2653" s="7"/>
      <c r="E2653" s="7"/>
      <c r="F2653" s="7"/>
      <c r="G2653" s="34"/>
      <c r="H2653" s="35">
        <v>0</v>
      </c>
      <c r="I2653" s="38">
        <f t="shared" si="40"/>
        <v>9792.5</v>
      </c>
    </row>
    <row r="2654" spans="1:9" x14ac:dyDescent="0.2">
      <c r="A2654" s="33">
        <v>41430</v>
      </c>
      <c r="B2654" s="36">
        <v>9790</v>
      </c>
      <c r="C2654" s="7">
        <v>9795</v>
      </c>
      <c r="D2654" s="7">
        <v>9805</v>
      </c>
      <c r="E2654" s="7">
        <v>9790</v>
      </c>
      <c r="F2654" s="7">
        <v>9800</v>
      </c>
      <c r="G2654" s="34">
        <v>30</v>
      </c>
      <c r="H2654" s="35">
        <v>-5</v>
      </c>
      <c r="I2654" s="38">
        <f t="shared" si="40"/>
        <v>9792.5</v>
      </c>
    </row>
    <row r="2655" spans="1:9" x14ac:dyDescent="0.2">
      <c r="A2655" s="33">
        <v>41429</v>
      </c>
      <c r="B2655" s="36">
        <v>9795</v>
      </c>
      <c r="C2655" s="7">
        <v>9805</v>
      </c>
      <c r="D2655" s="7">
        <v>9805</v>
      </c>
      <c r="E2655" s="7">
        <v>9790</v>
      </c>
      <c r="F2655" s="7">
        <v>9800</v>
      </c>
      <c r="G2655" s="34">
        <v>87</v>
      </c>
      <c r="H2655" s="35">
        <v>-5</v>
      </c>
      <c r="I2655" s="38">
        <f t="shared" si="40"/>
        <v>9800</v>
      </c>
    </row>
    <row r="2656" spans="1:9" x14ac:dyDescent="0.2">
      <c r="A2656" s="33">
        <v>41428</v>
      </c>
      <c r="B2656" s="36">
        <v>9800</v>
      </c>
      <c r="C2656" s="7">
        <v>9810</v>
      </c>
      <c r="D2656" s="7">
        <v>9810</v>
      </c>
      <c r="E2656" s="7">
        <v>9800</v>
      </c>
      <c r="F2656" s="7">
        <v>9805</v>
      </c>
      <c r="G2656" s="34">
        <v>86</v>
      </c>
      <c r="H2656" s="35">
        <v>10</v>
      </c>
      <c r="I2656" s="38">
        <f t="shared" ref="I2656:I2719" si="41">+(B2656+C2656)*0.5</f>
        <v>9805</v>
      </c>
    </row>
    <row r="2657" spans="1:9" x14ac:dyDescent="0.2">
      <c r="A2657" s="33">
        <v>41425</v>
      </c>
      <c r="B2657" s="36">
        <v>9790</v>
      </c>
      <c r="C2657" s="7">
        <v>9800</v>
      </c>
      <c r="D2657" s="7">
        <v>9801</v>
      </c>
      <c r="E2657" s="7">
        <v>9785</v>
      </c>
      <c r="F2657" s="7">
        <v>9800</v>
      </c>
      <c r="G2657" s="34">
        <v>79</v>
      </c>
      <c r="H2657" s="35">
        <v>-10</v>
      </c>
      <c r="I2657" s="38">
        <f t="shared" si="41"/>
        <v>9795</v>
      </c>
    </row>
    <row r="2658" spans="1:9" x14ac:dyDescent="0.2">
      <c r="A2658" s="33">
        <v>41424</v>
      </c>
      <c r="B2658" s="36">
        <v>9800</v>
      </c>
      <c r="C2658" s="7">
        <v>9810</v>
      </c>
      <c r="D2658" s="7">
        <v>9810</v>
      </c>
      <c r="E2658" s="7">
        <v>9800</v>
      </c>
      <c r="F2658" s="7">
        <v>9810</v>
      </c>
      <c r="G2658" s="34">
        <v>111</v>
      </c>
      <c r="H2658" s="35">
        <v>0</v>
      </c>
      <c r="I2658" s="38">
        <f t="shared" si="41"/>
        <v>9805</v>
      </c>
    </row>
    <row r="2659" spans="1:9" x14ac:dyDescent="0.2">
      <c r="A2659" s="33">
        <v>41423</v>
      </c>
      <c r="B2659" s="36">
        <v>9800</v>
      </c>
      <c r="C2659" s="7">
        <v>9805</v>
      </c>
      <c r="D2659" s="7">
        <v>9811</v>
      </c>
      <c r="E2659" s="7">
        <v>9800</v>
      </c>
      <c r="F2659" s="7">
        <v>9810</v>
      </c>
      <c r="G2659" s="34">
        <v>62</v>
      </c>
      <c r="H2659" s="35">
        <v>10</v>
      </c>
      <c r="I2659" s="38">
        <f t="shared" si="41"/>
        <v>9802.5</v>
      </c>
    </row>
    <row r="2660" spans="1:9" x14ac:dyDescent="0.2">
      <c r="A2660" s="33">
        <v>41422</v>
      </c>
      <c r="B2660" s="36">
        <v>9790</v>
      </c>
      <c r="C2660" s="7">
        <v>9795</v>
      </c>
      <c r="D2660" s="7">
        <v>9800</v>
      </c>
      <c r="E2660" s="7">
        <v>9790</v>
      </c>
      <c r="F2660" s="7">
        <v>9795</v>
      </c>
      <c r="G2660" s="34">
        <v>11</v>
      </c>
      <c r="H2660" s="35">
        <v>5</v>
      </c>
      <c r="I2660" s="38">
        <f t="shared" si="41"/>
        <v>9792.5</v>
      </c>
    </row>
    <row r="2661" spans="1:9" x14ac:dyDescent="0.2">
      <c r="A2661" s="33">
        <v>41421</v>
      </c>
      <c r="B2661" s="36">
        <v>9785</v>
      </c>
      <c r="C2661" s="7">
        <v>9795</v>
      </c>
      <c r="D2661" s="7">
        <v>9795</v>
      </c>
      <c r="E2661" s="7">
        <v>9770</v>
      </c>
      <c r="F2661" s="7">
        <v>9770</v>
      </c>
      <c r="G2661" s="34">
        <v>40</v>
      </c>
      <c r="H2661" s="35">
        <v>15</v>
      </c>
      <c r="I2661" s="38">
        <f t="shared" si="41"/>
        <v>9790</v>
      </c>
    </row>
    <row r="2662" spans="1:9" x14ac:dyDescent="0.2">
      <c r="A2662" s="33">
        <v>41418</v>
      </c>
      <c r="B2662" s="36">
        <v>9770</v>
      </c>
      <c r="C2662" s="7">
        <v>9775</v>
      </c>
      <c r="D2662" s="7">
        <v>9771</v>
      </c>
      <c r="E2662" s="7">
        <v>9769</v>
      </c>
      <c r="F2662" s="7">
        <v>9770</v>
      </c>
      <c r="G2662" s="34">
        <v>62</v>
      </c>
      <c r="H2662" s="35">
        <v>1</v>
      </c>
      <c r="I2662" s="38">
        <f t="shared" si="41"/>
        <v>9772.5</v>
      </c>
    </row>
    <row r="2663" spans="1:9" x14ac:dyDescent="0.2">
      <c r="A2663" s="33">
        <v>41417</v>
      </c>
      <c r="B2663" s="36">
        <v>9769</v>
      </c>
      <c r="C2663" s="7">
        <v>9774</v>
      </c>
      <c r="D2663" s="7">
        <v>9770</v>
      </c>
      <c r="E2663" s="7">
        <v>9769</v>
      </c>
      <c r="F2663" s="7">
        <v>9770</v>
      </c>
      <c r="G2663" s="34">
        <v>7</v>
      </c>
      <c r="H2663" s="35">
        <v>6</v>
      </c>
      <c r="I2663" s="38">
        <f t="shared" si="41"/>
        <v>9771.5</v>
      </c>
    </row>
    <row r="2664" spans="1:9" x14ac:dyDescent="0.2">
      <c r="A2664" s="33">
        <v>41416</v>
      </c>
      <c r="B2664" s="36">
        <v>9763</v>
      </c>
      <c r="C2664" s="7">
        <v>9768</v>
      </c>
      <c r="D2664" s="7">
        <v>9765</v>
      </c>
      <c r="E2664" s="7">
        <v>9763</v>
      </c>
      <c r="F2664" s="7">
        <v>9765</v>
      </c>
      <c r="G2664" s="34">
        <v>4</v>
      </c>
      <c r="H2664" s="35">
        <v>3</v>
      </c>
      <c r="I2664" s="38">
        <f t="shared" si="41"/>
        <v>9765.5</v>
      </c>
    </row>
    <row r="2665" spans="1:9" x14ac:dyDescent="0.2">
      <c r="A2665" s="33">
        <v>41415</v>
      </c>
      <c r="B2665" s="36">
        <v>9760</v>
      </c>
      <c r="C2665" s="7">
        <v>9765</v>
      </c>
      <c r="D2665" s="7">
        <v>9765</v>
      </c>
      <c r="E2665" s="7">
        <v>9755</v>
      </c>
      <c r="F2665" s="7">
        <v>9755</v>
      </c>
      <c r="G2665" s="34">
        <v>38</v>
      </c>
      <c r="H2665" s="35">
        <v>5</v>
      </c>
      <c r="I2665" s="38">
        <f t="shared" si="41"/>
        <v>9762.5</v>
      </c>
    </row>
    <row r="2666" spans="1:9" x14ac:dyDescent="0.2">
      <c r="A2666" s="33">
        <v>41414</v>
      </c>
      <c r="B2666" s="36">
        <v>9755</v>
      </c>
      <c r="C2666" s="7">
        <v>9760</v>
      </c>
      <c r="D2666" s="7">
        <v>9760</v>
      </c>
      <c r="E2666" s="7">
        <v>9749</v>
      </c>
      <c r="F2666" s="7">
        <v>9750</v>
      </c>
      <c r="G2666" s="34">
        <v>48</v>
      </c>
      <c r="H2666" s="35">
        <v>2</v>
      </c>
      <c r="I2666" s="38">
        <f t="shared" si="41"/>
        <v>9757.5</v>
      </c>
    </row>
    <row r="2667" spans="1:9" x14ac:dyDescent="0.2">
      <c r="A2667" s="33">
        <v>41411</v>
      </c>
      <c r="B2667" s="36">
        <v>9753</v>
      </c>
      <c r="C2667" s="7">
        <v>9758</v>
      </c>
      <c r="D2667" s="7">
        <v>9760</v>
      </c>
      <c r="E2667" s="7">
        <v>9744</v>
      </c>
      <c r="F2667" s="7">
        <v>9745</v>
      </c>
      <c r="G2667" s="34">
        <v>63</v>
      </c>
      <c r="H2667" s="35">
        <v>6</v>
      </c>
      <c r="I2667" s="38">
        <f t="shared" si="41"/>
        <v>9755.5</v>
      </c>
    </row>
    <row r="2668" spans="1:9" x14ac:dyDescent="0.2">
      <c r="A2668" s="33">
        <v>41410</v>
      </c>
      <c r="B2668" s="36">
        <v>9747</v>
      </c>
      <c r="C2668" s="7">
        <v>9753</v>
      </c>
      <c r="D2668" s="7">
        <v>9756</v>
      </c>
      <c r="E2668" s="7">
        <v>9740</v>
      </c>
      <c r="F2668" s="7">
        <v>9740</v>
      </c>
      <c r="G2668" s="34">
        <v>66</v>
      </c>
      <c r="H2668" s="35">
        <v>2</v>
      </c>
      <c r="I2668" s="38">
        <f t="shared" si="41"/>
        <v>9750</v>
      </c>
    </row>
    <row r="2669" spans="1:9" x14ac:dyDescent="0.2">
      <c r="A2669" s="33">
        <v>41409</v>
      </c>
      <c r="B2669" s="36">
        <v>9745</v>
      </c>
      <c r="C2669" s="7">
        <v>9750</v>
      </c>
      <c r="D2669" s="7">
        <v>9748</v>
      </c>
      <c r="E2669" s="7">
        <v>9740</v>
      </c>
      <c r="F2669" s="7">
        <v>9740</v>
      </c>
      <c r="G2669" s="34">
        <v>24</v>
      </c>
      <c r="H2669" s="35">
        <v>9</v>
      </c>
      <c r="I2669" s="38">
        <f t="shared" si="41"/>
        <v>9747.5</v>
      </c>
    </row>
    <row r="2670" spans="1:9" x14ac:dyDescent="0.2">
      <c r="A2670" s="33">
        <v>41408</v>
      </c>
      <c r="B2670" s="36">
        <v>9736</v>
      </c>
      <c r="C2670" s="7">
        <v>9739</v>
      </c>
      <c r="D2670" s="7">
        <v>9739</v>
      </c>
      <c r="E2670" s="7">
        <v>9730</v>
      </c>
      <c r="F2670" s="7">
        <v>9735</v>
      </c>
      <c r="G2670" s="34">
        <v>17</v>
      </c>
      <c r="H2670" s="35">
        <v>1</v>
      </c>
      <c r="I2670" s="38">
        <f t="shared" si="41"/>
        <v>9737.5</v>
      </c>
    </row>
    <row r="2671" spans="1:9" x14ac:dyDescent="0.2">
      <c r="A2671" s="33">
        <v>41407</v>
      </c>
      <c r="B2671" s="36">
        <v>9735</v>
      </c>
      <c r="C2671" s="7">
        <v>9740</v>
      </c>
      <c r="D2671" s="7">
        <v>9742</v>
      </c>
      <c r="E2671" s="7">
        <v>9733</v>
      </c>
      <c r="F2671" s="7">
        <v>9733</v>
      </c>
      <c r="G2671" s="34">
        <v>17</v>
      </c>
      <c r="H2671" s="35">
        <v>5</v>
      </c>
      <c r="I2671" s="38">
        <f t="shared" si="41"/>
        <v>9737.5</v>
      </c>
    </row>
    <row r="2672" spans="1:9" x14ac:dyDescent="0.2">
      <c r="A2672" s="33">
        <v>41404</v>
      </c>
      <c r="B2672" s="36">
        <v>9730</v>
      </c>
      <c r="C2672" s="7">
        <v>9738</v>
      </c>
      <c r="D2672" s="7">
        <v>9740</v>
      </c>
      <c r="E2672" s="7">
        <v>9730</v>
      </c>
      <c r="F2672" s="7">
        <v>9732</v>
      </c>
      <c r="G2672" s="34">
        <v>41</v>
      </c>
      <c r="H2672" s="35">
        <v>2</v>
      </c>
      <c r="I2672" s="38">
        <f t="shared" si="41"/>
        <v>9734</v>
      </c>
    </row>
    <row r="2673" spans="1:9" x14ac:dyDescent="0.2">
      <c r="A2673" s="33">
        <v>41403</v>
      </c>
      <c r="B2673" s="36">
        <v>9728</v>
      </c>
      <c r="C2673" s="7">
        <v>9732</v>
      </c>
      <c r="D2673" s="7"/>
      <c r="E2673" s="7"/>
      <c r="F2673" s="7"/>
      <c r="G2673" s="34"/>
      <c r="H2673" s="35">
        <v>0</v>
      </c>
      <c r="I2673" s="38">
        <f t="shared" si="41"/>
        <v>9730</v>
      </c>
    </row>
    <row r="2674" spans="1:9" x14ac:dyDescent="0.2">
      <c r="A2674" s="33">
        <v>41402</v>
      </c>
      <c r="B2674" s="36">
        <v>9728</v>
      </c>
      <c r="C2674" s="7">
        <v>9732</v>
      </c>
      <c r="D2674" s="7">
        <v>9735</v>
      </c>
      <c r="E2674" s="7">
        <v>9724</v>
      </c>
      <c r="F2674" s="7">
        <v>9732</v>
      </c>
      <c r="G2674" s="34">
        <v>56</v>
      </c>
      <c r="H2674" s="35">
        <v>-4</v>
      </c>
      <c r="I2674" s="38">
        <f t="shared" si="41"/>
        <v>9730</v>
      </c>
    </row>
    <row r="2675" spans="1:9" x14ac:dyDescent="0.2">
      <c r="A2675" s="33">
        <v>41401</v>
      </c>
      <c r="B2675" s="36">
        <v>9732</v>
      </c>
      <c r="C2675" s="7">
        <v>9737</v>
      </c>
      <c r="D2675" s="7">
        <v>9738</v>
      </c>
      <c r="E2675" s="7">
        <v>9730</v>
      </c>
      <c r="F2675" s="7">
        <v>9730</v>
      </c>
      <c r="G2675" s="34">
        <v>28</v>
      </c>
      <c r="H2675" s="35">
        <v>0</v>
      </c>
      <c r="I2675" s="38">
        <f t="shared" si="41"/>
        <v>9734.5</v>
      </c>
    </row>
    <row r="2676" spans="1:9" x14ac:dyDescent="0.2">
      <c r="A2676" s="33">
        <v>41400</v>
      </c>
      <c r="B2676" s="36">
        <v>9732</v>
      </c>
      <c r="C2676" s="7">
        <v>9737</v>
      </c>
      <c r="D2676" s="7">
        <v>9733</v>
      </c>
      <c r="E2676" s="7">
        <v>9725</v>
      </c>
      <c r="F2676" s="7">
        <v>9725</v>
      </c>
      <c r="G2676" s="34">
        <v>30</v>
      </c>
      <c r="H2676" s="35">
        <v>0</v>
      </c>
      <c r="I2676" s="38">
        <f t="shared" si="41"/>
        <v>9734.5</v>
      </c>
    </row>
    <row r="2677" spans="1:9" x14ac:dyDescent="0.2">
      <c r="A2677" s="33">
        <v>41397</v>
      </c>
      <c r="B2677" s="36">
        <v>9732</v>
      </c>
      <c r="C2677" s="7">
        <v>9737</v>
      </c>
      <c r="D2677" s="7">
        <v>9740</v>
      </c>
      <c r="E2677" s="7">
        <v>9732</v>
      </c>
      <c r="F2677" s="7">
        <v>9735</v>
      </c>
      <c r="G2677" s="34">
        <v>68</v>
      </c>
      <c r="H2677" s="35">
        <v>-3</v>
      </c>
      <c r="I2677" s="38">
        <f t="shared" si="41"/>
        <v>9734.5</v>
      </c>
    </row>
    <row r="2678" spans="1:9" x14ac:dyDescent="0.2">
      <c r="A2678" s="33">
        <v>41396</v>
      </c>
      <c r="B2678" s="36">
        <v>9735</v>
      </c>
      <c r="C2678" s="7">
        <v>9739</v>
      </c>
      <c r="D2678" s="7">
        <v>9740</v>
      </c>
      <c r="E2678" s="7">
        <v>9725</v>
      </c>
      <c r="F2678" s="7">
        <v>9725</v>
      </c>
      <c r="G2678" s="34">
        <v>51</v>
      </c>
      <c r="H2678" s="35">
        <v>15</v>
      </c>
      <c r="I2678" s="38">
        <f t="shared" si="41"/>
        <v>9737</v>
      </c>
    </row>
    <row r="2679" spans="1:9" x14ac:dyDescent="0.2">
      <c r="A2679" s="33">
        <v>41395</v>
      </c>
      <c r="B2679" s="36">
        <v>9720</v>
      </c>
      <c r="C2679" s="7">
        <v>9725</v>
      </c>
      <c r="D2679" s="7">
        <v>9730</v>
      </c>
      <c r="E2679" s="7">
        <v>9720</v>
      </c>
      <c r="F2679" s="7">
        <v>9720</v>
      </c>
      <c r="G2679" s="34">
        <v>57</v>
      </c>
      <c r="H2679" s="35">
        <v>0</v>
      </c>
      <c r="I2679" s="38">
        <f t="shared" si="41"/>
        <v>9722.5</v>
      </c>
    </row>
    <row r="2680" spans="1:9" x14ac:dyDescent="0.2">
      <c r="A2680" s="33">
        <v>41394</v>
      </c>
      <c r="B2680" s="36">
        <v>9720</v>
      </c>
      <c r="C2680" s="7">
        <v>9725</v>
      </c>
      <c r="D2680" s="7">
        <v>9722</v>
      </c>
      <c r="E2680" s="7">
        <v>9715</v>
      </c>
      <c r="F2680" s="7">
        <v>9715</v>
      </c>
      <c r="G2680" s="34">
        <v>18</v>
      </c>
      <c r="H2680" s="35">
        <v>2</v>
      </c>
      <c r="I2680" s="38">
        <f t="shared" si="41"/>
        <v>9722.5</v>
      </c>
    </row>
    <row r="2681" spans="1:9" x14ac:dyDescent="0.2">
      <c r="A2681" s="33">
        <v>41393</v>
      </c>
      <c r="B2681" s="36">
        <v>9718</v>
      </c>
      <c r="C2681" s="7">
        <v>9723</v>
      </c>
      <c r="D2681" s="7">
        <v>9721</v>
      </c>
      <c r="E2681" s="7">
        <v>9715</v>
      </c>
      <c r="F2681" s="7">
        <v>9720</v>
      </c>
      <c r="G2681" s="34">
        <v>16</v>
      </c>
      <c r="H2681" s="35">
        <v>1</v>
      </c>
      <c r="I2681" s="38">
        <f t="shared" si="41"/>
        <v>9720.5</v>
      </c>
    </row>
    <row r="2682" spans="1:9" x14ac:dyDescent="0.2">
      <c r="A2682" s="33">
        <v>41390</v>
      </c>
      <c r="B2682" s="36">
        <v>9717</v>
      </c>
      <c r="C2682" s="7">
        <v>9724</v>
      </c>
      <c r="D2682" s="7">
        <v>9721</v>
      </c>
      <c r="E2682" s="7">
        <v>9712</v>
      </c>
      <c r="F2682" s="7">
        <v>9712</v>
      </c>
      <c r="G2682" s="34">
        <v>17</v>
      </c>
      <c r="H2682" s="35">
        <v>2</v>
      </c>
      <c r="I2682" s="38">
        <f t="shared" si="41"/>
        <v>9720.5</v>
      </c>
    </row>
    <row r="2683" spans="1:9" x14ac:dyDescent="0.2">
      <c r="A2683" s="33">
        <v>41389</v>
      </c>
      <c r="B2683" s="36">
        <v>9715</v>
      </c>
      <c r="C2683" s="7">
        <v>9721</v>
      </c>
      <c r="D2683" s="7">
        <v>9718</v>
      </c>
      <c r="E2683" s="7">
        <v>9710</v>
      </c>
      <c r="F2683" s="7">
        <v>9710</v>
      </c>
      <c r="G2683" s="34">
        <v>25</v>
      </c>
      <c r="H2683" s="35">
        <v>0</v>
      </c>
      <c r="I2683" s="38">
        <f t="shared" si="41"/>
        <v>9718</v>
      </c>
    </row>
    <row r="2684" spans="1:9" x14ac:dyDescent="0.2">
      <c r="A2684" s="33">
        <v>41388</v>
      </c>
      <c r="B2684" s="36">
        <v>9715</v>
      </c>
      <c r="C2684" s="7">
        <v>9720</v>
      </c>
      <c r="D2684" s="7">
        <v>9728</v>
      </c>
      <c r="E2684" s="7">
        <v>9715</v>
      </c>
      <c r="F2684" s="7">
        <v>9725</v>
      </c>
      <c r="G2684" s="34">
        <v>26</v>
      </c>
      <c r="H2684" s="35">
        <v>-7</v>
      </c>
      <c r="I2684" s="38">
        <f t="shared" si="41"/>
        <v>9717.5</v>
      </c>
    </row>
    <row r="2685" spans="1:9" x14ac:dyDescent="0.2">
      <c r="A2685" s="33">
        <v>41387</v>
      </c>
      <c r="B2685" s="36">
        <v>9722</v>
      </c>
      <c r="C2685" s="7">
        <v>9725</v>
      </c>
      <c r="D2685" s="7">
        <v>9725</v>
      </c>
      <c r="E2685" s="7">
        <v>9715</v>
      </c>
      <c r="F2685" s="7">
        <v>9715</v>
      </c>
      <c r="G2685" s="34">
        <v>15</v>
      </c>
      <c r="H2685" s="35">
        <v>7</v>
      </c>
      <c r="I2685" s="38">
        <f t="shared" si="41"/>
        <v>9723.5</v>
      </c>
    </row>
    <row r="2686" spans="1:9" x14ac:dyDescent="0.2">
      <c r="A2686" s="33">
        <v>41386</v>
      </c>
      <c r="B2686" s="36">
        <v>9715</v>
      </c>
      <c r="C2686" s="7">
        <v>9720</v>
      </c>
      <c r="D2686" s="7">
        <v>9715</v>
      </c>
      <c r="E2686" s="7">
        <v>9709</v>
      </c>
      <c r="F2686" s="7">
        <v>9709</v>
      </c>
      <c r="G2686" s="34">
        <v>15</v>
      </c>
      <c r="H2686" s="35">
        <v>5</v>
      </c>
      <c r="I2686" s="38">
        <f t="shared" si="41"/>
        <v>9717.5</v>
      </c>
    </row>
    <row r="2687" spans="1:9" x14ac:dyDescent="0.2">
      <c r="A2687" s="33">
        <v>41383</v>
      </c>
      <c r="B2687" s="36">
        <v>9710</v>
      </c>
      <c r="C2687" s="7">
        <v>9715</v>
      </c>
      <c r="D2687" s="7">
        <v>9713</v>
      </c>
      <c r="E2687" s="7">
        <v>9705</v>
      </c>
      <c r="F2687" s="7">
        <v>9710</v>
      </c>
      <c r="G2687" s="34">
        <v>18</v>
      </c>
      <c r="H2687" s="35">
        <v>-2</v>
      </c>
      <c r="I2687" s="38">
        <f t="shared" si="41"/>
        <v>9712.5</v>
      </c>
    </row>
    <row r="2688" spans="1:9" x14ac:dyDescent="0.2">
      <c r="A2688" s="33">
        <v>41382</v>
      </c>
      <c r="B2688" s="36">
        <v>9712</v>
      </c>
      <c r="C2688" s="7">
        <v>9717</v>
      </c>
      <c r="D2688" s="7">
        <v>9722</v>
      </c>
      <c r="E2688" s="7">
        <v>9710</v>
      </c>
      <c r="F2688" s="7">
        <v>9710</v>
      </c>
      <c r="G2688" s="34">
        <v>43</v>
      </c>
      <c r="H2688" s="35">
        <v>3</v>
      </c>
      <c r="I2688" s="38">
        <f t="shared" si="41"/>
        <v>9714.5</v>
      </c>
    </row>
    <row r="2689" spans="1:9" x14ac:dyDescent="0.2">
      <c r="A2689" s="33">
        <v>41381</v>
      </c>
      <c r="B2689" s="36">
        <v>9709</v>
      </c>
      <c r="C2689" s="7">
        <v>9711</v>
      </c>
      <c r="D2689" s="7">
        <v>9715</v>
      </c>
      <c r="E2689" s="7">
        <v>9702</v>
      </c>
      <c r="F2689" s="7">
        <v>9710</v>
      </c>
      <c r="G2689" s="34">
        <v>31</v>
      </c>
      <c r="H2689" s="35">
        <v>-6</v>
      </c>
      <c r="I2689" s="38">
        <f t="shared" si="41"/>
        <v>9710</v>
      </c>
    </row>
    <row r="2690" spans="1:9" x14ac:dyDescent="0.2">
      <c r="A2690" s="33">
        <v>41380</v>
      </c>
      <c r="B2690" s="36">
        <v>9715</v>
      </c>
      <c r="C2690" s="7">
        <v>9719</v>
      </c>
      <c r="D2690" s="7">
        <v>9725</v>
      </c>
      <c r="E2690" s="7">
        <v>9709</v>
      </c>
      <c r="F2690" s="7">
        <v>9715</v>
      </c>
      <c r="G2690" s="34">
        <v>90</v>
      </c>
      <c r="H2690" s="35">
        <v>4</v>
      </c>
      <c r="I2690" s="38">
        <f t="shared" si="41"/>
        <v>9717</v>
      </c>
    </row>
    <row r="2691" spans="1:9" x14ac:dyDescent="0.2">
      <c r="A2691" s="33">
        <v>41379</v>
      </c>
      <c r="B2691" s="36">
        <v>9711</v>
      </c>
      <c r="C2691" s="7">
        <v>9713</v>
      </c>
      <c r="D2691" s="7">
        <v>9714</v>
      </c>
      <c r="E2691" s="7">
        <v>9695</v>
      </c>
      <c r="F2691" s="7">
        <v>9695</v>
      </c>
      <c r="G2691" s="34">
        <v>30</v>
      </c>
      <c r="H2691" s="35">
        <v>1</v>
      </c>
      <c r="I2691" s="38">
        <f t="shared" si="41"/>
        <v>9712</v>
      </c>
    </row>
    <row r="2692" spans="1:9" x14ac:dyDescent="0.2">
      <c r="A2692" s="33">
        <v>41376</v>
      </c>
      <c r="B2692" s="36">
        <v>9710</v>
      </c>
      <c r="C2692" s="7">
        <v>9715</v>
      </c>
      <c r="D2692" s="7">
        <v>9712</v>
      </c>
      <c r="E2692" s="7">
        <v>9705</v>
      </c>
      <c r="F2692" s="7">
        <v>9705</v>
      </c>
      <c r="G2692" s="34">
        <v>25</v>
      </c>
      <c r="H2692" s="35">
        <v>8</v>
      </c>
      <c r="I2692" s="38">
        <f t="shared" si="41"/>
        <v>9712.5</v>
      </c>
    </row>
    <row r="2693" spans="1:9" x14ac:dyDescent="0.2">
      <c r="A2693" s="33">
        <v>41375</v>
      </c>
      <c r="B2693" s="36">
        <v>9702</v>
      </c>
      <c r="C2693" s="7">
        <v>9704</v>
      </c>
      <c r="D2693" s="7">
        <v>9702</v>
      </c>
      <c r="E2693" s="7">
        <v>9660</v>
      </c>
      <c r="F2693" s="7">
        <v>9660</v>
      </c>
      <c r="G2693" s="34">
        <v>19</v>
      </c>
      <c r="H2693" s="35">
        <v>14</v>
      </c>
      <c r="I2693" s="38">
        <f t="shared" si="41"/>
        <v>9703</v>
      </c>
    </row>
    <row r="2694" spans="1:9" x14ac:dyDescent="0.2">
      <c r="A2694" s="33">
        <v>41374</v>
      </c>
      <c r="B2694" s="36">
        <v>9688</v>
      </c>
      <c r="C2694" s="7">
        <v>9692</v>
      </c>
      <c r="D2694" s="7">
        <v>9710</v>
      </c>
      <c r="E2694" s="7">
        <v>9685</v>
      </c>
      <c r="F2694" s="7">
        <v>9710</v>
      </c>
      <c r="G2694" s="34">
        <v>70</v>
      </c>
      <c r="H2694" s="35">
        <v>-30</v>
      </c>
      <c r="I2694" s="38">
        <f t="shared" si="41"/>
        <v>9690</v>
      </c>
    </row>
    <row r="2695" spans="1:9" x14ac:dyDescent="0.2">
      <c r="A2695" s="33">
        <v>41373</v>
      </c>
      <c r="B2695" s="36">
        <v>9718</v>
      </c>
      <c r="C2695" s="7">
        <v>9722</v>
      </c>
      <c r="D2695" s="7">
        <v>9742</v>
      </c>
      <c r="E2695" s="7">
        <v>9715</v>
      </c>
      <c r="F2695" s="7">
        <v>9742</v>
      </c>
      <c r="G2695" s="34">
        <v>97</v>
      </c>
      <c r="H2695" s="35">
        <v>-27</v>
      </c>
      <c r="I2695" s="38">
        <f t="shared" si="41"/>
        <v>9720</v>
      </c>
    </row>
    <row r="2696" spans="1:9" x14ac:dyDescent="0.2">
      <c r="A2696" s="33">
        <v>41372</v>
      </c>
      <c r="B2696" s="36">
        <v>9745</v>
      </c>
      <c r="C2696" s="7">
        <v>9752</v>
      </c>
      <c r="D2696" s="7">
        <v>9757</v>
      </c>
      <c r="E2696" s="7">
        <v>9745</v>
      </c>
      <c r="F2696" s="7">
        <v>9745</v>
      </c>
      <c r="G2696" s="34">
        <v>50</v>
      </c>
      <c r="H2696" s="35">
        <v>0</v>
      </c>
      <c r="I2696" s="38">
        <f t="shared" si="41"/>
        <v>9748.5</v>
      </c>
    </row>
    <row r="2697" spans="1:9" x14ac:dyDescent="0.2">
      <c r="A2697" s="33">
        <v>41369</v>
      </c>
      <c r="B2697" s="36">
        <v>9745</v>
      </c>
      <c r="C2697" s="7">
        <v>9749</v>
      </c>
      <c r="D2697" s="7">
        <v>9750</v>
      </c>
      <c r="E2697" s="7">
        <v>9745</v>
      </c>
      <c r="F2697" s="7">
        <v>9750</v>
      </c>
      <c r="G2697" s="34">
        <v>100</v>
      </c>
      <c r="H2697" s="35">
        <v>0</v>
      </c>
      <c r="I2697" s="38">
        <f t="shared" si="41"/>
        <v>9747</v>
      </c>
    </row>
    <row r="2698" spans="1:9" x14ac:dyDescent="0.2">
      <c r="A2698" s="33">
        <v>41368</v>
      </c>
      <c r="B2698" s="36">
        <v>9745</v>
      </c>
      <c r="C2698" s="7">
        <v>9753</v>
      </c>
      <c r="D2698" s="7">
        <v>9755</v>
      </c>
      <c r="E2698" s="7">
        <v>9740</v>
      </c>
      <c r="F2698" s="7">
        <v>9740</v>
      </c>
      <c r="G2698" s="34">
        <v>136</v>
      </c>
      <c r="H2698" s="35">
        <v>0</v>
      </c>
      <c r="I2698" s="38">
        <f t="shared" si="41"/>
        <v>9749</v>
      </c>
    </row>
    <row r="2699" spans="1:9" x14ac:dyDescent="0.2">
      <c r="A2699" s="33">
        <v>41367</v>
      </c>
      <c r="B2699" s="36">
        <v>9745</v>
      </c>
      <c r="C2699" s="7">
        <v>9749</v>
      </c>
      <c r="D2699" s="7">
        <v>9748</v>
      </c>
      <c r="E2699" s="7">
        <v>9735</v>
      </c>
      <c r="F2699" s="7">
        <v>9735</v>
      </c>
      <c r="G2699" s="34">
        <v>77</v>
      </c>
      <c r="H2699" s="35">
        <v>9</v>
      </c>
      <c r="I2699" s="38">
        <f t="shared" si="41"/>
        <v>9747</v>
      </c>
    </row>
    <row r="2700" spans="1:9" x14ac:dyDescent="0.2">
      <c r="A2700" s="33">
        <v>41366</v>
      </c>
      <c r="B2700" s="36">
        <v>9736</v>
      </c>
      <c r="C2700" s="7">
        <v>9738</v>
      </c>
      <c r="D2700" s="7">
        <v>9738</v>
      </c>
      <c r="E2700" s="7">
        <v>9725</v>
      </c>
      <c r="F2700" s="7">
        <v>9725</v>
      </c>
      <c r="G2700" s="34">
        <v>19</v>
      </c>
      <c r="H2700" s="35">
        <v>-1</v>
      </c>
      <c r="I2700" s="38">
        <f t="shared" si="41"/>
        <v>9737</v>
      </c>
    </row>
    <row r="2701" spans="1:9" x14ac:dyDescent="0.2">
      <c r="A2701" s="33">
        <v>41365</v>
      </c>
      <c r="B2701" s="36">
        <v>9737</v>
      </c>
      <c r="C2701" s="7">
        <v>9738</v>
      </c>
      <c r="D2701" s="7">
        <v>9737</v>
      </c>
      <c r="E2701" s="7">
        <v>9715</v>
      </c>
      <c r="F2701" s="7">
        <v>9715</v>
      </c>
      <c r="G2701" s="34">
        <v>20</v>
      </c>
      <c r="H2701" s="35">
        <v>22</v>
      </c>
      <c r="I2701" s="38">
        <f t="shared" si="41"/>
        <v>9737.5</v>
      </c>
    </row>
    <row r="2702" spans="1:9" x14ac:dyDescent="0.2">
      <c r="A2702" s="33">
        <v>41362</v>
      </c>
      <c r="B2702" s="36">
        <v>9715</v>
      </c>
      <c r="C2702" s="7">
        <v>9720</v>
      </c>
      <c r="D2702" s="7"/>
      <c r="E2702" s="7"/>
      <c r="F2702" s="7"/>
      <c r="G2702" s="34"/>
      <c r="H2702" s="35">
        <v>0</v>
      </c>
      <c r="I2702" s="38">
        <f t="shared" si="41"/>
        <v>9717.5</v>
      </c>
    </row>
    <row r="2703" spans="1:9" x14ac:dyDescent="0.2">
      <c r="A2703" s="33">
        <v>41361</v>
      </c>
      <c r="B2703" s="36">
        <v>9715</v>
      </c>
      <c r="C2703" s="7">
        <v>9720</v>
      </c>
      <c r="D2703" s="7">
        <v>9722</v>
      </c>
      <c r="E2703" s="7">
        <v>9700</v>
      </c>
      <c r="F2703" s="7">
        <v>9722</v>
      </c>
      <c r="G2703" s="34">
        <v>46</v>
      </c>
      <c r="H2703" s="35">
        <v>-9</v>
      </c>
      <c r="I2703" s="38">
        <f t="shared" si="41"/>
        <v>9717.5</v>
      </c>
    </row>
    <row r="2704" spans="1:9" x14ac:dyDescent="0.2">
      <c r="A2704" s="33">
        <v>41360</v>
      </c>
      <c r="B2704" s="36">
        <v>9724</v>
      </c>
      <c r="C2704" s="7">
        <v>9725</v>
      </c>
      <c r="D2704" s="7">
        <v>9735</v>
      </c>
      <c r="E2704" s="7">
        <v>9707</v>
      </c>
      <c r="F2704" s="7">
        <v>9730</v>
      </c>
      <c r="G2704" s="34">
        <v>54</v>
      </c>
      <c r="H2704" s="35">
        <v>-6</v>
      </c>
      <c r="I2704" s="38">
        <f t="shared" si="41"/>
        <v>9724.5</v>
      </c>
    </row>
    <row r="2705" spans="1:9" x14ac:dyDescent="0.2">
      <c r="A2705" s="33">
        <v>41359</v>
      </c>
      <c r="B2705" s="36">
        <v>9730</v>
      </c>
      <c r="C2705" s="7">
        <v>9733</v>
      </c>
      <c r="D2705" s="7">
        <v>9747</v>
      </c>
      <c r="E2705" s="7">
        <v>9720</v>
      </c>
      <c r="F2705" s="7">
        <v>9740</v>
      </c>
      <c r="G2705" s="34">
        <v>228</v>
      </c>
      <c r="H2705" s="35">
        <v>0</v>
      </c>
      <c r="I2705" s="38">
        <f t="shared" si="41"/>
        <v>9731.5</v>
      </c>
    </row>
    <row r="2706" spans="1:9" x14ac:dyDescent="0.2">
      <c r="A2706" s="33">
        <v>41358</v>
      </c>
      <c r="B2706" s="36">
        <v>9730</v>
      </c>
      <c r="C2706" s="7">
        <v>9738</v>
      </c>
      <c r="D2706" s="7">
        <v>9735</v>
      </c>
      <c r="E2706" s="7">
        <v>9725</v>
      </c>
      <c r="F2706" s="7">
        <v>9735</v>
      </c>
      <c r="G2706" s="34">
        <v>30</v>
      </c>
      <c r="H2706" s="35">
        <v>-10</v>
      </c>
      <c r="I2706" s="38">
        <f t="shared" si="41"/>
        <v>9734</v>
      </c>
    </row>
    <row r="2707" spans="1:9" x14ac:dyDescent="0.2">
      <c r="A2707" s="33">
        <v>41355</v>
      </c>
      <c r="B2707" s="36">
        <v>9740</v>
      </c>
      <c r="C2707" s="7">
        <v>9745</v>
      </c>
      <c r="D2707" s="7">
        <v>9740</v>
      </c>
      <c r="E2707" s="7">
        <v>9730</v>
      </c>
      <c r="F2707" s="7">
        <v>9730</v>
      </c>
      <c r="G2707" s="34">
        <v>79</v>
      </c>
      <c r="H2707" s="35">
        <v>8</v>
      </c>
      <c r="I2707" s="38">
        <f t="shared" si="41"/>
        <v>9742.5</v>
      </c>
    </row>
    <row r="2708" spans="1:9" x14ac:dyDescent="0.2">
      <c r="A2708" s="33">
        <v>41354</v>
      </c>
      <c r="B2708" s="36">
        <v>9732</v>
      </c>
      <c r="C2708" s="7">
        <v>9734</v>
      </c>
      <c r="D2708" s="7">
        <v>9732</v>
      </c>
      <c r="E2708" s="7">
        <v>9718</v>
      </c>
      <c r="F2708" s="7">
        <v>9720</v>
      </c>
      <c r="G2708" s="34">
        <v>12</v>
      </c>
      <c r="H2708" s="35">
        <v>12</v>
      </c>
      <c r="I2708" s="38">
        <f t="shared" si="41"/>
        <v>9733</v>
      </c>
    </row>
    <row r="2709" spans="1:9" x14ac:dyDescent="0.2">
      <c r="A2709" s="33">
        <v>41353</v>
      </c>
      <c r="B2709" s="36">
        <v>9720</v>
      </c>
      <c r="C2709" s="7">
        <v>9728</v>
      </c>
      <c r="D2709" s="7">
        <v>9730</v>
      </c>
      <c r="E2709" s="7">
        <v>9714</v>
      </c>
      <c r="F2709" s="7">
        <v>9720</v>
      </c>
      <c r="G2709" s="34">
        <v>29</v>
      </c>
      <c r="H2709" s="35">
        <v>10</v>
      </c>
      <c r="I2709" s="38">
        <f t="shared" si="41"/>
        <v>9724</v>
      </c>
    </row>
    <row r="2710" spans="1:9" x14ac:dyDescent="0.2">
      <c r="A2710" s="33">
        <v>41352</v>
      </c>
      <c r="B2710" s="36">
        <v>9710</v>
      </c>
      <c r="C2710" s="7">
        <v>9714</v>
      </c>
      <c r="D2710" s="7">
        <v>9711</v>
      </c>
      <c r="E2710" s="7">
        <v>9703</v>
      </c>
      <c r="F2710" s="7">
        <v>9710</v>
      </c>
      <c r="G2710" s="34">
        <v>15</v>
      </c>
      <c r="H2710" s="35">
        <v>1</v>
      </c>
      <c r="I2710" s="38">
        <f t="shared" si="41"/>
        <v>9712</v>
      </c>
    </row>
    <row r="2711" spans="1:9" x14ac:dyDescent="0.2">
      <c r="A2711" s="33">
        <v>41351</v>
      </c>
      <c r="B2711" s="36">
        <v>9709</v>
      </c>
      <c r="C2711" s="7">
        <v>9713</v>
      </c>
      <c r="D2711" s="7">
        <v>9715</v>
      </c>
      <c r="E2711" s="7">
        <v>9700</v>
      </c>
      <c r="F2711" s="7">
        <v>9700</v>
      </c>
      <c r="G2711" s="34">
        <v>18</v>
      </c>
      <c r="H2711" s="35">
        <v>6</v>
      </c>
      <c r="I2711" s="38">
        <f t="shared" si="41"/>
        <v>9711</v>
      </c>
    </row>
    <row r="2712" spans="1:9" x14ac:dyDescent="0.2">
      <c r="A2712" s="33">
        <v>41348</v>
      </c>
      <c r="B2712" s="36">
        <v>9703</v>
      </c>
      <c r="C2712" s="7">
        <v>9706</v>
      </c>
      <c r="D2712" s="7">
        <v>9703</v>
      </c>
      <c r="E2712" s="7">
        <v>9695</v>
      </c>
      <c r="F2712" s="7">
        <v>9699</v>
      </c>
      <c r="G2712" s="34">
        <v>13</v>
      </c>
      <c r="H2712" s="35">
        <v>3</v>
      </c>
      <c r="I2712" s="38">
        <f t="shared" si="41"/>
        <v>9704.5</v>
      </c>
    </row>
    <row r="2713" spans="1:9" x14ac:dyDescent="0.2">
      <c r="A2713" s="33">
        <v>41347</v>
      </c>
      <c r="B2713" s="36">
        <v>9700</v>
      </c>
      <c r="C2713" s="7">
        <v>9705</v>
      </c>
      <c r="D2713" s="7">
        <v>9710</v>
      </c>
      <c r="E2713" s="7">
        <v>9690</v>
      </c>
      <c r="F2713" s="7">
        <v>9690</v>
      </c>
      <c r="G2713" s="34">
        <v>20</v>
      </c>
      <c r="H2713" s="35">
        <v>12</v>
      </c>
      <c r="I2713" s="38">
        <f t="shared" si="41"/>
        <v>9702.5</v>
      </c>
    </row>
    <row r="2714" spans="1:9" x14ac:dyDescent="0.2">
      <c r="A2714" s="33">
        <v>41346</v>
      </c>
      <c r="B2714" s="36">
        <v>9688</v>
      </c>
      <c r="C2714" s="7">
        <v>9693</v>
      </c>
      <c r="D2714" s="7">
        <v>9696</v>
      </c>
      <c r="E2714" s="7">
        <v>9687</v>
      </c>
      <c r="F2714" s="7">
        <v>9687</v>
      </c>
      <c r="G2714" s="34">
        <v>15</v>
      </c>
      <c r="H2714" s="35">
        <v>-6</v>
      </c>
      <c r="I2714" s="38">
        <f t="shared" si="41"/>
        <v>9690.5</v>
      </c>
    </row>
    <row r="2715" spans="1:9" x14ac:dyDescent="0.2">
      <c r="A2715" s="33">
        <v>41345</v>
      </c>
      <c r="B2715" s="36">
        <v>9694</v>
      </c>
      <c r="C2715" s="7">
        <v>9700</v>
      </c>
      <c r="D2715" s="7"/>
      <c r="E2715" s="7"/>
      <c r="F2715" s="7"/>
      <c r="G2715" s="34"/>
      <c r="H2715" s="35">
        <v>0</v>
      </c>
      <c r="I2715" s="38">
        <f t="shared" si="41"/>
        <v>9697</v>
      </c>
    </row>
    <row r="2716" spans="1:9" x14ac:dyDescent="0.2">
      <c r="A2716" s="33">
        <v>41344</v>
      </c>
      <c r="B2716" s="36">
        <v>9694</v>
      </c>
      <c r="C2716" s="7">
        <v>9700</v>
      </c>
      <c r="D2716" s="7">
        <v>9694</v>
      </c>
      <c r="E2716" s="7">
        <v>9685</v>
      </c>
      <c r="F2716" s="7">
        <v>9687</v>
      </c>
      <c r="G2716" s="34">
        <v>3</v>
      </c>
      <c r="H2716" s="35">
        <v>12</v>
      </c>
      <c r="I2716" s="38">
        <f t="shared" si="41"/>
        <v>9697</v>
      </c>
    </row>
    <row r="2717" spans="1:9" x14ac:dyDescent="0.2">
      <c r="A2717" s="33">
        <v>41341</v>
      </c>
      <c r="B2717" s="36">
        <v>9682</v>
      </c>
      <c r="C2717" s="7">
        <v>9687</v>
      </c>
      <c r="D2717" s="7">
        <v>9687</v>
      </c>
      <c r="E2717" s="7">
        <v>9682</v>
      </c>
      <c r="F2717" s="7">
        <v>9685</v>
      </c>
      <c r="G2717" s="34">
        <v>16</v>
      </c>
      <c r="H2717" s="35">
        <v>-8</v>
      </c>
      <c r="I2717" s="38">
        <f t="shared" si="41"/>
        <v>9684.5</v>
      </c>
    </row>
    <row r="2718" spans="1:9" x14ac:dyDescent="0.2">
      <c r="A2718" s="33">
        <v>41340</v>
      </c>
      <c r="B2718" s="36">
        <v>9690</v>
      </c>
      <c r="C2718" s="7">
        <v>9695</v>
      </c>
      <c r="D2718" s="7">
        <v>9696</v>
      </c>
      <c r="E2718" s="7">
        <v>9690</v>
      </c>
      <c r="F2718" s="7">
        <v>9690</v>
      </c>
      <c r="G2718" s="34">
        <v>8</v>
      </c>
      <c r="H2718" s="35">
        <v>5</v>
      </c>
      <c r="I2718" s="38">
        <f t="shared" si="41"/>
        <v>9692.5</v>
      </c>
    </row>
    <row r="2719" spans="1:9" x14ac:dyDescent="0.2">
      <c r="A2719" s="33">
        <v>41339</v>
      </c>
      <c r="B2719" s="36">
        <v>9685</v>
      </c>
      <c r="C2719" s="7">
        <v>9690</v>
      </c>
      <c r="D2719" s="7">
        <v>9690</v>
      </c>
      <c r="E2719" s="7">
        <v>9679</v>
      </c>
      <c r="F2719" s="7">
        <v>9685</v>
      </c>
      <c r="G2719" s="34">
        <v>27</v>
      </c>
      <c r="H2719" s="35">
        <v>-5</v>
      </c>
      <c r="I2719" s="38">
        <f t="shared" si="41"/>
        <v>9687.5</v>
      </c>
    </row>
    <row r="2720" spans="1:9" x14ac:dyDescent="0.2">
      <c r="A2720" s="33">
        <v>41338</v>
      </c>
      <c r="B2720" s="36">
        <v>9690</v>
      </c>
      <c r="C2720" s="7">
        <v>9695</v>
      </c>
      <c r="D2720" s="7">
        <v>9707</v>
      </c>
      <c r="E2720" s="7">
        <v>9690</v>
      </c>
      <c r="F2720" s="7">
        <v>9705</v>
      </c>
      <c r="G2720" s="34">
        <v>19</v>
      </c>
      <c r="H2720" s="35">
        <v>-11</v>
      </c>
      <c r="I2720" s="38">
        <f t="shared" ref="I2720:I2783" si="42">+(B2720+C2720)*0.5</f>
        <v>9692.5</v>
      </c>
    </row>
    <row r="2721" spans="1:9" x14ac:dyDescent="0.2">
      <c r="A2721" s="33">
        <v>41337</v>
      </c>
      <c r="B2721" s="36">
        <v>9701</v>
      </c>
      <c r="C2721" s="7">
        <v>9711</v>
      </c>
      <c r="D2721" s="7">
        <v>9711</v>
      </c>
      <c r="E2721" s="7">
        <v>9695</v>
      </c>
      <c r="F2721" s="7">
        <v>9695</v>
      </c>
      <c r="G2721" s="34">
        <v>15</v>
      </c>
      <c r="H2721" s="35">
        <v>25</v>
      </c>
      <c r="I2721" s="38">
        <f t="shared" si="42"/>
        <v>9706</v>
      </c>
    </row>
    <row r="2722" spans="1:9" x14ac:dyDescent="0.2">
      <c r="A2722" s="33">
        <v>41334</v>
      </c>
      <c r="B2722" s="36">
        <v>9676</v>
      </c>
      <c r="C2722" s="7">
        <v>9679</v>
      </c>
      <c r="D2722" s="7">
        <v>9676</v>
      </c>
      <c r="E2722" s="7">
        <v>9668</v>
      </c>
      <c r="F2722" s="7">
        <v>9668</v>
      </c>
      <c r="G2722" s="34">
        <v>11</v>
      </c>
      <c r="H2722" s="35">
        <v>16</v>
      </c>
      <c r="I2722" s="38">
        <f t="shared" si="42"/>
        <v>9677.5</v>
      </c>
    </row>
    <row r="2723" spans="1:9" x14ac:dyDescent="0.2">
      <c r="A2723" s="33">
        <v>41333</v>
      </c>
      <c r="B2723" s="36">
        <v>9660</v>
      </c>
      <c r="C2723" s="7">
        <v>9667</v>
      </c>
      <c r="D2723" s="7">
        <v>9670</v>
      </c>
      <c r="E2723" s="7">
        <v>9655</v>
      </c>
      <c r="F2723" s="7">
        <v>9670</v>
      </c>
      <c r="G2723" s="34">
        <v>27</v>
      </c>
      <c r="H2723" s="35">
        <v>-25</v>
      </c>
      <c r="I2723" s="38">
        <f t="shared" si="42"/>
        <v>9663.5</v>
      </c>
    </row>
    <row r="2724" spans="1:9" x14ac:dyDescent="0.2">
      <c r="A2724" s="33">
        <v>41332</v>
      </c>
      <c r="B2724" s="36">
        <v>9685</v>
      </c>
      <c r="C2724" s="7">
        <v>9686</v>
      </c>
      <c r="D2724" s="7">
        <v>9698</v>
      </c>
      <c r="E2724" s="7">
        <v>9678</v>
      </c>
      <c r="F2724" s="7">
        <v>9698</v>
      </c>
      <c r="G2724" s="34">
        <v>32</v>
      </c>
      <c r="H2724" s="35">
        <v>-20</v>
      </c>
      <c r="I2724" s="38">
        <f t="shared" si="42"/>
        <v>9685.5</v>
      </c>
    </row>
    <row r="2725" spans="1:9" x14ac:dyDescent="0.2">
      <c r="A2725" s="33">
        <v>41331</v>
      </c>
      <c r="B2725" s="36">
        <v>9705</v>
      </c>
      <c r="C2725" s="7">
        <v>9709</v>
      </c>
      <c r="D2725" s="7">
        <v>9710</v>
      </c>
      <c r="E2725" s="7">
        <v>9700</v>
      </c>
      <c r="F2725" s="7">
        <v>9705</v>
      </c>
      <c r="G2725" s="34">
        <v>19</v>
      </c>
      <c r="H2725" s="35">
        <v>2</v>
      </c>
      <c r="I2725" s="38">
        <f t="shared" si="42"/>
        <v>9707</v>
      </c>
    </row>
    <row r="2726" spans="1:9" x14ac:dyDescent="0.2">
      <c r="A2726" s="33">
        <v>41330</v>
      </c>
      <c r="B2726" s="36">
        <v>9703</v>
      </c>
      <c r="C2726" s="7">
        <v>9707</v>
      </c>
      <c r="D2726" s="7">
        <v>9711</v>
      </c>
      <c r="E2726" s="7">
        <v>9702</v>
      </c>
      <c r="F2726" s="7">
        <v>9711</v>
      </c>
      <c r="G2726" s="34">
        <v>15</v>
      </c>
      <c r="H2726" s="35">
        <v>-5</v>
      </c>
      <c r="I2726" s="38">
        <f t="shared" si="42"/>
        <v>9705</v>
      </c>
    </row>
    <row r="2727" spans="1:9" x14ac:dyDescent="0.2">
      <c r="A2727" s="33">
        <v>41327</v>
      </c>
      <c r="B2727" s="36">
        <v>9708</v>
      </c>
      <c r="C2727" s="7">
        <v>9710</v>
      </c>
      <c r="D2727" s="7">
        <v>9713</v>
      </c>
      <c r="E2727" s="7">
        <v>9699</v>
      </c>
      <c r="F2727" s="7">
        <v>9705</v>
      </c>
      <c r="G2727" s="34">
        <v>33</v>
      </c>
      <c r="H2727" s="35">
        <v>7</v>
      </c>
      <c r="I2727" s="38">
        <f t="shared" si="42"/>
        <v>9709</v>
      </c>
    </row>
    <row r="2728" spans="1:9" x14ac:dyDescent="0.2">
      <c r="A2728" s="33">
        <v>41326</v>
      </c>
      <c r="B2728" s="36">
        <v>9701</v>
      </c>
      <c r="C2728" s="7">
        <v>9704</v>
      </c>
      <c r="D2728" s="7">
        <v>9705</v>
      </c>
      <c r="E2728" s="7">
        <v>9690</v>
      </c>
      <c r="F2728" s="7">
        <v>9690</v>
      </c>
      <c r="G2728" s="34">
        <v>26</v>
      </c>
      <c r="H2728" s="35">
        <v>21</v>
      </c>
      <c r="I2728" s="38">
        <f t="shared" si="42"/>
        <v>9702.5</v>
      </c>
    </row>
    <row r="2729" spans="1:9" x14ac:dyDescent="0.2">
      <c r="A2729" s="33">
        <v>41325</v>
      </c>
      <c r="B2729" s="36">
        <v>9680</v>
      </c>
      <c r="C2729" s="7">
        <v>9686</v>
      </c>
      <c r="D2729" s="7">
        <v>9703</v>
      </c>
      <c r="E2729" s="7">
        <v>9680</v>
      </c>
      <c r="F2729" s="7">
        <v>9685</v>
      </c>
      <c r="G2729" s="34">
        <v>37</v>
      </c>
      <c r="H2729" s="35">
        <v>-20</v>
      </c>
      <c r="I2729" s="38">
        <f t="shared" si="42"/>
        <v>9683</v>
      </c>
    </row>
    <row r="2730" spans="1:9" x14ac:dyDescent="0.2">
      <c r="A2730" s="33">
        <v>41324</v>
      </c>
      <c r="B2730" s="36">
        <v>9700</v>
      </c>
      <c r="C2730" s="7">
        <v>9705</v>
      </c>
      <c r="D2730" s="7">
        <v>9713</v>
      </c>
      <c r="E2730" s="7">
        <v>9700</v>
      </c>
      <c r="F2730" s="7">
        <v>9700</v>
      </c>
      <c r="G2730" s="34">
        <v>27</v>
      </c>
      <c r="H2730" s="35">
        <v>22</v>
      </c>
      <c r="I2730" s="38">
        <f t="shared" si="42"/>
        <v>9702.5</v>
      </c>
    </row>
    <row r="2731" spans="1:9" x14ac:dyDescent="0.2">
      <c r="A2731" s="33">
        <v>41323</v>
      </c>
      <c r="B2731" s="36">
        <v>9678</v>
      </c>
      <c r="C2731" s="7">
        <v>9683</v>
      </c>
      <c r="D2731" s="7">
        <v>9680</v>
      </c>
      <c r="E2731" s="7">
        <v>9665</v>
      </c>
      <c r="F2731" s="7">
        <v>9665</v>
      </c>
      <c r="G2731" s="34">
        <v>22</v>
      </c>
      <c r="H2731" s="35">
        <v>11</v>
      </c>
      <c r="I2731" s="38">
        <f t="shared" si="42"/>
        <v>9680.5</v>
      </c>
    </row>
    <row r="2732" spans="1:9" x14ac:dyDescent="0.2">
      <c r="A2732" s="33">
        <v>41320</v>
      </c>
      <c r="B2732" s="36">
        <v>9667</v>
      </c>
      <c r="C2732" s="7">
        <v>9672</v>
      </c>
      <c r="D2732" s="7">
        <v>9683</v>
      </c>
      <c r="E2732" s="7">
        <v>9660</v>
      </c>
      <c r="F2732" s="7">
        <v>9660</v>
      </c>
      <c r="G2732" s="34">
        <v>39</v>
      </c>
      <c r="H2732" s="35">
        <v>10</v>
      </c>
      <c r="I2732" s="38">
        <f t="shared" si="42"/>
        <v>9669.5</v>
      </c>
    </row>
    <row r="2733" spans="1:9" x14ac:dyDescent="0.2">
      <c r="A2733" s="33">
        <v>41319</v>
      </c>
      <c r="B2733" s="36">
        <v>9657</v>
      </c>
      <c r="C2733" s="7">
        <v>9662</v>
      </c>
      <c r="D2733" s="7">
        <v>9670</v>
      </c>
      <c r="E2733" s="7">
        <v>9640</v>
      </c>
      <c r="F2733" s="7">
        <v>9640</v>
      </c>
      <c r="G2733" s="34">
        <v>44</v>
      </c>
      <c r="H2733" s="35">
        <v>13</v>
      </c>
      <c r="I2733" s="38">
        <f t="shared" si="42"/>
        <v>9659.5</v>
      </c>
    </row>
    <row r="2734" spans="1:9" x14ac:dyDescent="0.2">
      <c r="A2734" s="33">
        <v>41318</v>
      </c>
      <c r="B2734" s="36">
        <v>9644</v>
      </c>
      <c r="C2734" s="7">
        <v>9649</v>
      </c>
      <c r="D2734" s="7">
        <v>9645</v>
      </c>
      <c r="E2734" s="7">
        <v>9630</v>
      </c>
      <c r="F2734" s="7">
        <v>9630</v>
      </c>
      <c r="G2734" s="34">
        <v>35</v>
      </c>
      <c r="H2734" s="35">
        <v>1</v>
      </c>
      <c r="I2734" s="38">
        <f t="shared" si="42"/>
        <v>9646.5</v>
      </c>
    </row>
    <row r="2735" spans="1:9" x14ac:dyDescent="0.2">
      <c r="A2735" s="33">
        <v>41317</v>
      </c>
      <c r="B2735" s="36">
        <v>9643</v>
      </c>
      <c r="C2735" s="7">
        <v>9648</v>
      </c>
      <c r="D2735" s="7">
        <v>9645</v>
      </c>
      <c r="E2735" s="7">
        <v>9610</v>
      </c>
      <c r="F2735" s="7">
        <v>9610</v>
      </c>
      <c r="G2735" s="34">
        <v>22</v>
      </c>
      <c r="H2735" s="35">
        <v>28</v>
      </c>
      <c r="I2735" s="38">
        <f t="shared" si="42"/>
        <v>9645.5</v>
      </c>
    </row>
    <row r="2736" spans="1:9" x14ac:dyDescent="0.2">
      <c r="A2736" s="33">
        <v>41316</v>
      </c>
      <c r="B2736" s="36">
        <v>9615</v>
      </c>
      <c r="C2736" s="7">
        <v>9625</v>
      </c>
      <c r="D2736" s="7">
        <v>9660</v>
      </c>
      <c r="E2736" s="7">
        <v>9600</v>
      </c>
      <c r="F2736" s="7">
        <v>9650</v>
      </c>
      <c r="G2736" s="34">
        <v>42</v>
      </c>
      <c r="H2736" s="35">
        <v>-50</v>
      </c>
      <c r="I2736" s="38">
        <f t="shared" si="42"/>
        <v>9620</v>
      </c>
    </row>
    <row r="2737" spans="1:9" x14ac:dyDescent="0.2">
      <c r="A2737" s="33">
        <v>41313</v>
      </c>
      <c r="B2737" s="36">
        <v>9665</v>
      </c>
      <c r="C2737" s="7">
        <v>9669</v>
      </c>
      <c r="D2737" s="7">
        <v>9700</v>
      </c>
      <c r="E2737" s="7">
        <v>9665</v>
      </c>
      <c r="F2737" s="7">
        <v>9690</v>
      </c>
      <c r="G2737" s="34">
        <v>58</v>
      </c>
      <c r="H2737" s="35">
        <v>-25</v>
      </c>
      <c r="I2737" s="38">
        <f t="shared" si="42"/>
        <v>9667</v>
      </c>
    </row>
    <row r="2738" spans="1:9" x14ac:dyDescent="0.2">
      <c r="A2738" s="33">
        <v>41312</v>
      </c>
      <c r="B2738" s="36">
        <v>9690</v>
      </c>
      <c r="C2738" s="7">
        <v>9695</v>
      </c>
      <c r="D2738" s="7">
        <v>9725</v>
      </c>
      <c r="E2738" s="7">
        <v>9690</v>
      </c>
      <c r="F2738" s="7">
        <v>9710</v>
      </c>
      <c r="G2738" s="34">
        <v>55</v>
      </c>
      <c r="H2738" s="35">
        <v>-15</v>
      </c>
      <c r="I2738" s="38">
        <f t="shared" si="42"/>
        <v>9692.5</v>
      </c>
    </row>
    <row r="2739" spans="1:9" x14ac:dyDescent="0.2">
      <c r="A2739" s="33">
        <v>41311</v>
      </c>
      <c r="B2739" s="36">
        <v>9705</v>
      </c>
      <c r="C2739" s="7">
        <v>9715</v>
      </c>
      <c r="D2739" s="7">
        <v>9705</v>
      </c>
      <c r="E2739" s="7">
        <v>9670</v>
      </c>
      <c r="F2739" s="7">
        <v>9670</v>
      </c>
      <c r="G2739" s="34">
        <v>17</v>
      </c>
      <c r="H2739" s="35">
        <v>32</v>
      </c>
      <c r="I2739" s="38">
        <f t="shared" si="42"/>
        <v>9710</v>
      </c>
    </row>
    <row r="2740" spans="1:9" x14ac:dyDescent="0.2">
      <c r="A2740" s="33">
        <v>41310</v>
      </c>
      <c r="B2740" s="36">
        <v>9673</v>
      </c>
      <c r="C2740" s="7">
        <v>9678</v>
      </c>
      <c r="D2740" s="7">
        <v>9698</v>
      </c>
      <c r="E2740" s="7">
        <v>9673</v>
      </c>
      <c r="F2740" s="7">
        <v>9685</v>
      </c>
      <c r="G2740" s="34">
        <v>59</v>
      </c>
      <c r="H2740" s="35">
        <v>5</v>
      </c>
      <c r="I2740" s="38">
        <f t="shared" si="42"/>
        <v>9675.5</v>
      </c>
    </row>
    <row r="2741" spans="1:9" x14ac:dyDescent="0.2">
      <c r="A2741" s="33">
        <v>41309</v>
      </c>
      <c r="B2741" s="36">
        <v>9668</v>
      </c>
      <c r="C2741" s="7">
        <v>9673</v>
      </c>
      <c r="D2741" s="7">
        <v>9687</v>
      </c>
      <c r="E2741" s="7">
        <v>9650</v>
      </c>
      <c r="F2741" s="7">
        <v>9680</v>
      </c>
      <c r="G2741" s="34">
        <v>36</v>
      </c>
      <c r="H2741" s="35">
        <v>-32</v>
      </c>
      <c r="I2741" s="38">
        <f t="shared" si="42"/>
        <v>9670.5</v>
      </c>
    </row>
    <row r="2742" spans="1:9" x14ac:dyDescent="0.2">
      <c r="A2742" s="33">
        <v>41306</v>
      </c>
      <c r="B2742" s="36">
        <v>9700</v>
      </c>
      <c r="C2742" s="7">
        <v>9725</v>
      </c>
      <c r="D2742" s="7">
        <v>9770</v>
      </c>
      <c r="E2742" s="7">
        <v>9690</v>
      </c>
      <c r="F2742" s="7">
        <v>9690</v>
      </c>
      <c r="G2742" s="34">
        <v>60</v>
      </c>
      <c r="H2742" s="35">
        <v>10</v>
      </c>
      <c r="I2742" s="38">
        <f t="shared" si="42"/>
        <v>9712.5</v>
      </c>
    </row>
    <row r="2743" spans="1:9" x14ac:dyDescent="0.2">
      <c r="A2743" s="33">
        <v>41305</v>
      </c>
      <c r="B2743" s="36">
        <v>9690</v>
      </c>
      <c r="C2743" s="7">
        <v>9705</v>
      </c>
      <c r="D2743" s="7">
        <v>9770</v>
      </c>
      <c r="E2743" s="7">
        <v>9659</v>
      </c>
      <c r="F2743" s="7">
        <v>9690</v>
      </c>
      <c r="G2743" s="34">
        <v>130</v>
      </c>
      <c r="H2743" s="35">
        <v>10</v>
      </c>
      <c r="I2743" s="38">
        <f t="shared" si="42"/>
        <v>9697.5</v>
      </c>
    </row>
    <row r="2744" spans="1:9" x14ac:dyDescent="0.2">
      <c r="A2744" s="33">
        <v>41304</v>
      </c>
      <c r="B2744" s="36">
        <v>9680</v>
      </c>
      <c r="C2744" s="7">
        <v>9695</v>
      </c>
      <c r="D2744" s="7">
        <v>9765</v>
      </c>
      <c r="E2744" s="7">
        <v>9679</v>
      </c>
      <c r="F2744" s="7">
        <v>9680</v>
      </c>
      <c r="G2744" s="34">
        <v>96</v>
      </c>
      <c r="H2744" s="35">
        <v>10</v>
      </c>
      <c r="I2744" s="38">
        <f t="shared" si="42"/>
        <v>9687.5</v>
      </c>
    </row>
    <row r="2745" spans="1:9" x14ac:dyDescent="0.2">
      <c r="A2745" s="33">
        <v>41303</v>
      </c>
      <c r="B2745" s="36">
        <v>9670</v>
      </c>
      <c r="C2745" s="7">
        <v>9685</v>
      </c>
      <c r="D2745" s="7">
        <v>9751</v>
      </c>
      <c r="E2745" s="7">
        <v>9665</v>
      </c>
      <c r="F2745" s="7">
        <v>9670</v>
      </c>
      <c r="G2745" s="34">
        <v>113</v>
      </c>
      <c r="H2745" s="35">
        <v>0</v>
      </c>
      <c r="I2745" s="38">
        <f t="shared" si="42"/>
        <v>9677.5</v>
      </c>
    </row>
    <row r="2746" spans="1:9" x14ac:dyDescent="0.2">
      <c r="A2746" s="33">
        <v>41302</v>
      </c>
      <c r="B2746" s="36">
        <v>9670</v>
      </c>
      <c r="C2746" s="7">
        <v>9685</v>
      </c>
      <c r="D2746" s="7">
        <v>9730</v>
      </c>
      <c r="E2746" s="7">
        <v>9659</v>
      </c>
      <c r="F2746" s="7">
        <v>9660</v>
      </c>
      <c r="G2746" s="34">
        <v>85</v>
      </c>
      <c r="H2746" s="35">
        <v>25</v>
      </c>
      <c r="I2746" s="38">
        <f t="shared" si="42"/>
        <v>9677.5</v>
      </c>
    </row>
    <row r="2747" spans="1:9" x14ac:dyDescent="0.2">
      <c r="A2747" s="33">
        <v>41299</v>
      </c>
      <c r="B2747" s="36">
        <v>9645</v>
      </c>
      <c r="C2747" s="7">
        <v>9660</v>
      </c>
      <c r="D2747" s="7">
        <v>9670</v>
      </c>
      <c r="E2747" s="7">
        <v>9629</v>
      </c>
      <c r="F2747" s="7">
        <v>9630</v>
      </c>
      <c r="G2747" s="34">
        <v>45</v>
      </c>
      <c r="H2747" s="35">
        <v>30</v>
      </c>
      <c r="I2747" s="38">
        <f t="shared" si="42"/>
        <v>9652.5</v>
      </c>
    </row>
    <row r="2748" spans="1:9" x14ac:dyDescent="0.2">
      <c r="A2748" s="33">
        <v>41298</v>
      </c>
      <c r="B2748" s="36">
        <v>9615</v>
      </c>
      <c r="C2748" s="7">
        <v>9635</v>
      </c>
      <c r="D2748" s="7"/>
      <c r="E2748" s="7"/>
      <c r="F2748" s="7"/>
      <c r="G2748" s="34"/>
      <c r="H2748" s="35">
        <v>0</v>
      </c>
      <c r="I2748" s="38">
        <f t="shared" si="42"/>
        <v>9625</v>
      </c>
    </row>
    <row r="2749" spans="1:9" x14ac:dyDescent="0.2">
      <c r="A2749" s="33">
        <v>41297</v>
      </c>
      <c r="B2749" s="36">
        <v>9615</v>
      </c>
      <c r="C2749" s="7">
        <v>9635</v>
      </c>
      <c r="D2749" s="7">
        <v>9660</v>
      </c>
      <c r="E2749" s="7">
        <v>9615</v>
      </c>
      <c r="F2749" s="7">
        <v>9630</v>
      </c>
      <c r="G2749" s="34">
        <v>89</v>
      </c>
      <c r="H2749" s="35">
        <v>5</v>
      </c>
      <c r="I2749" s="38">
        <f t="shared" si="42"/>
        <v>9625</v>
      </c>
    </row>
    <row r="2750" spans="1:9" x14ac:dyDescent="0.2">
      <c r="A2750" s="33">
        <v>41296</v>
      </c>
      <c r="B2750" s="36">
        <v>9610</v>
      </c>
      <c r="C2750" s="7">
        <v>9630</v>
      </c>
      <c r="D2750" s="7">
        <v>9661</v>
      </c>
      <c r="E2750" s="7">
        <v>9610</v>
      </c>
      <c r="F2750" s="7">
        <v>9630</v>
      </c>
      <c r="G2750" s="34">
        <v>103</v>
      </c>
      <c r="H2750" s="35">
        <v>0</v>
      </c>
      <c r="I2750" s="38">
        <f t="shared" si="42"/>
        <v>9620</v>
      </c>
    </row>
    <row r="2751" spans="1:9" x14ac:dyDescent="0.2">
      <c r="A2751" s="33">
        <v>41295</v>
      </c>
      <c r="B2751" s="36">
        <v>9610</v>
      </c>
      <c r="C2751" s="7">
        <v>9625</v>
      </c>
      <c r="D2751" s="7">
        <v>9720</v>
      </c>
      <c r="E2751" s="7">
        <v>9610</v>
      </c>
      <c r="F2751" s="7">
        <v>9650</v>
      </c>
      <c r="G2751" s="34">
        <v>108</v>
      </c>
      <c r="H2751" s="35">
        <v>-10</v>
      </c>
      <c r="I2751" s="38">
        <f t="shared" si="42"/>
        <v>9617.5</v>
      </c>
    </row>
    <row r="2752" spans="1:9" x14ac:dyDescent="0.2">
      <c r="A2752" s="33">
        <v>41292</v>
      </c>
      <c r="B2752" s="36">
        <v>9620</v>
      </c>
      <c r="C2752" s="7">
        <v>9640</v>
      </c>
      <c r="D2752" s="7">
        <v>9720</v>
      </c>
      <c r="E2752" s="7">
        <v>9610</v>
      </c>
      <c r="F2752" s="7">
        <v>9660</v>
      </c>
      <c r="G2752" s="34">
        <v>108</v>
      </c>
      <c r="H2752" s="35">
        <v>-22</v>
      </c>
      <c r="I2752" s="38">
        <f t="shared" si="42"/>
        <v>9630</v>
      </c>
    </row>
    <row r="2753" spans="1:9" x14ac:dyDescent="0.2">
      <c r="A2753" s="33">
        <v>41291</v>
      </c>
      <c r="B2753" s="36">
        <v>9642</v>
      </c>
      <c r="C2753" s="7">
        <v>9657</v>
      </c>
      <c r="D2753" s="7">
        <v>9705</v>
      </c>
      <c r="E2753" s="7">
        <v>9642</v>
      </c>
      <c r="F2753" s="7">
        <v>9680</v>
      </c>
      <c r="G2753" s="34">
        <v>86</v>
      </c>
      <c r="H2753" s="35">
        <v>-8</v>
      </c>
      <c r="I2753" s="38">
        <f t="shared" si="42"/>
        <v>9649.5</v>
      </c>
    </row>
    <row r="2754" spans="1:9" x14ac:dyDescent="0.2">
      <c r="A2754" s="33">
        <v>41290</v>
      </c>
      <c r="B2754" s="36">
        <v>9650</v>
      </c>
      <c r="C2754" s="7">
        <v>9660</v>
      </c>
      <c r="D2754" s="7">
        <v>9701</v>
      </c>
      <c r="E2754" s="7">
        <v>9650</v>
      </c>
      <c r="F2754" s="7">
        <v>9660</v>
      </c>
      <c r="G2754" s="34">
        <v>77</v>
      </c>
      <c r="H2754" s="35">
        <v>10</v>
      </c>
      <c r="I2754" s="38">
        <f t="shared" si="42"/>
        <v>9655</v>
      </c>
    </row>
    <row r="2755" spans="1:9" x14ac:dyDescent="0.2">
      <c r="A2755" s="33">
        <v>41289</v>
      </c>
      <c r="B2755" s="36">
        <v>9640</v>
      </c>
      <c r="C2755" s="7">
        <v>9660</v>
      </c>
      <c r="D2755" s="7">
        <v>9730</v>
      </c>
      <c r="E2755" s="7">
        <v>9640</v>
      </c>
      <c r="F2755" s="7">
        <v>9680</v>
      </c>
      <c r="G2755" s="34">
        <v>69</v>
      </c>
      <c r="H2755" s="35">
        <v>10</v>
      </c>
      <c r="I2755" s="38">
        <f t="shared" si="42"/>
        <v>9650</v>
      </c>
    </row>
    <row r="2756" spans="1:9" x14ac:dyDescent="0.2">
      <c r="A2756" s="33">
        <v>41288</v>
      </c>
      <c r="B2756" s="36">
        <v>9630</v>
      </c>
      <c r="C2756" s="7">
        <v>9640</v>
      </c>
      <c r="D2756" s="7">
        <v>9670</v>
      </c>
      <c r="E2756" s="7">
        <v>9630</v>
      </c>
      <c r="F2756" s="7">
        <v>9640</v>
      </c>
      <c r="G2756" s="34">
        <v>127</v>
      </c>
      <c r="H2756" s="35">
        <v>0</v>
      </c>
      <c r="I2756" s="38">
        <f t="shared" si="42"/>
        <v>9635</v>
      </c>
    </row>
    <row r="2757" spans="1:9" x14ac:dyDescent="0.2">
      <c r="A2757" s="33">
        <v>41285</v>
      </c>
      <c r="B2757" s="36">
        <v>9630</v>
      </c>
      <c r="C2757" s="7">
        <v>9640</v>
      </c>
      <c r="D2757" s="7">
        <v>9700</v>
      </c>
      <c r="E2757" s="7">
        <v>9629</v>
      </c>
      <c r="F2757" s="7">
        <v>9700</v>
      </c>
      <c r="G2757" s="34">
        <v>99</v>
      </c>
      <c r="H2757" s="35">
        <v>-20</v>
      </c>
      <c r="I2757" s="38">
        <f t="shared" si="42"/>
        <v>9635</v>
      </c>
    </row>
    <row r="2758" spans="1:9" x14ac:dyDescent="0.2">
      <c r="A2758" s="33">
        <v>41284</v>
      </c>
      <c r="B2758" s="36">
        <v>9650</v>
      </c>
      <c r="C2758" s="7">
        <v>9670</v>
      </c>
      <c r="D2758" s="7">
        <v>9709</v>
      </c>
      <c r="E2758" s="7">
        <v>9650</v>
      </c>
      <c r="F2758" s="7">
        <v>9700</v>
      </c>
      <c r="G2758" s="34">
        <v>178</v>
      </c>
      <c r="H2758" s="35">
        <v>0</v>
      </c>
      <c r="I2758" s="38">
        <f t="shared" si="42"/>
        <v>9660</v>
      </c>
    </row>
    <row r="2759" spans="1:9" x14ac:dyDescent="0.2">
      <c r="A2759" s="33">
        <v>41283</v>
      </c>
      <c r="B2759" s="36">
        <v>9650</v>
      </c>
      <c r="C2759" s="7">
        <v>9670</v>
      </c>
      <c r="D2759" s="7">
        <v>9740</v>
      </c>
      <c r="E2759" s="7">
        <v>9645</v>
      </c>
      <c r="F2759" s="7">
        <v>9700</v>
      </c>
      <c r="G2759" s="34">
        <v>184</v>
      </c>
      <c r="H2759" s="35">
        <v>-10</v>
      </c>
      <c r="I2759" s="38">
        <f t="shared" si="42"/>
        <v>9660</v>
      </c>
    </row>
    <row r="2760" spans="1:9" x14ac:dyDescent="0.2">
      <c r="A2760" s="33">
        <v>41282</v>
      </c>
      <c r="B2760" s="36">
        <v>9660</v>
      </c>
      <c r="C2760" s="7">
        <v>9680</v>
      </c>
      <c r="D2760" s="7">
        <v>9730</v>
      </c>
      <c r="E2760" s="7">
        <v>9659</v>
      </c>
      <c r="F2760" s="7">
        <v>9675</v>
      </c>
      <c r="G2760" s="34">
        <v>56</v>
      </c>
      <c r="H2760" s="35">
        <v>0</v>
      </c>
      <c r="I2760" s="38">
        <f t="shared" si="42"/>
        <v>9670</v>
      </c>
    </row>
    <row r="2761" spans="1:9" x14ac:dyDescent="0.2">
      <c r="A2761" s="33">
        <v>41281</v>
      </c>
      <c r="B2761" s="36">
        <v>9660</v>
      </c>
      <c r="C2761" s="7">
        <v>9675</v>
      </c>
      <c r="D2761" s="7">
        <v>9700</v>
      </c>
      <c r="E2761" s="7">
        <v>9655</v>
      </c>
      <c r="F2761" s="7">
        <v>9655</v>
      </c>
      <c r="G2761" s="34">
        <v>36</v>
      </c>
      <c r="H2761" s="35">
        <v>5</v>
      </c>
      <c r="I2761" s="38">
        <f t="shared" si="42"/>
        <v>9667.5</v>
      </c>
    </row>
    <row r="2762" spans="1:9" x14ac:dyDescent="0.2">
      <c r="A2762" s="33">
        <v>41278</v>
      </c>
      <c r="B2762" s="36">
        <v>9655</v>
      </c>
      <c r="C2762" s="7">
        <v>9665</v>
      </c>
      <c r="D2762" s="7">
        <v>9671</v>
      </c>
      <c r="E2762" s="7">
        <v>9655</v>
      </c>
      <c r="F2762" s="7">
        <v>9660</v>
      </c>
      <c r="G2762" s="34">
        <v>33</v>
      </c>
      <c r="H2762" s="35">
        <v>10</v>
      </c>
      <c r="I2762" s="38">
        <f t="shared" si="42"/>
        <v>9660</v>
      </c>
    </row>
    <row r="2763" spans="1:9" x14ac:dyDescent="0.2">
      <c r="A2763" s="33">
        <v>41277</v>
      </c>
      <c r="B2763" s="36">
        <v>9645</v>
      </c>
      <c r="C2763" s="7">
        <v>9665</v>
      </c>
      <c r="D2763" s="7">
        <v>9670</v>
      </c>
      <c r="E2763" s="7">
        <v>9643</v>
      </c>
      <c r="F2763" s="7">
        <v>9650</v>
      </c>
      <c r="G2763" s="34">
        <v>66</v>
      </c>
      <c r="H2763" s="35">
        <v>0</v>
      </c>
      <c r="I2763" s="38">
        <f t="shared" si="42"/>
        <v>9655</v>
      </c>
    </row>
    <row r="2764" spans="1:9" x14ac:dyDescent="0.2">
      <c r="A2764" s="33">
        <v>41276</v>
      </c>
      <c r="B2764" s="36">
        <v>9645</v>
      </c>
      <c r="C2764" s="7">
        <v>9655</v>
      </c>
      <c r="D2764" s="7">
        <v>9680</v>
      </c>
      <c r="E2764" s="7">
        <v>9640</v>
      </c>
      <c r="F2764" s="7">
        <v>9650</v>
      </c>
      <c r="G2764" s="34">
        <v>101</v>
      </c>
      <c r="H2764" s="35">
        <v>15</v>
      </c>
      <c r="I2764" s="38">
        <f t="shared" si="42"/>
        <v>9650</v>
      </c>
    </row>
    <row r="2765" spans="1:9" x14ac:dyDescent="0.2">
      <c r="A2765" s="33">
        <v>41275</v>
      </c>
      <c r="B2765" s="36">
        <v>9630</v>
      </c>
      <c r="C2765" s="7">
        <v>9645</v>
      </c>
      <c r="D2765" s="7"/>
      <c r="E2765" s="7"/>
      <c r="F2765" s="7"/>
      <c r="G2765" s="34"/>
      <c r="H2765" s="35">
        <v>0</v>
      </c>
      <c r="I2765" s="38">
        <f t="shared" si="42"/>
        <v>9637.5</v>
      </c>
    </row>
    <row r="2766" spans="1:9" x14ac:dyDescent="0.2">
      <c r="A2766" s="33">
        <v>41274</v>
      </c>
      <c r="B2766" s="36">
        <v>9630</v>
      </c>
      <c r="C2766" s="7">
        <v>9645</v>
      </c>
      <c r="D2766" s="7"/>
      <c r="E2766" s="7"/>
      <c r="F2766" s="7"/>
      <c r="G2766" s="34"/>
      <c r="H2766" s="35">
        <v>0</v>
      </c>
      <c r="I2766" s="38">
        <f t="shared" si="42"/>
        <v>9637.5</v>
      </c>
    </row>
    <row r="2767" spans="1:9" x14ac:dyDescent="0.2">
      <c r="A2767" s="33">
        <v>41271</v>
      </c>
      <c r="B2767" s="36">
        <v>9630</v>
      </c>
      <c r="C2767" s="7">
        <v>9645</v>
      </c>
      <c r="D2767" s="7">
        <v>9684</v>
      </c>
      <c r="E2767" s="7">
        <v>9630</v>
      </c>
      <c r="F2767" s="7">
        <v>9660</v>
      </c>
      <c r="G2767" s="34">
        <v>114</v>
      </c>
      <c r="H2767" s="35">
        <v>-25</v>
      </c>
      <c r="I2767" s="38">
        <f t="shared" si="42"/>
        <v>9637.5</v>
      </c>
    </row>
    <row r="2768" spans="1:9" x14ac:dyDescent="0.2">
      <c r="A2768" s="33">
        <v>41270</v>
      </c>
      <c r="B2768" s="36">
        <v>9655</v>
      </c>
      <c r="C2768" s="7">
        <v>9670</v>
      </c>
      <c r="D2768" s="7">
        <v>9700</v>
      </c>
      <c r="E2768" s="7">
        <v>9655</v>
      </c>
      <c r="F2768" s="7">
        <v>9670</v>
      </c>
      <c r="G2768" s="34">
        <v>60</v>
      </c>
      <c r="H2768" s="35">
        <v>5</v>
      </c>
      <c r="I2768" s="38">
        <f t="shared" si="42"/>
        <v>9662.5</v>
      </c>
    </row>
    <row r="2769" spans="1:9" x14ac:dyDescent="0.2">
      <c r="A2769" s="33">
        <v>41269</v>
      </c>
      <c r="B2769" s="36">
        <v>9650</v>
      </c>
      <c r="C2769" s="7">
        <v>9665</v>
      </c>
      <c r="D2769" s="7">
        <v>9700</v>
      </c>
      <c r="E2769" s="7">
        <v>9650</v>
      </c>
      <c r="F2769" s="7">
        <v>9670</v>
      </c>
      <c r="G2769" s="34">
        <v>66</v>
      </c>
      <c r="H2769" s="35">
        <v>0</v>
      </c>
      <c r="I2769" s="38">
        <f t="shared" si="42"/>
        <v>9657.5</v>
      </c>
    </row>
    <row r="2770" spans="1:9" x14ac:dyDescent="0.2">
      <c r="A2770" s="33">
        <v>41268</v>
      </c>
      <c r="B2770" s="36">
        <v>9650</v>
      </c>
      <c r="C2770" s="7">
        <v>9665</v>
      </c>
      <c r="D2770" s="7"/>
      <c r="E2770" s="7"/>
      <c r="F2770" s="7"/>
      <c r="G2770" s="34"/>
      <c r="H2770" s="35">
        <v>0</v>
      </c>
      <c r="I2770" s="38">
        <f t="shared" si="42"/>
        <v>9657.5</v>
      </c>
    </row>
    <row r="2771" spans="1:9" x14ac:dyDescent="0.2">
      <c r="A2771" s="33">
        <v>41267</v>
      </c>
      <c r="B2771" s="36">
        <v>9650</v>
      </c>
      <c r="C2771" s="7">
        <v>9665</v>
      </c>
      <c r="D2771" s="7"/>
      <c r="E2771" s="7"/>
      <c r="F2771" s="7"/>
      <c r="G2771" s="34"/>
      <c r="H2771" s="35">
        <v>0</v>
      </c>
      <c r="I2771" s="38">
        <f t="shared" si="42"/>
        <v>9657.5</v>
      </c>
    </row>
    <row r="2772" spans="1:9" x14ac:dyDescent="0.2">
      <c r="A2772" s="33">
        <v>41264</v>
      </c>
      <c r="B2772" s="36">
        <v>9650</v>
      </c>
      <c r="C2772" s="7">
        <v>9665</v>
      </c>
      <c r="D2772" s="7">
        <v>9685</v>
      </c>
      <c r="E2772" s="7">
        <v>9650</v>
      </c>
      <c r="F2772" s="7">
        <v>9670</v>
      </c>
      <c r="G2772" s="34">
        <v>55</v>
      </c>
      <c r="H2772" s="35">
        <v>5</v>
      </c>
      <c r="I2772" s="38">
        <f t="shared" si="42"/>
        <v>9657.5</v>
      </c>
    </row>
    <row r="2773" spans="1:9" x14ac:dyDescent="0.2">
      <c r="A2773" s="33">
        <v>41263</v>
      </c>
      <c r="B2773" s="36">
        <v>9645</v>
      </c>
      <c r="C2773" s="7">
        <v>9660</v>
      </c>
      <c r="D2773" s="7">
        <v>9680</v>
      </c>
      <c r="E2773" s="7">
        <v>9645</v>
      </c>
      <c r="F2773" s="7">
        <v>9655</v>
      </c>
      <c r="G2773" s="34">
        <v>14</v>
      </c>
      <c r="H2773" s="35">
        <v>0</v>
      </c>
      <c r="I2773" s="38">
        <f t="shared" si="42"/>
        <v>9652.5</v>
      </c>
    </row>
    <row r="2774" spans="1:9" x14ac:dyDescent="0.2">
      <c r="A2774" s="33">
        <v>41262</v>
      </c>
      <c r="B2774" s="36">
        <v>9645</v>
      </c>
      <c r="C2774" s="7">
        <v>9655</v>
      </c>
      <c r="D2774" s="7">
        <v>9665</v>
      </c>
      <c r="E2774" s="7">
        <v>9645</v>
      </c>
      <c r="F2774" s="7">
        <v>9647</v>
      </c>
      <c r="G2774" s="34">
        <v>19</v>
      </c>
      <c r="H2774" s="35">
        <v>5</v>
      </c>
      <c r="I2774" s="38">
        <f t="shared" si="42"/>
        <v>9650</v>
      </c>
    </row>
    <row r="2775" spans="1:9" x14ac:dyDescent="0.2">
      <c r="A2775" s="33">
        <v>41261</v>
      </c>
      <c r="B2775" s="36">
        <v>9640</v>
      </c>
      <c r="C2775" s="7">
        <v>9647</v>
      </c>
      <c r="D2775" s="7">
        <v>9645</v>
      </c>
      <c r="E2775" s="7">
        <v>9639</v>
      </c>
      <c r="F2775" s="7">
        <v>9640</v>
      </c>
      <c r="G2775" s="34">
        <v>13</v>
      </c>
      <c r="H2775" s="35">
        <v>5</v>
      </c>
      <c r="I2775" s="38">
        <f t="shared" si="42"/>
        <v>9643.5</v>
      </c>
    </row>
    <row r="2776" spans="1:9" x14ac:dyDescent="0.2">
      <c r="A2776" s="33">
        <v>41260</v>
      </c>
      <c r="B2776" s="36">
        <v>9635</v>
      </c>
      <c r="C2776" s="7">
        <v>9645</v>
      </c>
      <c r="D2776" s="7">
        <v>9641</v>
      </c>
      <c r="E2776" s="7">
        <v>9635</v>
      </c>
      <c r="F2776" s="7">
        <v>9640</v>
      </c>
      <c r="G2776" s="34">
        <v>29</v>
      </c>
      <c r="H2776" s="35">
        <v>5</v>
      </c>
      <c r="I2776" s="38">
        <f t="shared" si="42"/>
        <v>9640</v>
      </c>
    </row>
    <row r="2777" spans="1:9" x14ac:dyDescent="0.2">
      <c r="A2777" s="33">
        <v>41257</v>
      </c>
      <c r="B2777" s="36">
        <v>9630</v>
      </c>
      <c r="C2777" s="7">
        <v>9645</v>
      </c>
      <c r="D2777" s="7">
        <v>9645</v>
      </c>
      <c r="E2777" s="7">
        <v>9628</v>
      </c>
      <c r="F2777" s="7">
        <v>9640</v>
      </c>
      <c r="G2777" s="34">
        <v>30</v>
      </c>
      <c r="H2777" s="35">
        <v>0</v>
      </c>
      <c r="I2777" s="38">
        <f t="shared" si="42"/>
        <v>9637.5</v>
      </c>
    </row>
    <row r="2778" spans="1:9" x14ac:dyDescent="0.2">
      <c r="A2778" s="33">
        <v>41256</v>
      </c>
      <c r="B2778" s="36">
        <v>9630</v>
      </c>
      <c r="C2778" s="7">
        <v>9640</v>
      </c>
      <c r="D2778" s="7">
        <v>9645</v>
      </c>
      <c r="E2778" s="7">
        <v>9630</v>
      </c>
      <c r="F2778" s="7">
        <v>9630</v>
      </c>
      <c r="G2778" s="34">
        <v>57</v>
      </c>
      <c r="H2778" s="35">
        <v>5</v>
      </c>
      <c r="I2778" s="38">
        <f t="shared" si="42"/>
        <v>9635</v>
      </c>
    </row>
    <row r="2779" spans="1:9" x14ac:dyDescent="0.2">
      <c r="A2779" s="33">
        <v>41255</v>
      </c>
      <c r="B2779" s="36">
        <v>9625</v>
      </c>
      <c r="C2779" s="7">
        <v>9635</v>
      </c>
      <c r="D2779" s="7">
        <v>9645</v>
      </c>
      <c r="E2779" s="7">
        <v>9620</v>
      </c>
      <c r="F2779" s="7">
        <v>9635</v>
      </c>
      <c r="G2779" s="34">
        <v>70</v>
      </c>
      <c r="H2779" s="35">
        <v>-5</v>
      </c>
      <c r="I2779" s="38">
        <f t="shared" si="42"/>
        <v>9630</v>
      </c>
    </row>
    <row r="2780" spans="1:9" x14ac:dyDescent="0.2">
      <c r="A2780" s="33">
        <v>41254</v>
      </c>
      <c r="B2780" s="36">
        <v>9630</v>
      </c>
      <c r="C2780" s="7">
        <v>9640</v>
      </c>
      <c r="D2780" s="7">
        <v>9650</v>
      </c>
      <c r="E2780" s="7">
        <v>9624</v>
      </c>
      <c r="F2780" s="7">
        <v>9624</v>
      </c>
      <c r="G2780" s="34">
        <v>75</v>
      </c>
      <c r="H2780" s="35">
        <v>5</v>
      </c>
      <c r="I2780" s="38">
        <f t="shared" si="42"/>
        <v>9635</v>
      </c>
    </row>
    <row r="2781" spans="1:9" x14ac:dyDescent="0.2">
      <c r="A2781" s="33">
        <v>41253</v>
      </c>
      <c r="B2781" s="36">
        <v>9625</v>
      </c>
      <c r="C2781" s="7">
        <v>9635</v>
      </c>
      <c r="D2781" s="7">
        <v>9650</v>
      </c>
      <c r="E2781" s="7">
        <v>9610</v>
      </c>
      <c r="F2781" s="7">
        <v>9610</v>
      </c>
      <c r="G2781" s="34">
        <v>65</v>
      </c>
      <c r="H2781" s="35">
        <v>10</v>
      </c>
      <c r="I2781" s="38">
        <f t="shared" si="42"/>
        <v>9630</v>
      </c>
    </row>
    <row r="2782" spans="1:9" x14ac:dyDescent="0.2">
      <c r="A2782" s="33">
        <v>41250</v>
      </c>
      <c r="B2782" s="36">
        <v>9615</v>
      </c>
      <c r="C2782" s="7">
        <v>9625</v>
      </c>
      <c r="D2782" s="7">
        <v>9620</v>
      </c>
      <c r="E2782" s="7">
        <v>9610</v>
      </c>
      <c r="F2782" s="7">
        <v>9610</v>
      </c>
      <c r="G2782" s="34">
        <v>30</v>
      </c>
      <c r="H2782" s="35">
        <v>10</v>
      </c>
      <c r="I2782" s="38">
        <f t="shared" si="42"/>
        <v>9620</v>
      </c>
    </row>
    <row r="2783" spans="1:9" x14ac:dyDescent="0.2">
      <c r="A2783" s="33">
        <v>41249</v>
      </c>
      <c r="B2783" s="36">
        <v>9605</v>
      </c>
      <c r="C2783" s="7">
        <v>9615</v>
      </c>
      <c r="D2783" s="7">
        <v>9620</v>
      </c>
      <c r="E2783" s="7">
        <v>9600</v>
      </c>
      <c r="F2783" s="7">
        <v>9600</v>
      </c>
      <c r="G2783" s="34">
        <v>19</v>
      </c>
      <c r="H2783" s="35">
        <v>10</v>
      </c>
      <c r="I2783" s="38">
        <f t="shared" si="42"/>
        <v>9610</v>
      </c>
    </row>
    <row r="2784" spans="1:9" x14ac:dyDescent="0.2">
      <c r="A2784" s="33">
        <v>41248</v>
      </c>
      <c r="B2784" s="36">
        <v>9595</v>
      </c>
      <c r="C2784" s="7">
        <v>9605</v>
      </c>
      <c r="D2784" s="7">
        <v>9610</v>
      </c>
      <c r="E2784" s="7">
        <v>9595</v>
      </c>
      <c r="F2784" s="7">
        <v>9595</v>
      </c>
      <c r="G2784" s="34">
        <v>22</v>
      </c>
      <c r="H2784" s="35">
        <v>0</v>
      </c>
      <c r="I2784" s="38">
        <f t="shared" ref="I2784:I2847" si="43">+(B2784+C2784)*0.5</f>
        <v>9600</v>
      </c>
    </row>
    <row r="2785" spans="1:9" x14ac:dyDescent="0.2">
      <c r="A2785" s="33">
        <v>41247</v>
      </c>
      <c r="B2785" s="36">
        <v>9595</v>
      </c>
      <c r="C2785" s="7">
        <v>9605</v>
      </c>
      <c r="D2785" s="7">
        <v>9610</v>
      </c>
      <c r="E2785" s="7">
        <v>9595</v>
      </c>
      <c r="F2785" s="7">
        <v>9600</v>
      </c>
      <c r="G2785" s="34">
        <v>15</v>
      </c>
      <c r="H2785" s="35">
        <v>5</v>
      </c>
      <c r="I2785" s="38">
        <f t="shared" si="43"/>
        <v>9600</v>
      </c>
    </row>
    <row r="2786" spans="1:9" x14ac:dyDescent="0.2">
      <c r="A2786" s="33">
        <v>41246</v>
      </c>
      <c r="B2786" s="36">
        <v>9590</v>
      </c>
      <c r="C2786" s="7">
        <v>9600</v>
      </c>
      <c r="D2786" s="7">
        <v>9605</v>
      </c>
      <c r="E2786" s="7">
        <v>9588</v>
      </c>
      <c r="F2786" s="7">
        <v>9588</v>
      </c>
      <c r="G2786" s="34">
        <v>22</v>
      </c>
      <c r="H2786" s="35">
        <v>2</v>
      </c>
      <c r="I2786" s="38">
        <f t="shared" si="43"/>
        <v>9595</v>
      </c>
    </row>
    <row r="2787" spans="1:9" x14ac:dyDescent="0.2">
      <c r="A2787" s="33">
        <v>41243</v>
      </c>
      <c r="B2787" s="36">
        <v>9588</v>
      </c>
      <c r="C2787" s="7">
        <v>9599</v>
      </c>
      <c r="D2787" s="7">
        <v>9605</v>
      </c>
      <c r="E2787" s="7">
        <v>9584</v>
      </c>
      <c r="F2787" s="7">
        <v>9600</v>
      </c>
      <c r="G2787" s="34">
        <v>37</v>
      </c>
      <c r="H2787" s="35">
        <v>-7</v>
      </c>
      <c r="I2787" s="38">
        <f t="shared" si="43"/>
        <v>9593.5</v>
      </c>
    </row>
    <row r="2788" spans="1:9" x14ac:dyDescent="0.2">
      <c r="A2788" s="33">
        <v>41242</v>
      </c>
      <c r="B2788" s="36">
        <v>9595</v>
      </c>
      <c r="C2788" s="7">
        <v>9605</v>
      </c>
      <c r="D2788" s="7">
        <v>9610</v>
      </c>
      <c r="E2788" s="7">
        <v>9590</v>
      </c>
      <c r="F2788" s="7">
        <v>9605</v>
      </c>
      <c r="G2788" s="34">
        <v>50</v>
      </c>
      <c r="H2788" s="35">
        <v>0</v>
      </c>
      <c r="I2788" s="38">
        <f t="shared" si="43"/>
        <v>9600</v>
      </c>
    </row>
    <row r="2789" spans="1:9" x14ac:dyDescent="0.2">
      <c r="A2789" s="33">
        <v>41241</v>
      </c>
      <c r="B2789" s="36">
        <v>9595</v>
      </c>
      <c r="C2789" s="7">
        <v>9605</v>
      </c>
      <c r="D2789" s="7">
        <v>9616</v>
      </c>
      <c r="E2789" s="7">
        <v>9595</v>
      </c>
      <c r="F2789" s="7">
        <v>9600</v>
      </c>
      <c r="G2789" s="34">
        <v>61</v>
      </c>
      <c r="H2789" s="35">
        <v>0</v>
      </c>
      <c r="I2789" s="38">
        <f t="shared" si="43"/>
        <v>9600</v>
      </c>
    </row>
    <row r="2790" spans="1:9" x14ac:dyDescent="0.2">
      <c r="A2790" s="33">
        <v>41240</v>
      </c>
      <c r="B2790" s="36">
        <v>9595</v>
      </c>
      <c r="C2790" s="7">
        <v>9605</v>
      </c>
      <c r="D2790" s="7">
        <v>9600</v>
      </c>
      <c r="E2790" s="7">
        <v>9580</v>
      </c>
      <c r="F2790" s="7">
        <v>9595</v>
      </c>
      <c r="G2790" s="34">
        <v>25</v>
      </c>
      <c r="H2790" s="35">
        <v>0</v>
      </c>
      <c r="I2790" s="38">
        <f t="shared" si="43"/>
        <v>9600</v>
      </c>
    </row>
    <row r="2791" spans="1:9" x14ac:dyDescent="0.2">
      <c r="A2791" s="33">
        <v>41239</v>
      </c>
      <c r="B2791" s="36">
        <v>9595</v>
      </c>
      <c r="C2791" s="7">
        <v>9605</v>
      </c>
      <c r="D2791" s="7">
        <v>9615</v>
      </c>
      <c r="E2791" s="7">
        <v>9590</v>
      </c>
      <c r="F2791" s="7">
        <v>9609</v>
      </c>
      <c r="G2791" s="34">
        <v>46</v>
      </c>
      <c r="H2791" s="35">
        <v>-15</v>
      </c>
      <c r="I2791" s="38">
        <f t="shared" si="43"/>
        <v>9600</v>
      </c>
    </row>
    <row r="2792" spans="1:9" x14ac:dyDescent="0.2">
      <c r="A2792" s="33">
        <v>41236</v>
      </c>
      <c r="B2792" s="36">
        <v>9610</v>
      </c>
      <c r="C2792" s="7">
        <v>9615</v>
      </c>
      <c r="D2792" s="7">
        <v>9630</v>
      </c>
      <c r="E2792" s="7">
        <v>9609</v>
      </c>
      <c r="F2792" s="7">
        <v>9630</v>
      </c>
      <c r="G2792" s="34">
        <v>37</v>
      </c>
      <c r="H2792" s="35">
        <v>-15</v>
      </c>
      <c r="I2792" s="38">
        <f t="shared" si="43"/>
        <v>9612.5</v>
      </c>
    </row>
    <row r="2793" spans="1:9" x14ac:dyDescent="0.2">
      <c r="A2793" s="33">
        <v>41235</v>
      </c>
      <c r="B2793" s="36">
        <v>9625</v>
      </c>
      <c r="C2793" s="7">
        <v>9630</v>
      </c>
      <c r="D2793" s="7">
        <v>9637</v>
      </c>
      <c r="E2793" s="7">
        <v>9625</v>
      </c>
      <c r="F2793" s="7">
        <v>9633</v>
      </c>
      <c r="G2793" s="34">
        <v>16</v>
      </c>
      <c r="H2793" s="35">
        <v>-8</v>
      </c>
      <c r="I2793" s="38">
        <f t="shared" si="43"/>
        <v>9627.5</v>
      </c>
    </row>
    <row r="2794" spans="1:9" x14ac:dyDescent="0.2">
      <c r="A2794" s="33">
        <v>41234</v>
      </c>
      <c r="B2794" s="36">
        <v>9633</v>
      </c>
      <c r="C2794" s="7">
        <v>9638</v>
      </c>
      <c r="D2794" s="7">
        <v>9640</v>
      </c>
      <c r="E2794" s="7">
        <v>9633</v>
      </c>
      <c r="F2794" s="7">
        <v>9635</v>
      </c>
      <c r="G2794" s="34">
        <v>18</v>
      </c>
      <c r="H2794" s="35">
        <v>5</v>
      </c>
      <c r="I2794" s="38">
        <f t="shared" si="43"/>
        <v>9635.5</v>
      </c>
    </row>
    <row r="2795" spans="1:9" x14ac:dyDescent="0.2">
      <c r="A2795" s="33">
        <v>41233</v>
      </c>
      <c r="B2795" s="36">
        <v>9628</v>
      </c>
      <c r="C2795" s="7">
        <v>9638</v>
      </c>
      <c r="D2795" s="7">
        <v>9635</v>
      </c>
      <c r="E2795" s="7">
        <v>9628</v>
      </c>
      <c r="F2795" s="7">
        <v>9631</v>
      </c>
      <c r="G2795" s="34">
        <v>10</v>
      </c>
      <c r="H2795" s="35">
        <v>3</v>
      </c>
      <c r="I2795" s="38">
        <f t="shared" si="43"/>
        <v>9633</v>
      </c>
    </row>
    <row r="2796" spans="1:9" x14ac:dyDescent="0.2">
      <c r="A2796" s="33">
        <v>41232</v>
      </c>
      <c r="B2796" s="36">
        <v>9625</v>
      </c>
      <c r="C2796" s="7">
        <v>9635</v>
      </c>
      <c r="D2796" s="7">
        <v>9638</v>
      </c>
      <c r="E2796" s="7">
        <v>9620</v>
      </c>
      <c r="F2796" s="7">
        <v>9630</v>
      </c>
      <c r="G2796" s="34">
        <v>10</v>
      </c>
      <c r="H2796" s="35">
        <v>5</v>
      </c>
      <c r="I2796" s="38">
        <f t="shared" si="43"/>
        <v>9630</v>
      </c>
    </row>
    <row r="2797" spans="1:9" x14ac:dyDescent="0.2">
      <c r="A2797" s="33">
        <v>41229</v>
      </c>
      <c r="B2797" s="36">
        <v>9620</v>
      </c>
      <c r="C2797" s="7">
        <v>9630</v>
      </c>
      <c r="D2797" s="7"/>
      <c r="E2797" s="7"/>
      <c r="F2797" s="7"/>
      <c r="G2797" s="34"/>
      <c r="H2797" s="35">
        <v>0</v>
      </c>
      <c r="I2797" s="38">
        <f t="shared" si="43"/>
        <v>9625</v>
      </c>
    </row>
    <row r="2798" spans="1:9" x14ac:dyDescent="0.2">
      <c r="A2798" s="33">
        <v>41228</v>
      </c>
      <c r="B2798" s="36">
        <v>9620</v>
      </c>
      <c r="C2798" s="7">
        <v>9630</v>
      </c>
      <c r="D2798" s="7"/>
      <c r="E2798" s="7"/>
      <c r="F2798" s="7"/>
      <c r="G2798" s="34"/>
      <c r="H2798" s="35">
        <v>0</v>
      </c>
      <c r="I2798" s="38">
        <f t="shared" si="43"/>
        <v>9625</v>
      </c>
    </row>
    <row r="2799" spans="1:9" x14ac:dyDescent="0.2">
      <c r="A2799" s="33">
        <v>41227</v>
      </c>
      <c r="B2799" s="36">
        <v>9620</v>
      </c>
      <c r="C2799" s="7">
        <v>9630</v>
      </c>
      <c r="D2799" s="7">
        <v>9635</v>
      </c>
      <c r="E2799" s="7">
        <v>9620</v>
      </c>
      <c r="F2799" s="7">
        <v>9630</v>
      </c>
      <c r="G2799" s="34">
        <v>16</v>
      </c>
      <c r="H2799" s="35">
        <v>0</v>
      </c>
      <c r="I2799" s="38">
        <f t="shared" si="43"/>
        <v>9625</v>
      </c>
    </row>
    <row r="2800" spans="1:9" x14ac:dyDescent="0.2">
      <c r="A2800" s="33">
        <v>41226</v>
      </c>
      <c r="B2800" s="36">
        <v>9620</v>
      </c>
      <c r="C2800" s="7">
        <v>9630</v>
      </c>
      <c r="D2800" s="7">
        <v>9635</v>
      </c>
      <c r="E2800" s="7">
        <v>9620</v>
      </c>
      <c r="F2800" s="7">
        <v>9630</v>
      </c>
      <c r="G2800" s="34">
        <v>14</v>
      </c>
      <c r="H2800" s="35">
        <v>5</v>
      </c>
      <c r="I2800" s="38">
        <f t="shared" si="43"/>
        <v>9625</v>
      </c>
    </row>
    <row r="2801" spans="1:9" x14ac:dyDescent="0.2">
      <c r="A2801" s="33">
        <v>41225</v>
      </c>
      <c r="B2801" s="36">
        <v>9615</v>
      </c>
      <c r="C2801" s="7">
        <v>9625</v>
      </c>
      <c r="D2801" s="7">
        <v>9635</v>
      </c>
      <c r="E2801" s="7">
        <v>9615</v>
      </c>
      <c r="F2801" s="7">
        <v>9630</v>
      </c>
      <c r="G2801" s="34">
        <v>23</v>
      </c>
      <c r="H2801" s="35">
        <v>0</v>
      </c>
      <c r="I2801" s="38">
        <f t="shared" si="43"/>
        <v>9620</v>
      </c>
    </row>
    <row r="2802" spans="1:9" x14ac:dyDescent="0.2">
      <c r="A2802" s="33">
        <v>41222</v>
      </c>
      <c r="B2802" s="36">
        <v>9615</v>
      </c>
      <c r="C2802" s="7">
        <v>9625</v>
      </c>
      <c r="D2802" s="7">
        <v>9630</v>
      </c>
      <c r="E2802" s="7">
        <v>9614</v>
      </c>
      <c r="F2802" s="7">
        <v>9630</v>
      </c>
      <c r="G2802" s="34">
        <v>23</v>
      </c>
      <c r="H2802" s="35">
        <v>-10</v>
      </c>
      <c r="I2802" s="38">
        <f t="shared" si="43"/>
        <v>9620</v>
      </c>
    </row>
    <row r="2803" spans="1:9" x14ac:dyDescent="0.2">
      <c r="A2803" s="33">
        <v>41221</v>
      </c>
      <c r="B2803" s="36">
        <v>9625</v>
      </c>
      <c r="C2803" s="7">
        <v>9635</v>
      </c>
      <c r="D2803" s="7">
        <v>9635</v>
      </c>
      <c r="E2803" s="7">
        <v>9620</v>
      </c>
      <c r="F2803" s="7">
        <v>9620</v>
      </c>
      <c r="G2803" s="34">
        <v>19</v>
      </c>
      <c r="H2803" s="35">
        <v>25</v>
      </c>
      <c r="I2803" s="38">
        <f t="shared" si="43"/>
        <v>9630</v>
      </c>
    </row>
    <row r="2804" spans="1:9" x14ac:dyDescent="0.2">
      <c r="A2804" s="33">
        <v>41220</v>
      </c>
      <c r="B2804" s="36">
        <v>9600</v>
      </c>
      <c r="C2804" s="7">
        <v>9610</v>
      </c>
      <c r="D2804" s="7">
        <v>9635</v>
      </c>
      <c r="E2804" s="7">
        <v>9590</v>
      </c>
      <c r="F2804" s="7">
        <v>9635</v>
      </c>
      <c r="G2804" s="34">
        <v>38</v>
      </c>
      <c r="H2804" s="35">
        <v>-15</v>
      </c>
      <c r="I2804" s="38">
        <f t="shared" si="43"/>
        <v>9605</v>
      </c>
    </row>
    <row r="2805" spans="1:9" x14ac:dyDescent="0.2">
      <c r="A2805" s="33">
        <v>41219</v>
      </c>
      <c r="B2805" s="36">
        <v>9615</v>
      </c>
      <c r="C2805" s="7">
        <v>9625</v>
      </c>
      <c r="D2805" s="7">
        <v>9630</v>
      </c>
      <c r="E2805" s="7">
        <v>9615</v>
      </c>
      <c r="F2805" s="7">
        <v>9630</v>
      </c>
      <c r="G2805" s="34">
        <v>11</v>
      </c>
      <c r="H2805" s="35">
        <v>0</v>
      </c>
      <c r="I2805" s="38">
        <f t="shared" si="43"/>
        <v>9620</v>
      </c>
    </row>
    <row r="2806" spans="1:9" x14ac:dyDescent="0.2">
      <c r="A2806" s="33">
        <v>41218</v>
      </c>
      <c r="B2806" s="36">
        <v>9615</v>
      </c>
      <c r="C2806" s="7">
        <v>9625</v>
      </c>
      <c r="D2806" s="7">
        <v>9630</v>
      </c>
      <c r="E2806" s="7">
        <v>9615</v>
      </c>
      <c r="F2806" s="7">
        <v>9630</v>
      </c>
      <c r="G2806" s="34">
        <v>5</v>
      </c>
      <c r="H2806" s="35">
        <v>5</v>
      </c>
      <c r="I2806" s="38">
        <f t="shared" si="43"/>
        <v>9620</v>
      </c>
    </row>
    <row r="2807" spans="1:9" x14ac:dyDescent="0.2">
      <c r="A2807" s="33">
        <v>41215</v>
      </c>
      <c r="B2807" s="36">
        <v>9610</v>
      </c>
      <c r="C2807" s="7">
        <v>9620</v>
      </c>
      <c r="D2807" s="7">
        <v>9629</v>
      </c>
      <c r="E2807" s="7">
        <v>9610</v>
      </c>
      <c r="F2807" s="7">
        <v>9615</v>
      </c>
      <c r="G2807" s="34">
        <v>11</v>
      </c>
      <c r="H2807" s="35">
        <v>-5</v>
      </c>
      <c r="I2807" s="38">
        <f t="shared" si="43"/>
        <v>9615</v>
      </c>
    </row>
    <row r="2808" spans="1:9" x14ac:dyDescent="0.2">
      <c r="A2808" s="33">
        <v>41214</v>
      </c>
      <c r="B2808" s="36">
        <v>9615</v>
      </c>
      <c r="C2808" s="7">
        <v>9625</v>
      </c>
      <c r="D2808" s="7">
        <v>9630</v>
      </c>
      <c r="E2808" s="7">
        <v>9615</v>
      </c>
      <c r="F2808" s="7">
        <v>9620</v>
      </c>
      <c r="G2808" s="34">
        <v>14</v>
      </c>
      <c r="H2808" s="35">
        <v>15</v>
      </c>
      <c r="I2808" s="38">
        <f t="shared" si="43"/>
        <v>9620</v>
      </c>
    </row>
    <row r="2809" spans="1:9" x14ac:dyDescent="0.2">
      <c r="A2809" s="33">
        <v>41213</v>
      </c>
      <c r="B2809" s="36">
        <v>9600</v>
      </c>
      <c r="C2809" s="7">
        <v>9610</v>
      </c>
      <c r="D2809" s="7">
        <v>9630</v>
      </c>
      <c r="E2809" s="7">
        <v>9600</v>
      </c>
      <c r="F2809" s="7">
        <v>9630</v>
      </c>
      <c r="G2809" s="34">
        <v>15</v>
      </c>
      <c r="H2809" s="35">
        <v>-10</v>
      </c>
      <c r="I2809" s="38">
        <f t="shared" si="43"/>
        <v>9605</v>
      </c>
    </row>
    <row r="2810" spans="1:9" x14ac:dyDescent="0.2">
      <c r="A2810" s="33">
        <v>41212</v>
      </c>
      <c r="B2810" s="36">
        <v>9610</v>
      </c>
      <c r="C2810" s="7">
        <v>9620</v>
      </c>
      <c r="D2810" s="7">
        <v>9628</v>
      </c>
      <c r="E2810" s="7">
        <v>9610</v>
      </c>
      <c r="F2810" s="7">
        <v>9610</v>
      </c>
      <c r="G2810" s="34">
        <v>5</v>
      </c>
      <c r="H2810" s="35">
        <v>10</v>
      </c>
      <c r="I2810" s="38">
        <f t="shared" si="43"/>
        <v>9615</v>
      </c>
    </row>
    <row r="2811" spans="1:9" x14ac:dyDescent="0.2">
      <c r="A2811" s="33">
        <v>41211</v>
      </c>
      <c r="B2811" s="36">
        <v>9600</v>
      </c>
      <c r="C2811" s="7">
        <v>9610</v>
      </c>
      <c r="D2811" s="7">
        <v>9612</v>
      </c>
      <c r="E2811" s="7">
        <v>9600</v>
      </c>
      <c r="F2811" s="7">
        <v>9610</v>
      </c>
      <c r="G2811" s="34">
        <v>5</v>
      </c>
      <c r="H2811" s="35">
        <v>0</v>
      </c>
      <c r="I2811" s="38">
        <f t="shared" si="43"/>
        <v>9605</v>
      </c>
    </row>
    <row r="2812" spans="1:9" x14ac:dyDescent="0.2">
      <c r="A2812" s="33">
        <v>41208</v>
      </c>
      <c r="B2812" s="36">
        <v>9600</v>
      </c>
      <c r="C2812" s="7">
        <v>9610</v>
      </c>
      <c r="D2812" s="7"/>
      <c r="E2812" s="7"/>
      <c r="F2812" s="7"/>
      <c r="G2812" s="34"/>
      <c r="H2812" s="35">
        <v>0</v>
      </c>
      <c r="I2812" s="38">
        <f t="shared" si="43"/>
        <v>9605</v>
      </c>
    </row>
    <row r="2813" spans="1:9" x14ac:dyDescent="0.2">
      <c r="A2813" s="33">
        <v>41207</v>
      </c>
      <c r="B2813" s="36">
        <v>9600</v>
      </c>
      <c r="C2813" s="7">
        <v>9610</v>
      </c>
      <c r="D2813" s="7">
        <v>9615</v>
      </c>
      <c r="E2813" s="7">
        <v>9600</v>
      </c>
      <c r="F2813" s="7">
        <v>9615</v>
      </c>
      <c r="G2813" s="34">
        <v>6</v>
      </c>
      <c r="H2813" s="35">
        <v>-5</v>
      </c>
      <c r="I2813" s="38">
        <f t="shared" si="43"/>
        <v>9605</v>
      </c>
    </row>
    <row r="2814" spans="1:9" x14ac:dyDescent="0.2">
      <c r="A2814" s="33">
        <v>41206</v>
      </c>
      <c r="B2814" s="36">
        <v>9605</v>
      </c>
      <c r="C2814" s="7">
        <v>9615</v>
      </c>
      <c r="D2814" s="7">
        <v>9610</v>
      </c>
      <c r="E2814" s="7">
        <v>9600</v>
      </c>
      <c r="F2814" s="7">
        <v>9605</v>
      </c>
      <c r="G2814" s="34">
        <v>10</v>
      </c>
      <c r="H2814" s="35">
        <v>0</v>
      </c>
      <c r="I2814" s="38">
        <f t="shared" si="43"/>
        <v>9610</v>
      </c>
    </row>
    <row r="2815" spans="1:9" x14ac:dyDescent="0.2">
      <c r="A2815" s="33">
        <v>41205</v>
      </c>
      <c r="B2815" s="36">
        <v>9605</v>
      </c>
      <c r="C2815" s="7">
        <v>9610</v>
      </c>
      <c r="D2815" s="7">
        <v>9610</v>
      </c>
      <c r="E2815" s="7">
        <v>9600</v>
      </c>
      <c r="F2815" s="7">
        <v>9600</v>
      </c>
      <c r="G2815" s="34">
        <v>3</v>
      </c>
      <c r="H2815" s="35">
        <v>5</v>
      </c>
      <c r="I2815" s="38">
        <f t="shared" si="43"/>
        <v>9607.5</v>
      </c>
    </row>
    <row r="2816" spans="1:9" x14ac:dyDescent="0.2">
      <c r="A2816" s="33">
        <v>41204</v>
      </c>
      <c r="B2816" s="36">
        <v>9600</v>
      </c>
      <c r="C2816" s="7">
        <v>9610</v>
      </c>
      <c r="D2816" s="7">
        <v>9600</v>
      </c>
      <c r="E2816" s="7">
        <v>9590</v>
      </c>
      <c r="F2816" s="7">
        <v>9590</v>
      </c>
      <c r="G2816" s="34">
        <v>6</v>
      </c>
      <c r="H2816" s="35">
        <v>10</v>
      </c>
      <c r="I2816" s="38">
        <f t="shared" si="43"/>
        <v>9605</v>
      </c>
    </row>
    <row r="2817" spans="1:9" x14ac:dyDescent="0.2">
      <c r="A2817" s="33">
        <v>41201</v>
      </c>
      <c r="B2817" s="36">
        <v>9590</v>
      </c>
      <c r="C2817" s="7">
        <v>9595</v>
      </c>
      <c r="D2817" s="7">
        <v>9590</v>
      </c>
      <c r="E2817" s="7">
        <v>9579</v>
      </c>
      <c r="F2817" s="7">
        <v>9585</v>
      </c>
      <c r="G2817" s="34">
        <v>14</v>
      </c>
      <c r="H2817" s="35">
        <v>7</v>
      </c>
      <c r="I2817" s="38">
        <f t="shared" si="43"/>
        <v>9592.5</v>
      </c>
    </row>
    <row r="2818" spans="1:9" x14ac:dyDescent="0.2">
      <c r="A2818" s="33">
        <v>41200</v>
      </c>
      <c r="B2818" s="36">
        <v>9583</v>
      </c>
      <c r="C2818" s="7">
        <v>9593</v>
      </c>
      <c r="D2818" s="7">
        <v>9590</v>
      </c>
      <c r="E2818" s="7">
        <v>9570</v>
      </c>
      <c r="F2818" s="7">
        <v>9570</v>
      </c>
      <c r="G2818" s="34">
        <v>24</v>
      </c>
      <c r="H2818" s="35">
        <v>13</v>
      </c>
      <c r="I2818" s="38">
        <f t="shared" si="43"/>
        <v>9588</v>
      </c>
    </row>
    <row r="2819" spans="1:9" x14ac:dyDescent="0.2">
      <c r="A2819" s="33">
        <v>41199</v>
      </c>
      <c r="B2819" s="36">
        <v>9570</v>
      </c>
      <c r="C2819" s="7">
        <v>9578</v>
      </c>
      <c r="D2819" s="7">
        <v>9581</v>
      </c>
      <c r="E2819" s="7">
        <v>9569</v>
      </c>
      <c r="F2819" s="7">
        <v>9570</v>
      </c>
      <c r="G2819" s="34">
        <v>30</v>
      </c>
      <c r="H2819" s="35">
        <v>-10</v>
      </c>
      <c r="I2819" s="38">
        <f t="shared" si="43"/>
        <v>9574</v>
      </c>
    </row>
    <row r="2820" spans="1:9" x14ac:dyDescent="0.2">
      <c r="A2820" s="33">
        <v>41198</v>
      </c>
      <c r="B2820" s="36">
        <v>9580</v>
      </c>
      <c r="C2820" s="7">
        <v>9590</v>
      </c>
      <c r="D2820" s="7">
        <v>9585</v>
      </c>
      <c r="E2820" s="7">
        <v>9579</v>
      </c>
      <c r="F2820" s="7">
        <v>9580</v>
      </c>
      <c r="G2820" s="34">
        <v>16</v>
      </c>
      <c r="H2820" s="35">
        <v>-5</v>
      </c>
      <c r="I2820" s="38">
        <f t="shared" si="43"/>
        <v>9585</v>
      </c>
    </row>
    <row r="2821" spans="1:9" x14ac:dyDescent="0.2">
      <c r="A2821" s="33">
        <v>41197</v>
      </c>
      <c r="B2821" s="36">
        <v>9585</v>
      </c>
      <c r="C2821" s="7">
        <v>9595</v>
      </c>
      <c r="D2821" s="7">
        <v>9590</v>
      </c>
      <c r="E2821" s="7">
        <v>9584</v>
      </c>
      <c r="F2821" s="7">
        <v>9590</v>
      </c>
      <c r="G2821" s="34">
        <v>40</v>
      </c>
      <c r="H2821" s="35">
        <v>10</v>
      </c>
      <c r="I2821" s="38">
        <f t="shared" si="43"/>
        <v>9590</v>
      </c>
    </row>
    <row r="2822" spans="1:9" x14ac:dyDescent="0.2">
      <c r="A2822" s="33">
        <v>41194</v>
      </c>
      <c r="B2822" s="36">
        <v>9575</v>
      </c>
      <c r="C2822" s="7">
        <v>9580</v>
      </c>
      <c r="D2822" s="7">
        <v>9605</v>
      </c>
      <c r="E2822" s="7">
        <v>9570</v>
      </c>
      <c r="F2822" s="7">
        <v>9585</v>
      </c>
      <c r="G2822" s="34">
        <v>56</v>
      </c>
      <c r="H2822" s="35">
        <v>-5</v>
      </c>
      <c r="I2822" s="38">
        <f t="shared" si="43"/>
        <v>9577.5</v>
      </c>
    </row>
    <row r="2823" spans="1:9" x14ac:dyDescent="0.2">
      <c r="A2823" s="33">
        <v>41193</v>
      </c>
      <c r="B2823" s="36">
        <v>9580</v>
      </c>
      <c r="C2823" s="7">
        <v>9585</v>
      </c>
      <c r="D2823" s="7">
        <v>9605</v>
      </c>
      <c r="E2823" s="7">
        <v>9575</v>
      </c>
      <c r="F2823" s="7">
        <v>9600</v>
      </c>
      <c r="G2823" s="34">
        <v>77</v>
      </c>
      <c r="H2823" s="35">
        <v>-7</v>
      </c>
      <c r="I2823" s="38">
        <f t="shared" si="43"/>
        <v>9582.5</v>
      </c>
    </row>
    <row r="2824" spans="1:9" x14ac:dyDescent="0.2">
      <c r="A2824" s="33">
        <v>41192</v>
      </c>
      <c r="B2824" s="36">
        <v>9587</v>
      </c>
      <c r="C2824" s="7">
        <v>9597</v>
      </c>
      <c r="D2824" s="7">
        <v>9605</v>
      </c>
      <c r="E2824" s="7">
        <v>9586</v>
      </c>
      <c r="F2824" s="7">
        <v>9600</v>
      </c>
      <c r="G2824" s="34">
        <v>20</v>
      </c>
      <c r="H2824" s="35">
        <v>0</v>
      </c>
      <c r="I2824" s="38">
        <f t="shared" si="43"/>
        <v>9592</v>
      </c>
    </row>
    <row r="2825" spans="1:9" x14ac:dyDescent="0.2">
      <c r="A2825" s="33">
        <v>41191</v>
      </c>
      <c r="B2825" s="36">
        <v>9587</v>
      </c>
      <c r="C2825" s="7">
        <v>9597</v>
      </c>
      <c r="D2825" s="7">
        <v>9600</v>
      </c>
      <c r="E2825" s="7">
        <v>9587</v>
      </c>
      <c r="F2825" s="7">
        <v>9600</v>
      </c>
      <c r="G2825" s="34">
        <v>16</v>
      </c>
      <c r="H2825" s="35">
        <v>1</v>
      </c>
      <c r="I2825" s="38">
        <f t="shared" si="43"/>
        <v>9592</v>
      </c>
    </row>
    <row r="2826" spans="1:9" x14ac:dyDescent="0.2">
      <c r="A2826" s="33">
        <v>41190</v>
      </c>
      <c r="B2826" s="36">
        <v>9586</v>
      </c>
      <c r="C2826" s="7">
        <v>9596</v>
      </c>
      <c r="D2826" s="7">
        <v>9586</v>
      </c>
      <c r="E2826" s="7">
        <v>9570</v>
      </c>
      <c r="F2826" s="7">
        <v>9570</v>
      </c>
      <c r="G2826" s="34">
        <v>3</v>
      </c>
      <c r="H2826" s="35">
        <v>2</v>
      </c>
      <c r="I2826" s="38">
        <f t="shared" si="43"/>
        <v>9591</v>
      </c>
    </row>
    <row r="2827" spans="1:9" x14ac:dyDescent="0.2">
      <c r="A2827" s="33">
        <v>41187</v>
      </c>
      <c r="B2827" s="36">
        <v>9584</v>
      </c>
      <c r="C2827" s="7">
        <v>9594</v>
      </c>
      <c r="D2827" s="7">
        <v>9593</v>
      </c>
      <c r="E2827" s="7">
        <v>9584</v>
      </c>
      <c r="F2827" s="7">
        <v>9592</v>
      </c>
      <c r="G2827" s="34">
        <v>5</v>
      </c>
      <c r="H2827" s="35">
        <v>-1</v>
      </c>
      <c r="I2827" s="38">
        <f t="shared" si="43"/>
        <v>9589</v>
      </c>
    </row>
    <row r="2828" spans="1:9" x14ac:dyDescent="0.2">
      <c r="A2828" s="33">
        <v>41186</v>
      </c>
      <c r="B2828" s="36">
        <v>9585</v>
      </c>
      <c r="C2828" s="7">
        <v>9595</v>
      </c>
      <c r="D2828" s="7">
        <v>9595</v>
      </c>
      <c r="E2828" s="7">
        <v>9585</v>
      </c>
      <c r="F2828" s="7">
        <v>9590</v>
      </c>
      <c r="G2828" s="34">
        <v>3</v>
      </c>
      <c r="H2828" s="35">
        <v>5</v>
      </c>
      <c r="I2828" s="38">
        <f t="shared" si="43"/>
        <v>9590</v>
      </c>
    </row>
    <row r="2829" spans="1:9" x14ac:dyDescent="0.2">
      <c r="A2829" s="33">
        <v>41185</v>
      </c>
      <c r="B2829" s="36">
        <v>9580</v>
      </c>
      <c r="C2829" s="7">
        <v>9590</v>
      </c>
      <c r="D2829" s="7">
        <v>9585</v>
      </c>
      <c r="E2829" s="7">
        <v>9580</v>
      </c>
      <c r="F2829" s="7">
        <v>9585</v>
      </c>
      <c r="G2829" s="34">
        <v>8</v>
      </c>
      <c r="H2829" s="35">
        <v>5</v>
      </c>
      <c r="I2829" s="38">
        <f t="shared" si="43"/>
        <v>9585</v>
      </c>
    </row>
    <row r="2830" spans="1:9" x14ac:dyDescent="0.2">
      <c r="A2830" s="33">
        <v>41184</v>
      </c>
      <c r="B2830" s="36">
        <v>9575</v>
      </c>
      <c r="C2830" s="7">
        <v>9585</v>
      </c>
      <c r="D2830" s="7">
        <v>9588</v>
      </c>
      <c r="E2830" s="7">
        <v>9575</v>
      </c>
      <c r="F2830" s="7">
        <v>9585</v>
      </c>
      <c r="G2830" s="34">
        <v>21</v>
      </c>
      <c r="H2830" s="35">
        <v>0</v>
      </c>
      <c r="I2830" s="38">
        <f t="shared" si="43"/>
        <v>9580</v>
      </c>
    </row>
    <row r="2831" spans="1:9" x14ac:dyDescent="0.2">
      <c r="A2831" s="33">
        <v>41183</v>
      </c>
      <c r="B2831" s="36">
        <v>9575</v>
      </c>
      <c r="C2831" s="7">
        <v>9585</v>
      </c>
      <c r="D2831" s="7">
        <v>9590</v>
      </c>
      <c r="E2831" s="7">
        <v>9575</v>
      </c>
      <c r="F2831" s="7">
        <v>9585</v>
      </c>
      <c r="G2831" s="34">
        <v>11</v>
      </c>
      <c r="H2831" s="35">
        <v>10</v>
      </c>
      <c r="I2831" s="38">
        <f t="shared" si="43"/>
        <v>9580</v>
      </c>
    </row>
    <row r="2832" spans="1:9" x14ac:dyDescent="0.2">
      <c r="A2832" s="33">
        <v>41180</v>
      </c>
      <c r="B2832" s="36">
        <v>9565</v>
      </c>
      <c r="C2832" s="7">
        <v>9575</v>
      </c>
      <c r="D2832" s="7">
        <v>9587</v>
      </c>
      <c r="E2832" s="7">
        <v>9565</v>
      </c>
      <c r="F2832" s="7">
        <v>9580</v>
      </c>
      <c r="G2832" s="34">
        <v>14</v>
      </c>
      <c r="H2832" s="35">
        <v>-5</v>
      </c>
      <c r="I2832" s="38">
        <f t="shared" si="43"/>
        <v>9570</v>
      </c>
    </row>
    <row r="2833" spans="1:9" x14ac:dyDescent="0.2">
      <c r="A2833" s="33">
        <v>41179</v>
      </c>
      <c r="B2833" s="36">
        <v>9570</v>
      </c>
      <c r="C2833" s="7">
        <v>9580</v>
      </c>
      <c r="D2833" s="7">
        <v>9590</v>
      </c>
      <c r="E2833" s="7">
        <v>9570</v>
      </c>
      <c r="F2833" s="7">
        <v>9590</v>
      </c>
      <c r="G2833" s="34">
        <v>10</v>
      </c>
      <c r="H2833" s="35">
        <v>-10</v>
      </c>
      <c r="I2833" s="38">
        <f t="shared" si="43"/>
        <v>9575</v>
      </c>
    </row>
    <row r="2834" spans="1:9" x14ac:dyDescent="0.2">
      <c r="A2834" s="33">
        <v>41178</v>
      </c>
      <c r="B2834" s="36">
        <v>9580</v>
      </c>
      <c r="C2834" s="7">
        <v>9590</v>
      </c>
      <c r="D2834" s="7">
        <v>9585</v>
      </c>
      <c r="E2834" s="7">
        <v>9575</v>
      </c>
      <c r="F2834" s="7">
        <v>9575</v>
      </c>
      <c r="G2834" s="34">
        <v>31</v>
      </c>
      <c r="H2834" s="35">
        <v>15</v>
      </c>
      <c r="I2834" s="38">
        <f t="shared" si="43"/>
        <v>9585</v>
      </c>
    </row>
    <row r="2835" spans="1:9" x14ac:dyDescent="0.2">
      <c r="A2835" s="33">
        <v>41177</v>
      </c>
      <c r="B2835" s="36">
        <v>9565</v>
      </c>
      <c r="C2835" s="7">
        <v>9585</v>
      </c>
      <c r="D2835" s="7">
        <v>9575</v>
      </c>
      <c r="E2835" s="7">
        <v>9565</v>
      </c>
      <c r="F2835" s="7">
        <v>9575</v>
      </c>
      <c r="G2835" s="34">
        <v>3</v>
      </c>
      <c r="H2835" s="35">
        <v>10</v>
      </c>
      <c r="I2835" s="38">
        <f t="shared" si="43"/>
        <v>9575</v>
      </c>
    </row>
    <row r="2836" spans="1:9" x14ac:dyDescent="0.2">
      <c r="A2836" s="33">
        <v>41176</v>
      </c>
      <c r="B2836" s="36">
        <v>9555</v>
      </c>
      <c r="C2836" s="7">
        <v>9570</v>
      </c>
      <c r="D2836" s="7">
        <v>9570</v>
      </c>
      <c r="E2836" s="7">
        <v>9540</v>
      </c>
      <c r="F2836" s="7">
        <v>9555</v>
      </c>
      <c r="G2836" s="34">
        <v>14</v>
      </c>
      <c r="H2836" s="35">
        <v>15</v>
      </c>
      <c r="I2836" s="38">
        <f t="shared" si="43"/>
        <v>9562.5</v>
      </c>
    </row>
    <row r="2837" spans="1:9" x14ac:dyDescent="0.2">
      <c r="A2837" s="33">
        <v>41173</v>
      </c>
      <c r="B2837" s="36">
        <v>9540</v>
      </c>
      <c r="C2837" s="7">
        <v>9550</v>
      </c>
      <c r="D2837" s="7">
        <v>9555</v>
      </c>
      <c r="E2837" s="7">
        <v>9539</v>
      </c>
      <c r="F2837" s="7">
        <v>9545</v>
      </c>
      <c r="G2837" s="34">
        <v>18</v>
      </c>
      <c r="H2837" s="35">
        <v>5</v>
      </c>
      <c r="I2837" s="38">
        <f t="shared" si="43"/>
        <v>9545</v>
      </c>
    </row>
    <row r="2838" spans="1:9" x14ac:dyDescent="0.2">
      <c r="A2838" s="33">
        <v>41172</v>
      </c>
      <c r="B2838" s="36">
        <v>9535</v>
      </c>
      <c r="C2838" s="7">
        <v>9545</v>
      </c>
      <c r="D2838" s="7">
        <v>9545</v>
      </c>
      <c r="E2838" s="7">
        <v>9533</v>
      </c>
      <c r="F2838" s="7">
        <v>9533</v>
      </c>
      <c r="G2838" s="34">
        <v>8</v>
      </c>
      <c r="H2838" s="35">
        <v>5</v>
      </c>
      <c r="I2838" s="38">
        <f t="shared" si="43"/>
        <v>9540</v>
      </c>
    </row>
    <row r="2839" spans="1:9" x14ac:dyDescent="0.2">
      <c r="A2839" s="33">
        <v>41171</v>
      </c>
      <c r="B2839" s="36">
        <v>9530</v>
      </c>
      <c r="C2839" s="7">
        <v>9545</v>
      </c>
      <c r="D2839" s="7">
        <v>9548</v>
      </c>
      <c r="E2839" s="7">
        <v>9520</v>
      </c>
      <c r="F2839" s="7">
        <v>9520</v>
      </c>
      <c r="G2839" s="34">
        <v>19</v>
      </c>
      <c r="H2839" s="35">
        <v>35</v>
      </c>
      <c r="I2839" s="38">
        <f t="shared" si="43"/>
        <v>9537.5</v>
      </c>
    </row>
    <row r="2840" spans="1:9" x14ac:dyDescent="0.2">
      <c r="A2840" s="33">
        <v>41170</v>
      </c>
      <c r="B2840" s="36">
        <v>9495</v>
      </c>
      <c r="C2840" s="7">
        <v>9510</v>
      </c>
      <c r="D2840" s="7">
        <v>9495</v>
      </c>
      <c r="E2840" s="7">
        <v>9470</v>
      </c>
      <c r="F2840" s="7">
        <v>9470</v>
      </c>
      <c r="G2840" s="34">
        <v>9</v>
      </c>
      <c r="H2840" s="35">
        <v>35</v>
      </c>
      <c r="I2840" s="38">
        <f t="shared" si="43"/>
        <v>9502.5</v>
      </c>
    </row>
    <row r="2841" spans="1:9" x14ac:dyDescent="0.2">
      <c r="A2841" s="33">
        <v>41169</v>
      </c>
      <c r="B2841" s="36">
        <v>9460</v>
      </c>
      <c r="C2841" s="7">
        <v>9465</v>
      </c>
      <c r="D2841" s="7">
        <v>9475</v>
      </c>
      <c r="E2841" s="7">
        <v>9443</v>
      </c>
      <c r="F2841" s="7">
        <v>9475</v>
      </c>
      <c r="G2841" s="34">
        <v>45</v>
      </c>
      <c r="H2841" s="35">
        <v>-40</v>
      </c>
      <c r="I2841" s="38">
        <f t="shared" si="43"/>
        <v>9462.5</v>
      </c>
    </row>
    <row r="2842" spans="1:9" x14ac:dyDescent="0.2">
      <c r="A2842" s="33">
        <v>41166</v>
      </c>
      <c r="B2842" s="36">
        <v>9500</v>
      </c>
      <c r="C2842" s="7">
        <v>9510</v>
      </c>
      <c r="D2842" s="7">
        <v>9575</v>
      </c>
      <c r="E2842" s="7">
        <v>9500</v>
      </c>
      <c r="F2842" s="7">
        <v>9575</v>
      </c>
      <c r="G2842" s="34">
        <v>33</v>
      </c>
      <c r="H2842" s="35">
        <v>-70</v>
      </c>
      <c r="I2842" s="38">
        <f t="shared" si="43"/>
        <v>9505</v>
      </c>
    </row>
    <row r="2843" spans="1:9" x14ac:dyDescent="0.2">
      <c r="A2843" s="33">
        <v>41165</v>
      </c>
      <c r="B2843" s="36">
        <v>9570</v>
      </c>
      <c r="C2843" s="7">
        <v>9585</v>
      </c>
      <c r="D2843" s="7">
        <v>9590</v>
      </c>
      <c r="E2843" s="7">
        <v>9570</v>
      </c>
      <c r="F2843" s="7">
        <v>9570</v>
      </c>
      <c r="G2843" s="34">
        <v>16</v>
      </c>
      <c r="H2843" s="35">
        <v>10</v>
      </c>
      <c r="I2843" s="38">
        <f t="shared" si="43"/>
        <v>9577.5</v>
      </c>
    </row>
    <row r="2844" spans="1:9" x14ac:dyDescent="0.2">
      <c r="A2844" s="33">
        <v>41164</v>
      </c>
      <c r="B2844" s="36">
        <v>9560</v>
      </c>
      <c r="C2844" s="7">
        <v>9576</v>
      </c>
      <c r="D2844" s="7">
        <v>9580</v>
      </c>
      <c r="E2844" s="7">
        <v>9560</v>
      </c>
      <c r="F2844" s="7">
        <v>9575</v>
      </c>
      <c r="G2844" s="34">
        <v>29</v>
      </c>
      <c r="H2844" s="35">
        <v>-7</v>
      </c>
      <c r="I2844" s="38">
        <f t="shared" si="43"/>
        <v>9568</v>
      </c>
    </row>
    <row r="2845" spans="1:9" x14ac:dyDescent="0.2">
      <c r="A2845" s="33">
        <v>41163</v>
      </c>
      <c r="B2845" s="36">
        <v>9567</v>
      </c>
      <c r="C2845" s="7">
        <v>9588</v>
      </c>
      <c r="D2845" s="7">
        <v>9589</v>
      </c>
      <c r="E2845" s="7">
        <v>9567</v>
      </c>
      <c r="F2845" s="7">
        <v>9580</v>
      </c>
      <c r="G2845" s="34">
        <v>19</v>
      </c>
      <c r="H2845" s="35">
        <v>0</v>
      </c>
      <c r="I2845" s="38">
        <f t="shared" si="43"/>
        <v>9577.5</v>
      </c>
    </row>
    <row r="2846" spans="1:9" x14ac:dyDescent="0.2">
      <c r="A2846" s="33">
        <v>41162</v>
      </c>
      <c r="B2846" s="36">
        <v>9567</v>
      </c>
      <c r="C2846" s="7">
        <v>9587</v>
      </c>
      <c r="D2846" s="7">
        <v>9583</v>
      </c>
      <c r="E2846" s="7">
        <v>9567</v>
      </c>
      <c r="F2846" s="7">
        <v>9575</v>
      </c>
      <c r="G2846" s="34">
        <v>7</v>
      </c>
      <c r="H2846" s="35">
        <v>7</v>
      </c>
      <c r="I2846" s="38">
        <f t="shared" si="43"/>
        <v>9577</v>
      </c>
    </row>
    <row r="2847" spans="1:9" x14ac:dyDescent="0.2">
      <c r="A2847" s="33">
        <v>41159</v>
      </c>
      <c r="B2847" s="36">
        <v>9560</v>
      </c>
      <c r="C2847" s="7">
        <v>9580</v>
      </c>
      <c r="D2847" s="7">
        <v>9590</v>
      </c>
      <c r="E2847" s="7">
        <v>9560</v>
      </c>
      <c r="F2847" s="7">
        <v>9585</v>
      </c>
      <c r="G2847" s="34">
        <v>29</v>
      </c>
      <c r="H2847" s="35">
        <v>0</v>
      </c>
      <c r="I2847" s="38">
        <f t="shared" si="43"/>
        <v>9570</v>
      </c>
    </row>
    <row r="2848" spans="1:9" x14ac:dyDescent="0.2">
      <c r="A2848" s="33">
        <v>41158</v>
      </c>
      <c r="B2848" s="36">
        <v>9560</v>
      </c>
      <c r="C2848" s="7">
        <v>9570</v>
      </c>
      <c r="D2848" s="7">
        <v>9590</v>
      </c>
      <c r="E2848" s="7">
        <v>9560</v>
      </c>
      <c r="F2848" s="7">
        <v>9585</v>
      </c>
      <c r="G2848" s="34">
        <v>22</v>
      </c>
      <c r="H2848" s="35">
        <v>0</v>
      </c>
      <c r="I2848" s="38">
        <f t="shared" ref="I2848:I2911" si="44">+(B2848+C2848)*0.5</f>
        <v>9565</v>
      </c>
    </row>
    <row r="2849" spans="1:9" x14ac:dyDescent="0.2">
      <c r="A2849" s="33">
        <v>41157</v>
      </c>
      <c r="B2849" s="36">
        <v>9560</v>
      </c>
      <c r="C2849" s="7">
        <v>9580</v>
      </c>
      <c r="D2849" s="7">
        <v>9588</v>
      </c>
      <c r="E2849" s="7">
        <v>9560</v>
      </c>
      <c r="F2849" s="7">
        <v>9580</v>
      </c>
      <c r="G2849" s="34">
        <v>25</v>
      </c>
      <c r="H2849" s="35">
        <v>-1</v>
      </c>
      <c r="I2849" s="38">
        <f t="shared" si="44"/>
        <v>9570</v>
      </c>
    </row>
    <row r="2850" spans="1:9" x14ac:dyDescent="0.2">
      <c r="A2850" s="33">
        <v>41156</v>
      </c>
      <c r="B2850" s="36">
        <v>9561</v>
      </c>
      <c r="C2850" s="7">
        <v>9581</v>
      </c>
      <c r="D2850" s="7">
        <v>9581</v>
      </c>
      <c r="E2850" s="7">
        <v>9560</v>
      </c>
      <c r="F2850" s="7">
        <v>9570</v>
      </c>
      <c r="G2850" s="34">
        <v>21</v>
      </c>
      <c r="H2850" s="35">
        <v>31</v>
      </c>
      <c r="I2850" s="38">
        <f t="shared" si="44"/>
        <v>9571</v>
      </c>
    </row>
    <row r="2851" spans="1:9" x14ac:dyDescent="0.2">
      <c r="A2851" s="33">
        <v>41155</v>
      </c>
      <c r="B2851" s="36">
        <v>9530</v>
      </c>
      <c r="C2851" s="7">
        <v>9540</v>
      </c>
      <c r="D2851" s="7">
        <v>9585</v>
      </c>
      <c r="E2851" s="7">
        <v>9525</v>
      </c>
      <c r="F2851" s="7">
        <v>9555</v>
      </c>
      <c r="G2851" s="34">
        <v>57</v>
      </c>
      <c r="H2851" s="35">
        <v>0</v>
      </c>
      <c r="I2851" s="38">
        <f t="shared" si="44"/>
        <v>9535</v>
      </c>
    </row>
    <row r="2852" spans="1:9" x14ac:dyDescent="0.2">
      <c r="A2852" s="33">
        <v>41152</v>
      </c>
      <c r="B2852" s="36">
        <v>9530</v>
      </c>
      <c r="C2852" s="7">
        <v>9540</v>
      </c>
      <c r="D2852" s="7">
        <v>9570</v>
      </c>
      <c r="E2852" s="7">
        <v>9525</v>
      </c>
      <c r="F2852" s="7">
        <v>9570</v>
      </c>
      <c r="G2852" s="34">
        <v>92</v>
      </c>
      <c r="H2852" s="35">
        <v>-10</v>
      </c>
      <c r="I2852" s="38">
        <f t="shared" si="44"/>
        <v>9535</v>
      </c>
    </row>
    <row r="2853" spans="1:9" x14ac:dyDescent="0.2">
      <c r="A2853" s="33">
        <v>41151</v>
      </c>
      <c r="B2853" s="36">
        <v>9540</v>
      </c>
      <c r="C2853" s="7">
        <v>9550</v>
      </c>
      <c r="D2853" s="7">
        <v>9580</v>
      </c>
      <c r="E2853" s="7">
        <v>9540</v>
      </c>
      <c r="F2853" s="7">
        <v>9560</v>
      </c>
      <c r="G2853" s="34">
        <v>23</v>
      </c>
      <c r="H2853" s="35">
        <v>0</v>
      </c>
      <c r="I2853" s="38">
        <f t="shared" si="44"/>
        <v>9545</v>
      </c>
    </row>
    <row r="2854" spans="1:9" x14ac:dyDescent="0.2">
      <c r="A2854" s="33">
        <v>41150</v>
      </c>
      <c r="B2854" s="36">
        <v>9540</v>
      </c>
      <c r="C2854" s="7">
        <v>9555</v>
      </c>
      <c r="D2854" s="7">
        <v>9568</v>
      </c>
      <c r="E2854" s="7">
        <v>9530</v>
      </c>
      <c r="F2854" s="7">
        <v>9530</v>
      </c>
      <c r="G2854" s="34">
        <v>20</v>
      </c>
      <c r="H2854" s="35">
        <v>10</v>
      </c>
      <c r="I2854" s="38">
        <f t="shared" si="44"/>
        <v>9547.5</v>
      </c>
    </row>
    <row r="2855" spans="1:9" x14ac:dyDescent="0.2">
      <c r="A2855" s="33">
        <v>41149</v>
      </c>
      <c r="B2855" s="36">
        <v>9530</v>
      </c>
      <c r="C2855" s="7">
        <v>9540</v>
      </c>
      <c r="D2855" s="7">
        <v>9531</v>
      </c>
      <c r="E2855" s="7">
        <v>9520</v>
      </c>
      <c r="F2855" s="7">
        <v>9525</v>
      </c>
      <c r="G2855" s="34">
        <v>15</v>
      </c>
      <c r="H2855" s="35">
        <v>20</v>
      </c>
      <c r="I2855" s="38">
        <f t="shared" si="44"/>
        <v>9535</v>
      </c>
    </row>
    <row r="2856" spans="1:9" x14ac:dyDescent="0.2">
      <c r="A2856" s="33">
        <v>41148</v>
      </c>
      <c r="B2856" s="36">
        <v>9510</v>
      </c>
      <c r="C2856" s="7">
        <v>9520</v>
      </c>
      <c r="D2856" s="7">
        <v>9515</v>
      </c>
      <c r="E2856" s="7">
        <v>9500</v>
      </c>
      <c r="F2856" s="7">
        <v>9510</v>
      </c>
      <c r="G2856" s="34">
        <v>5</v>
      </c>
      <c r="H2856" s="35">
        <v>10</v>
      </c>
      <c r="I2856" s="38">
        <f t="shared" si="44"/>
        <v>9515</v>
      </c>
    </row>
    <row r="2857" spans="1:9" x14ac:dyDescent="0.2">
      <c r="A2857" s="33">
        <v>41145</v>
      </c>
      <c r="B2857" s="36">
        <v>9500</v>
      </c>
      <c r="C2857" s="7">
        <v>9510</v>
      </c>
      <c r="D2857" s="7">
        <v>9505</v>
      </c>
      <c r="E2857" s="7">
        <v>9495</v>
      </c>
      <c r="F2857" s="7">
        <v>9500</v>
      </c>
      <c r="G2857" s="34">
        <v>5</v>
      </c>
      <c r="H2857" s="35">
        <v>10</v>
      </c>
      <c r="I2857" s="38">
        <f t="shared" si="44"/>
        <v>9505</v>
      </c>
    </row>
    <row r="2858" spans="1:9" x14ac:dyDescent="0.2">
      <c r="A2858" s="33">
        <v>41144</v>
      </c>
      <c r="B2858" s="36">
        <v>9490</v>
      </c>
      <c r="C2858" s="7">
        <v>9498</v>
      </c>
      <c r="D2858" s="7">
        <v>9495</v>
      </c>
      <c r="E2858" s="7">
        <v>9477</v>
      </c>
      <c r="F2858" s="7">
        <v>9477</v>
      </c>
      <c r="G2858" s="34">
        <v>5</v>
      </c>
      <c r="H2858" s="35">
        <v>5</v>
      </c>
      <c r="I2858" s="38">
        <f t="shared" si="44"/>
        <v>9494</v>
      </c>
    </row>
    <row r="2859" spans="1:9" x14ac:dyDescent="0.2">
      <c r="A2859" s="33">
        <v>41143</v>
      </c>
      <c r="B2859" s="36">
        <v>9485</v>
      </c>
      <c r="C2859" s="7">
        <v>9495</v>
      </c>
      <c r="D2859" s="7"/>
      <c r="E2859" s="7"/>
      <c r="F2859" s="7"/>
      <c r="G2859" s="34"/>
      <c r="H2859" s="35">
        <v>0</v>
      </c>
      <c r="I2859" s="38">
        <f t="shared" si="44"/>
        <v>9490</v>
      </c>
    </row>
    <row r="2860" spans="1:9" x14ac:dyDescent="0.2">
      <c r="A2860" s="33">
        <v>41142</v>
      </c>
      <c r="B2860" s="36">
        <v>9485</v>
      </c>
      <c r="C2860" s="7">
        <v>9495</v>
      </c>
      <c r="D2860" s="7"/>
      <c r="E2860" s="7"/>
      <c r="F2860" s="7"/>
      <c r="G2860" s="34"/>
      <c r="H2860" s="35">
        <v>0</v>
      </c>
      <c r="I2860" s="38">
        <f t="shared" si="44"/>
        <v>9490</v>
      </c>
    </row>
    <row r="2861" spans="1:9" x14ac:dyDescent="0.2">
      <c r="A2861" s="33">
        <v>41141</v>
      </c>
      <c r="B2861" s="36">
        <v>9485</v>
      </c>
      <c r="C2861" s="7">
        <v>9495</v>
      </c>
      <c r="D2861" s="7"/>
      <c r="E2861" s="7"/>
      <c r="F2861" s="7"/>
      <c r="G2861" s="34"/>
      <c r="H2861" s="35">
        <v>0</v>
      </c>
      <c r="I2861" s="38">
        <f t="shared" si="44"/>
        <v>9490</v>
      </c>
    </row>
    <row r="2862" spans="1:9" x14ac:dyDescent="0.2">
      <c r="A2862" s="33">
        <v>41138</v>
      </c>
      <c r="B2862" s="36">
        <v>9485</v>
      </c>
      <c r="C2862" s="7">
        <v>9495</v>
      </c>
      <c r="D2862" s="7"/>
      <c r="E2862" s="7"/>
      <c r="F2862" s="7"/>
      <c r="G2862" s="34"/>
      <c r="H2862" s="35">
        <v>0</v>
      </c>
      <c r="I2862" s="38">
        <f t="shared" si="44"/>
        <v>9490</v>
      </c>
    </row>
    <row r="2863" spans="1:9" x14ac:dyDescent="0.2">
      <c r="A2863" s="33">
        <v>41137</v>
      </c>
      <c r="B2863" s="36">
        <v>9485</v>
      </c>
      <c r="C2863" s="7">
        <v>9495</v>
      </c>
      <c r="D2863" s="7">
        <v>9510</v>
      </c>
      <c r="E2863" s="7">
        <v>9485</v>
      </c>
      <c r="F2863" s="7">
        <v>9505</v>
      </c>
      <c r="G2863" s="34">
        <v>10</v>
      </c>
      <c r="H2863" s="35">
        <v>-10</v>
      </c>
      <c r="I2863" s="38">
        <f t="shared" si="44"/>
        <v>9490</v>
      </c>
    </row>
    <row r="2864" spans="1:9" x14ac:dyDescent="0.2">
      <c r="A2864" s="33">
        <v>41136</v>
      </c>
      <c r="B2864" s="36">
        <v>9495</v>
      </c>
      <c r="C2864" s="7">
        <v>9500</v>
      </c>
      <c r="D2864" s="7">
        <v>9500</v>
      </c>
      <c r="E2864" s="7">
        <v>9480</v>
      </c>
      <c r="F2864" s="7">
        <v>9485</v>
      </c>
      <c r="G2864" s="34">
        <v>11</v>
      </c>
      <c r="H2864" s="35">
        <v>15</v>
      </c>
      <c r="I2864" s="38">
        <f t="shared" si="44"/>
        <v>9497.5</v>
      </c>
    </row>
    <row r="2865" spans="1:9" x14ac:dyDescent="0.2">
      <c r="A2865" s="33">
        <v>41135</v>
      </c>
      <c r="B2865" s="36">
        <v>9480</v>
      </c>
      <c r="C2865" s="7">
        <v>9485</v>
      </c>
      <c r="D2865" s="7">
        <v>9487</v>
      </c>
      <c r="E2865" s="7">
        <v>9472</v>
      </c>
      <c r="F2865" s="7">
        <v>9485</v>
      </c>
      <c r="G2865" s="34">
        <v>13</v>
      </c>
      <c r="H2865" s="35">
        <v>0</v>
      </c>
      <c r="I2865" s="38">
        <f t="shared" si="44"/>
        <v>9482.5</v>
      </c>
    </row>
    <row r="2866" spans="1:9" x14ac:dyDescent="0.2">
      <c r="A2866" s="33">
        <v>41134</v>
      </c>
      <c r="B2866" s="36">
        <v>9480</v>
      </c>
      <c r="C2866" s="7">
        <v>9490</v>
      </c>
      <c r="D2866" s="7">
        <v>9485</v>
      </c>
      <c r="E2866" s="7">
        <v>9460</v>
      </c>
      <c r="F2866" s="7">
        <v>9475</v>
      </c>
      <c r="G2866" s="34">
        <v>16</v>
      </c>
      <c r="H2866" s="35">
        <v>5</v>
      </c>
      <c r="I2866" s="38">
        <f t="shared" si="44"/>
        <v>9485</v>
      </c>
    </row>
    <row r="2867" spans="1:9" x14ac:dyDescent="0.2">
      <c r="A2867" s="33">
        <v>41131</v>
      </c>
      <c r="B2867" s="36">
        <v>9475</v>
      </c>
      <c r="C2867" s="7">
        <v>9480</v>
      </c>
      <c r="D2867" s="7">
        <v>9477</v>
      </c>
      <c r="E2867" s="7">
        <v>9470</v>
      </c>
      <c r="F2867" s="7">
        <v>9475</v>
      </c>
      <c r="G2867" s="34">
        <v>11</v>
      </c>
      <c r="H2867" s="35">
        <v>5</v>
      </c>
      <c r="I2867" s="38">
        <f t="shared" si="44"/>
        <v>9477.5</v>
      </c>
    </row>
    <row r="2868" spans="1:9" x14ac:dyDescent="0.2">
      <c r="A2868" s="33">
        <v>41130</v>
      </c>
      <c r="B2868" s="36">
        <v>9470</v>
      </c>
      <c r="C2868" s="7">
        <v>9473</v>
      </c>
      <c r="D2868" s="7">
        <v>9482</v>
      </c>
      <c r="E2868" s="7">
        <v>9470</v>
      </c>
      <c r="F2868" s="7">
        <v>9482</v>
      </c>
      <c r="G2868" s="34">
        <v>13</v>
      </c>
      <c r="H2868" s="35">
        <v>7</v>
      </c>
      <c r="I2868" s="38">
        <f t="shared" si="44"/>
        <v>9471.5</v>
      </c>
    </row>
    <row r="2869" spans="1:9" x14ac:dyDescent="0.2">
      <c r="A2869" s="33">
        <v>41129</v>
      </c>
      <c r="B2869" s="36">
        <v>9463</v>
      </c>
      <c r="C2869" s="7">
        <v>9478</v>
      </c>
      <c r="D2869" s="7">
        <v>9477</v>
      </c>
      <c r="E2869" s="7">
        <v>9463</v>
      </c>
      <c r="F2869" s="7">
        <v>9470</v>
      </c>
      <c r="G2869" s="34">
        <v>8</v>
      </c>
      <c r="H2869" s="35">
        <v>3</v>
      </c>
      <c r="I2869" s="38">
        <f t="shared" si="44"/>
        <v>9470.5</v>
      </c>
    </row>
    <row r="2870" spans="1:9" x14ac:dyDescent="0.2">
      <c r="A2870" s="33">
        <v>41128</v>
      </c>
      <c r="B2870" s="36">
        <v>9460</v>
      </c>
      <c r="C2870" s="7">
        <v>9475</v>
      </c>
      <c r="D2870" s="7">
        <v>9472</v>
      </c>
      <c r="E2870" s="7">
        <v>9460</v>
      </c>
      <c r="F2870" s="7">
        <v>9466</v>
      </c>
      <c r="G2870" s="34">
        <v>7</v>
      </c>
      <c r="H2870" s="35">
        <v>5</v>
      </c>
      <c r="I2870" s="38">
        <f t="shared" si="44"/>
        <v>9467.5</v>
      </c>
    </row>
    <row r="2871" spans="1:9" x14ac:dyDescent="0.2">
      <c r="A2871" s="33">
        <v>41127</v>
      </c>
      <c r="B2871" s="36">
        <v>9455</v>
      </c>
      <c r="C2871" s="7">
        <v>9475</v>
      </c>
      <c r="D2871" s="7">
        <v>9465</v>
      </c>
      <c r="E2871" s="7">
        <v>9445</v>
      </c>
      <c r="F2871" s="7">
        <v>9445</v>
      </c>
      <c r="G2871" s="34">
        <v>17</v>
      </c>
      <c r="H2871" s="35">
        <v>-5</v>
      </c>
      <c r="I2871" s="38">
        <f t="shared" si="44"/>
        <v>9465</v>
      </c>
    </row>
    <row r="2872" spans="1:9" x14ac:dyDescent="0.2">
      <c r="A2872" s="33">
        <v>41124</v>
      </c>
      <c r="B2872" s="36">
        <v>9460</v>
      </c>
      <c r="C2872" s="7">
        <v>9475</v>
      </c>
      <c r="D2872" s="7">
        <v>9485</v>
      </c>
      <c r="E2872" s="7">
        <v>9460</v>
      </c>
      <c r="F2872" s="7">
        <v>9475</v>
      </c>
      <c r="G2872" s="34">
        <v>19</v>
      </c>
      <c r="H2872" s="35">
        <v>0</v>
      </c>
      <c r="I2872" s="38">
        <f t="shared" si="44"/>
        <v>9467.5</v>
      </c>
    </row>
    <row r="2873" spans="1:9" x14ac:dyDescent="0.2">
      <c r="A2873" s="33">
        <v>41123</v>
      </c>
      <c r="B2873" s="36">
        <v>9460</v>
      </c>
      <c r="C2873" s="7">
        <v>9475</v>
      </c>
      <c r="D2873" s="7">
        <v>9478</v>
      </c>
      <c r="E2873" s="7">
        <v>9460</v>
      </c>
      <c r="F2873" s="7">
        <v>9470</v>
      </c>
      <c r="G2873" s="34">
        <v>8</v>
      </c>
      <c r="H2873" s="35">
        <v>25</v>
      </c>
      <c r="I2873" s="38">
        <f t="shared" si="44"/>
        <v>9467.5</v>
      </c>
    </row>
    <row r="2874" spans="1:9" x14ac:dyDescent="0.2">
      <c r="A2874" s="33">
        <v>41122</v>
      </c>
      <c r="B2874" s="36">
        <v>9435</v>
      </c>
      <c r="C2874" s="7">
        <v>9450</v>
      </c>
      <c r="D2874" s="7">
        <v>9470</v>
      </c>
      <c r="E2874" s="7">
        <v>9435</v>
      </c>
      <c r="F2874" s="7">
        <v>9460</v>
      </c>
      <c r="G2874" s="34">
        <v>15</v>
      </c>
      <c r="H2874" s="35">
        <v>-5</v>
      </c>
      <c r="I2874" s="38">
        <f t="shared" si="44"/>
        <v>9442.5</v>
      </c>
    </row>
    <row r="2875" spans="1:9" x14ac:dyDescent="0.2">
      <c r="A2875" s="33">
        <v>41121</v>
      </c>
      <c r="B2875" s="36">
        <v>9440</v>
      </c>
      <c r="C2875" s="7">
        <v>9450</v>
      </c>
      <c r="D2875" s="7">
        <v>9481</v>
      </c>
      <c r="E2875" s="7">
        <v>9440</v>
      </c>
      <c r="F2875" s="7">
        <v>9480</v>
      </c>
      <c r="G2875" s="34">
        <v>27</v>
      </c>
      <c r="H2875" s="35">
        <v>-10</v>
      </c>
      <c r="I2875" s="38">
        <f t="shared" si="44"/>
        <v>9445</v>
      </c>
    </row>
    <row r="2876" spans="1:9" x14ac:dyDescent="0.2">
      <c r="A2876" s="33">
        <v>41120</v>
      </c>
      <c r="B2876" s="36">
        <v>9450</v>
      </c>
      <c r="C2876" s="7">
        <v>9460</v>
      </c>
      <c r="D2876" s="7">
        <v>9480</v>
      </c>
      <c r="E2876" s="7">
        <v>9440</v>
      </c>
      <c r="F2876" s="7">
        <v>9445</v>
      </c>
      <c r="G2876" s="34">
        <v>12</v>
      </c>
      <c r="H2876" s="35">
        <v>0</v>
      </c>
      <c r="I2876" s="38">
        <f t="shared" si="44"/>
        <v>9455</v>
      </c>
    </row>
    <row r="2877" spans="1:9" x14ac:dyDescent="0.2">
      <c r="A2877" s="33">
        <v>41117</v>
      </c>
      <c r="B2877" s="36">
        <v>9450</v>
      </c>
      <c r="C2877" s="7">
        <v>9460</v>
      </c>
      <c r="D2877" s="7">
        <v>9493</v>
      </c>
      <c r="E2877" s="7">
        <v>9445</v>
      </c>
      <c r="F2877" s="7">
        <v>9480</v>
      </c>
      <c r="G2877" s="34">
        <v>23</v>
      </c>
      <c r="H2877" s="35">
        <v>-20</v>
      </c>
      <c r="I2877" s="38">
        <f t="shared" si="44"/>
        <v>9455</v>
      </c>
    </row>
    <row r="2878" spans="1:9" x14ac:dyDescent="0.2">
      <c r="A2878" s="33">
        <v>41116</v>
      </c>
      <c r="B2878" s="36">
        <v>9470</v>
      </c>
      <c r="C2878" s="7">
        <v>9485</v>
      </c>
      <c r="D2878" s="7">
        <v>9490</v>
      </c>
      <c r="E2878" s="7">
        <v>9470</v>
      </c>
      <c r="F2878" s="7">
        <v>9485</v>
      </c>
      <c r="G2878" s="34">
        <v>23</v>
      </c>
      <c r="H2878" s="35">
        <v>-5</v>
      </c>
      <c r="I2878" s="38">
        <f t="shared" si="44"/>
        <v>9477.5</v>
      </c>
    </row>
    <row r="2879" spans="1:9" x14ac:dyDescent="0.2">
      <c r="A2879" s="33">
        <v>41115</v>
      </c>
      <c r="B2879" s="36">
        <v>9475</v>
      </c>
      <c r="C2879" s="7">
        <v>9490</v>
      </c>
      <c r="D2879" s="7">
        <v>9500</v>
      </c>
      <c r="E2879" s="7">
        <v>9475</v>
      </c>
      <c r="F2879" s="7">
        <v>9485</v>
      </c>
      <c r="G2879" s="34">
        <v>20</v>
      </c>
      <c r="H2879" s="35">
        <v>15</v>
      </c>
      <c r="I2879" s="38">
        <f t="shared" si="44"/>
        <v>9482.5</v>
      </c>
    </row>
    <row r="2880" spans="1:9" x14ac:dyDescent="0.2">
      <c r="A2880" s="33">
        <v>41114</v>
      </c>
      <c r="B2880" s="36">
        <v>9460</v>
      </c>
      <c r="C2880" s="7">
        <v>9475</v>
      </c>
      <c r="D2880" s="7">
        <v>9485</v>
      </c>
      <c r="E2880" s="7">
        <v>9460</v>
      </c>
      <c r="F2880" s="7">
        <v>9480</v>
      </c>
      <c r="G2880" s="34">
        <v>16</v>
      </c>
      <c r="H2880" s="35">
        <v>10</v>
      </c>
      <c r="I2880" s="38">
        <f t="shared" si="44"/>
        <v>9467.5</v>
      </c>
    </row>
    <row r="2881" spans="1:9" x14ac:dyDescent="0.2">
      <c r="A2881" s="33">
        <v>41113</v>
      </c>
      <c r="B2881" s="36">
        <v>9450</v>
      </c>
      <c r="C2881" s="7">
        <v>9460</v>
      </c>
      <c r="D2881" s="7">
        <v>9490</v>
      </c>
      <c r="E2881" s="7">
        <v>9449</v>
      </c>
      <c r="F2881" s="7">
        <v>9475</v>
      </c>
      <c r="G2881" s="34">
        <v>20</v>
      </c>
      <c r="H2881" s="35">
        <v>5</v>
      </c>
      <c r="I2881" s="38">
        <f t="shared" si="44"/>
        <v>9455</v>
      </c>
    </row>
    <row r="2882" spans="1:9" x14ac:dyDescent="0.2">
      <c r="A2882" s="33">
        <v>41110</v>
      </c>
      <c r="B2882" s="36">
        <v>9445</v>
      </c>
      <c r="C2882" s="7">
        <v>9455</v>
      </c>
      <c r="D2882" s="7">
        <v>9478</v>
      </c>
      <c r="E2882" s="7">
        <v>9444</v>
      </c>
      <c r="F2882" s="7">
        <v>9460</v>
      </c>
      <c r="G2882" s="34">
        <v>19</v>
      </c>
      <c r="H2882" s="35">
        <v>5</v>
      </c>
      <c r="I2882" s="38">
        <f t="shared" si="44"/>
        <v>9450</v>
      </c>
    </row>
    <row r="2883" spans="1:9" x14ac:dyDescent="0.2">
      <c r="A2883" s="33">
        <v>41109</v>
      </c>
      <c r="B2883" s="36">
        <v>9440</v>
      </c>
      <c r="C2883" s="7">
        <v>9455</v>
      </c>
      <c r="D2883" s="7">
        <v>9478</v>
      </c>
      <c r="E2883" s="7">
        <v>9440</v>
      </c>
      <c r="F2883" s="7">
        <v>9450</v>
      </c>
      <c r="G2883" s="34">
        <v>22</v>
      </c>
      <c r="H2883" s="35">
        <v>0</v>
      </c>
      <c r="I2883" s="38">
        <f t="shared" si="44"/>
        <v>9447.5</v>
      </c>
    </row>
    <row r="2884" spans="1:9" x14ac:dyDescent="0.2">
      <c r="A2884" s="33">
        <v>41108</v>
      </c>
      <c r="B2884" s="36">
        <v>9440</v>
      </c>
      <c r="C2884" s="7">
        <v>9460</v>
      </c>
      <c r="D2884" s="7">
        <v>9465</v>
      </c>
      <c r="E2884" s="7">
        <v>9440</v>
      </c>
      <c r="F2884" s="7">
        <v>9450</v>
      </c>
      <c r="G2884" s="34">
        <v>11</v>
      </c>
      <c r="H2884" s="35">
        <v>5</v>
      </c>
      <c r="I2884" s="38">
        <f t="shared" si="44"/>
        <v>9450</v>
      </c>
    </row>
    <row r="2885" spans="1:9" x14ac:dyDescent="0.2">
      <c r="A2885" s="33">
        <v>41107</v>
      </c>
      <c r="B2885" s="36">
        <v>9435</v>
      </c>
      <c r="C2885" s="7">
        <v>9445</v>
      </c>
      <c r="D2885" s="7">
        <v>9475</v>
      </c>
      <c r="E2885" s="7">
        <v>9435</v>
      </c>
      <c r="F2885" s="7">
        <v>9450</v>
      </c>
      <c r="G2885" s="34">
        <v>36</v>
      </c>
      <c r="H2885" s="35">
        <v>-10</v>
      </c>
      <c r="I2885" s="38">
        <f t="shared" si="44"/>
        <v>9440</v>
      </c>
    </row>
    <row r="2886" spans="1:9" x14ac:dyDescent="0.2">
      <c r="A2886" s="33">
        <v>41106</v>
      </c>
      <c r="B2886" s="36">
        <v>9445</v>
      </c>
      <c r="C2886" s="7">
        <v>9455</v>
      </c>
      <c r="D2886" s="7">
        <v>9485</v>
      </c>
      <c r="E2886" s="7">
        <v>9445</v>
      </c>
      <c r="F2886" s="7">
        <v>9450</v>
      </c>
      <c r="G2886" s="34">
        <v>26</v>
      </c>
      <c r="H2886" s="35">
        <v>5</v>
      </c>
      <c r="I2886" s="38">
        <f t="shared" si="44"/>
        <v>9450</v>
      </c>
    </row>
    <row r="2887" spans="1:9" x14ac:dyDescent="0.2">
      <c r="A2887" s="33">
        <v>41103</v>
      </c>
      <c r="B2887" s="36">
        <v>9440</v>
      </c>
      <c r="C2887" s="7">
        <v>9455</v>
      </c>
      <c r="D2887" s="7">
        <v>9490</v>
      </c>
      <c r="E2887" s="7">
        <v>9440</v>
      </c>
      <c r="F2887" s="7">
        <v>9460</v>
      </c>
      <c r="G2887" s="34">
        <v>28</v>
      </c>
      <c r="H2887" s="35">
        <v>0</v>
      </c>
      <c r="I2887" s="38">
        <f t="shared" si="44"/>
        <v>9447.5</v>
      </c>
    </row>
    <row r="2888" spans="1:9" x14ac:dyDescent="0.2">
      <c r="A2888" s="33">
        <v>41102</v>
      </c>
      <c r="B2888" s="36">
        <v>9440</v>
      </c>
      <c r="C2888" s="7">
        <v>9450</v>
      </c>
      <c r="D2888" s="7">
        <v>9480</v>
      </c>
      <c r="E2888" s="7">
        <v>9430</v>
      </c>
      <c r="F2888" s="7">
        <v>9430</v>
      </c>
      <c r="G2888" s="34">
        <v>18</v>
      </c>
      <c r="H2888" s="35">
        <v>30</v>
      </c>
      <c r="I2888" s="38">
        <f t="shared" si="44"/>
        <v>9445</v>
      </c>
    </row>
    <row r="2889" spans="1:9" x14ac:dyDescent="0.2">
      <c r="A2889" s="33">
        <v>41101</v>
      </c>
      <c r="B2889" s="36">
        <v>9410</v>
      </c>
      <c r="C2889" s="7">
        <v>9420</v>
      </c>
      <c r="D2889" s="7">
        <v>9465</v>
      </c>
      <c r="E2889" s="7">
        <v>9410</v>
      </c>
      <c r="F2889" s="7">
        <v>9435</v>
      </c>
      <c r="G2889" s="34">
        <v>39</v>
      </c>
      <c r="H2889" s="35">
        <v>-15</v>
      </c>
      <c r="I2889" s="38">
        <f t="shared" si="44"/>
        <v>9415</v>
      </c>
    </row>
    <row r="2890" spans="1:9" x14ac:dyDescent="0.2">
      <c r="A2890" s="33">
        <v>41100</v>
      </c>
      <c r="B2890" s="36">
        <v>9425</v>
      </c>
      <c r="C2890" s="7">
        <v>9435</v>
      </c>
      <c r="D2890" s="7">
        <v>9445</v>
      </c>
      <c r="E2890" s="7">
        <v>9415</v>
      </c>
      <c r="F2890" s="7">
        <v>9420</v>
      </c>
      <c r="G2890" s="34">
        <v>12</v>
      </c>
      <c r="H2890" s="35">
        <v>20</v>
      </c>
      <c r="I2890" s="38">
        <f t="shared" si="44"/>
        <v>9430</v>
      </c>
    </row>
    <row r="2891" spans="1:9" x14ac:dyDescent="0.2">
      <c r="A2891" s="33">
        <v>41099</v>
      </c>
      <c r="B2891" s="36">
        <v>9405</v>
      </c>
      <c r="C2891" s="7">
        <v>9415</v>
      </c>
      <c r="D2891" s="7">
        <v>9440</v>
      </c>
      <c r="E2891" s="7">
        <v>9395</v>
      </c>
      <c r="F2891" s="7">
        <v>9400</v>
      </c>
      <c r="G2891" s="34">
        <v>28</v>
      </c>
      <c r="H2891" s="35">
        <v>-32</v>
      </c>
      <c r="I2891" s="38">
        <f t="shared" si="44"/>
        <v>9410</v>
      </c>
    </row>
    <row r="2892" spans="1:9" x14ac:dyDescent="0.2">
      <c r="A2892" s="33">
        <v>41096</v>
      </c>
      <c r="B2892" s="36">
        <v>9437</v>
      </c>
      <c r="C2892" s="7">
        <v>9447</v>
      </c>
      <c r="D2892" s="7">
        <v>9469</v>
      </c>
      <c r="E2892" s="7">
        <v>9350</v>
      </c>
      <c r="F2892" s="7">
        <v>9390</v>
      </c>
      <c r="G2892" s="34">
        <v>187</v>
      </c>
      <c r="H2892" s="35">
        <v>63</v>
      </c>
      <c r="I2892" s="38">
        <f t="shared" si="44"/>
        <v>9442</v>
      </c>
    </row>
    <row r="2893" spans="1:9" x14ac:dyDescent="0.2">
      <c r="A2893" s="33">
        <v>41095</v>
      </c>
      <c r="B2893" s="36">
        <v>9374</v>
      </c>
      <c r="C2893" s="7">
        <v>9394</v>
      </c>
      <c r="D2893" s="7">
        <v>9395</v>
      </c>
      <c r="E2893" s="7">
        <v>9330</v>
      </c>
      <c r="F2893" s="7">
        <v>9360</v>
      </c>
      <c r="G2893" s="34">
        <v>218</v>
      </c>
      <c r="H2893" s="35">
        <v>39</v>
      </c>
      <c r="I2893" s="38">
        <f t="shared" si="44"/>
        <v>9384</v>
      </c>
    </row>
    <row r="2894" spans="1:9" x14ac:dyDescent="0.2">
      <c r="A2894" s="33">
        <v>41094</v>
      </c>
      <c r="B2894" s="36">
        <v>9335</v>
      </c>
      <c r="C2894" s="7">
        <v>9350</v>
      </c>
      <c r="D2894" s="7">
        <v>9460</v>
      </c>
      <c r="E2894" s="7">
        <v>9300</v>
      </c>
      <c r="F2894" s="7">
        <v>9340</v>
      </c>
      <c r="G2894" s="34">
        <v>386</v>
      </c>
      <c r="H2894" s="35">
        <v>21</v>
      </c>
      <c r="I2894" s="38">
        <f t="shared" si="44"/>
        <v>9342.5</v>
      </c>
    </row>
    <row r="2895" spans="1:9" x14ac:dyDescent="0.2">
      <c r="A2895" s="33">
        <v>41093</v>
      </c>
      <c r="B2895" s="36">
        <v>9314</v>
      </c>
      <c r="C2895" s="7">
        <v>9334</v>
      </c>
      <c r="D2895" s="7">
        <v>9425</v>
      </c>
      <c r="E2895" s="7">
        <v>9313</v>
      </c>
      <c r="F2895" s="7">
        <v>9380</v>
      </c>
      <c r="G2895" s="34">
        <v>410</v>
      </c>
      <c r="H2895" s="35">
        <v>-71</v>
      </c>
      <c r="I2895" s="38">
        <f t="shared" si="44"/>
        <v>9324</v>
      </c>
    </row>
    <row r="2896" spans="1:9" x14ac:dyDescent="0.2">
      <c r="A2896" s="33">
        <v>41092</v>
      </c>
      <c r="B2896" s="36">
        <v>9385</v>
      </c>
      <c r="C2896" s="7">
        <v>9405</v>
      </c>
      <c r="D2896" s="7">
        <v>9445</v>
      </c>
      <c r="E2896" s="7">
        <v>9345</v>
      </c>
      <c r="F2896" s="7">
        <v>9375</v>
      </c>
      <c r="G2896" s="34">
        <v>338</v>
      </c>
      <c r="H2896" s="35">
        <v>0</v>
      </c>
      <c r="I2896" s="38">
        <f t="shared" si="44"/>
        <v>9395</v>
      </c>
    </row>
    <row r="2897" spans="1:9" x14ac:dyDescent="0.2">
      <c r="A2897" s="33">
        <v>41089</v>
      </c>
      <c r="B2897" s="36">
        <v>9385</v>
      </c>
      <c r="C2897" s="7">
        <v>9400</v>
      </c>
      <c r="D2897" s="7">
        <v>9475</v>
      </c>
      <c r="E2897" s="7">
        <v>9385</v>
      </c>
      <c r="F2897" s="7">
        <v>9450</v>
      </c>
      <c r="G2897" s="34">
        <v>59</v>
      </c>
      <c r="H2897" s="35">
        <v>-55</v>
      </c>
      <c r="I2897" s="38">
        <f t="shared" si="44"/>
        <v>9392.5</v>
      </c>
    </row>
    <row r="2898" spans="1:9" x14ac:dyDescent="0.2">
      <c r="A2898" s="33">
        <v>41088</v>
      </c>
      <c r="B2898" s="36">
        <v>9440</v>
      </c>
      <c r="C2898" s="7">
        <v>9450</v>
      </c>
      <c r="D2898" s="7">
        <v>9475</v>
      </c>
      <c r="E2898" s="7">
        <v>9440</v>
      </c>
      <c r="F2898" s="7">
        <v>9450</v>
      </c>
      <c r="G2898" s="34">
        <v>24</v>
      </c>
      <c r="H2898" s="35">
        <v>0</v>
      </c>
      <c r="I2898" s="38">
        <f t="shared" si="44"/>
        <v>9445</v>
      </c>
    </row>
    <row r="2899" spans="1:9" x14ac:dyDescent="0.2">
      <c r="A2899" s="33">
        <v>41087</v>
      </c>
      <c r="B2899" s="36">
        <v>9440</v>
      </c>
      <c r="C2899" s="7">
        <v>9450</v>
      </c>
      <c r="D2899" s="7">
        <v>9480</v>
      </c>
      <c r="E2899" s="7">
        <v>9440</v>
      </c>
      <c r="F2899" s="7">
        <v>9460</v>
      </c>
      <c r="G2899" s="34">
        <v>36</v>
      </c>
      <c r="H2899" s="35">
        <v>5</v>
      </c>
      <c r="I2899" s="38">
        <f t="shared" si="44"/>
        <v>9445</v>
      </c>
    </row>
    <row r="2900" spans="1:9" x14ac:dyDescent="0.2">
      <c r="A2900" s="33">
        <v>41086</v>
      </c>
      <c r="B2900" s="36">
        <v>9435</v>
      </c>
      <c r="C2900" s="7">
        <v>9445</v>
      </c>
      <c r="D2900" s="7">
        <v>9475</v>
      </c>
      <c r="E2900" s="7">
        <v>9430</v>
      </c>
      <c r="F2900" s="7">
        <v>9460</v>
      </c>
      <c r="G2900" s="34">
        <v>25</v>
      </c>
      <c r="H2900" s="35">
        <v>0</v>
      </c>
      <c r="I2900" s="38">
        <f t="shared" si="44"/>
        <v>9440</v>
      </c>
    </row>
    <row r="2901" spans="1:9" x14ac:dyDescent="0.2">
      <c r="A2901" s="33">
        <v>41085</v>
      </c>
      <c r="B2901" s="36">
        <v>9435</v>
      </c>
      <c r="C2901" s="7">
        <v>9445</v>
      </c>
      <c r="D2901" s="7">
        <v>9471</v>
      </c>
      <c r="E2901" s="7">
        <v>9435</v>
      </c>
      <c r="F2901" s="7">
        <v>9445</v>
      </c>
      <c r="G2901" s="34">
        <v>40</v>
      </c>
      <c r="H2901" s="35">
        <v>5</v>
      </c>
      <c r="I2901" s="38">
        <f t="shared" si="44"/>
        <v>9440</v>
      </c>
    </row>
    <row r="2902" spans="1:9" x14ac:dyDescent="0.2">
      <c r="A2902" s="33">
        <v>41082</v>
      </c>
      <c r="B2902" s="36">
        <v>9430</v>
      </c>
      <c r="C2902" s="7">
        <v>9445</v>
      </c>
      <c r="D2902" s="7">
        <v>9470</v>
      </c>
      <c r="E2902" s="7">
        <v>9430</v>
      </c>
      <c r="F2902" s="7">
        <v>9440</v>
      </c>
      <c r="G2902" s="34">
        <v>46</v>
      </c>
      <c r="H2902" s="35">
        <v>5</v>
      </c>
      <c r="I2902" s="38">
        <f t="shared" si="44"/>
        <v>9437.5</v>
      </c>
    </row>
    <row r="2903" spans="1:9" x14ac:dyDescent="0.2">
      <c r="A2903" s="33">
        <v>41081</v>
      </c>
      <c r="B2903" s="36">
        <v>9425</v>
      </c>
      <c r="C2903" s="7">
        <v>9435</v>
      </c>
      <c r="D2903" s="7">
        <v>9475</v>
      </c>
      <c r="E2903" s="7">
        <v>9425</v>
      </c>
      <c r="F2903" s="7">
        <v>9440</v>
      </c>
      <c r="G2903" s="34">
        <v>36</v>
      </c>
      <c r="H2903" s="35">
        <v>15</v>
      </c>
      <c r="I2903" s="38">
        <f t="shared" si="44"/>
        <v>9430</v>
      </c>
    </row>
    <row r="2904" spans="1:9" x14ac:dyDescent="0.2">
      <c r="A2904" s="33">
        <v>41080</v>
      </c>
      <c r="B2904" s="36">
        <v>9410</v>
      </c>
      <c r="C2904" s="7">
        <v>9430</v>
      </c>
      <c r="D2904" s="7">
        <v>9480</v>
      </c>
      <c r="E2904" s="7">
        <v>9409</v>
      </c>
      <c r="F2904" s="7">
        <v>9410</v>
      </c>
      <c r="G2904" s="34">
        <v>57</v>
      </c>
      <c r="H2904" s="35">
        <v>15</v>
      </c>
      <c r="I2904" s="38">
        <f t="shared" si="44"/>
        <v>9420</v>
      </c>
    </row>
    <row r="2905" spans="1:9" x14ac:dyDescent="0.2">
      <c r="A2905" s="33">
        <v>41079</v>
      </c>
      <c r="B2905" s="36">
        <v>9395</v>
      </c>
      <c r="C2905" s="7">
        <v>9415</v>
      </c>
      <c r="D2905" s="7">
        <v>9450</v>
      </c>
      <c r="E2905" s="7">
        <v>9390</v>
      </c>
      <c r="F2905" s="7">
        <v>9410</v>
      </c>
      <c r="G2905" s="34">
        <v>33</v>
      </c>
      <c r="H2905" s="35">
        <v>15</v>
      </c>
      <c r="I2905" s="38">
        <f t="shared" si="44"/>
        <v>9405</v>
      </c>
    </row>
    <row r="2906" spans="1:9" x14ac:dyDescent="0.2">
      <c r="A2906" s="33">
        <v>41078</v>
      </c>
      <c r="B2906" s="36">
        <v>9380</v>
      </c>
      <c r="C2906" s="7">
        <v>9395</v>
      </c>
      <c r="D2906" s="7">
        <v>9426</v>
      </c>
      <c r="E2906" s="7">
        <v>9375</v>
      </c>
      <c r="F2906" s="7">
        <v>9390</v>
      </c>
      <c r="G2906" s="34">
        <v>40</v>
      </c>
      <c r="H2906" s="35">
        <v>0</v>
      </c>
      <c r="I2906" s="38">
        <f t="shared" si="44"/>
        <v>9387.5</v>
      </c>
    </row>
    <row r="2907" spans="1:9" x14ac:dyDescent="0.2">
      <c r="A2907" s="33">
        <v>41075</v>
      </c>
      <c r="B2907" s="36">
        <v>9380</v>
      </c>
      <c r="C2907" s="7">
        <v>9390</v>
      </c>
      <c r="D2907" s="7">
        <v>9465</v>
      </c>
      <c r="E2907" s="7">
        <v>9379</v>
      </c>
      <c r="F2907" s="7">
        <v>9430</v>
      </c>
      <c r="G2907" s="34">
        <v>73</v>
      </c>
      <c r="H2907" s="35">
        <v>-30</v>
      </c>
      <c r="I2907" s="38">
        <f t="shared" si="44"/>
        <v>9385</v>
      </c>
    </row>
    <row r="2908" spans="1:9" x14ac:dyDescent="0.2">
      <c r="A2908" s="33">
        <v>41074</v>
      </c>
      <c r="B2908" s="36">
        <v>9410</v>
      </c>
      <c r="C2908" s="7">
        <v>9430</v>
      </c>
      <c r="D2908" s="7">
        <v>9461</v>
      </c>
      <c r="E2908" s="7">
        <v>9409</v>
      </c>
      <c r="F2908" s="7">
        <v>9435</v>
      </c>
      <c r="G2908" s="34">
        <v>50</v>
      </c>
      <c r="H2908" s="35">
        <v>0</v>
      </c>
      <c r="I2908" s="38">
        <f t="shared" si="44"/>
        <v>9420</v>
      </c>
    </row>
    <row r="2909" spans="1:9" x14ac:dyDescent="0.2">
      <c r="A2909" s="33">
        <v>41073</v>
      </c>
      <c r="B2909" s="36">
        <v>9410</v>
      </c>
      <c r="C2909" s="7">
        <v>9430</v>
      </c>
      <c r="D2909" s="7">
        <v>9465</v>
      </c>
      <c r="E2909" s="7">
        <v>9400</v>
      </c>
      <c r="F2909" s="7">
        <v>9400</v>
      </c>
      <c r="G2909" s="34">
        <v>29</v>
      </c>
      <c r="H2909" s="35">
        <v>15</v>
      </c>
      <c r="I2909" s="38">
        <f t="shared" si="44"/>
        <v>9420</v>
      </c>
    </row>
    <row r="2910" spans="1:9" x14ac:dyDescent="0.2">
      <c r="A2910" s="33">
        <v>41072</v>
      </c>
      <c r="B2910" s="36">
        <v>9395</v>
      </c>
      <c r="C2910" s="7">
        <v>9415</v>
      </c>
      <c r="D2910" s="7">
        <v>9450</v>
      </c>
      <c r="E2910" s="7">
        <v>9395</v>
      </c>
      <c r="F2910" s="7">
        <v>9415</v>
      </c>
      <c r="G2910" s="34">
        <v>38</v>
      </c>
      <c r="H2910" s="35">
        <v>0</v>
      </c>
      <c r="I2910" s="38">
        <f t="shared" si="44"/>
        <v>9405</v>
      </c>
    </row>
    <row r="2911" spans="1:9" x14ac:dyDescent="0.2">
      <c r="A2911" s="33">
        <v>41071</v>
      </c>
      <c r="B2911" s="36">
        <v>9395</v>
      </c>
      <c r="C2911" s="7">
        <v>9415</v>
      </c>
      <c r="D2911" s="7">
        <v>9440</v>
      </c>
      <c r="E2911" s="7">
        <v>9390</v>
      </c>
      <c r="F2911" s="7">
        <v>9390</v>
      </c>
      <c r="G2911" s="34">
        <v>15</v>
      </c>
      <c r="H2911" s="35">
        <v>20</v>
      </c>
      <c r="I2911" s="38">
        <f t="shared" si="44"/>
        <v>9405</v>
      </c>
    </row>
    <row r="2912" spans="1:9" x14ac:dyDescent="0.2">
      <c r="A2912" s="33">
        <v>41068</v>
      </c>
      <c r="B2912" s="36">
        <v>9375</v>
      </c>
      <c r="C2912" s="7">
        <v>9395</v>
      </c>
      <c r="D2912" s="7">
        <v>9425</v>
      </c>
      <c r="E2912" s="7">
        <v>9370</v>
      </c>
      <c r="F2912" s="7">
        <v>9380</v>
      </c>
      <c r="G2912" s="34">
        <v>34</v>
      </c>
      <c r="H2912" s="35">
        <v>15</v>
      </c>
      <c r="I2912" s="38">
        <f t="shared" ref="I2912:I2975" si="45">+(B2912+C2912)*0.5</f>
        <v>9385</v>
      </c>
    </row>
    <row r="2913" spans="1:9" x14ac:dyDescent="0.2">
      <c r="A2913" s="33">
        <v>41067</v>
      </c>
      <c r="B2913" s="36">
        <v>9360</v>
      </c>
      <c r="C2913" s="7">
        <v>9380</v>
      </c>
      <c r="D2913" s="7">
        <v>9400</v>
      </c>
      <c r="E2913" s="7">
        <v>9350</v>
      </c>
      <c r="F2913" s="7">
        <v>9350</v>
      </c>
      <c r="G2913" s="34">
        <v>50</v>
      </c>
      <c r="H2913" s="35">
        <v>70</v>
      </c>
      <c r="I2913" s="38">
        <f t="shared" si="45"/>
        <v>9370</v>
      </c>
    </row>
    <row r="2914" spans="1:9" x14ac:dyDescent="0.2">
      <c r="A2914" s="33">
        <v>41066</v>
      </c>
      <c r="B2914" s="36">
        <v>9290</v>
      </c>
      <c r="C2914" s="7">
        <v>9310</v>
      </c>
      <c r="D2914" s="7">
        <v>9485</v>
      </c>
      <c r="E2914" s="7">
        <v>9280</v>
      </c>
      <c r="F2914" s="7">
        <v>9400</v>
      </c>
      <c r="G2914" s="34">
        <v>63</v>
      </c>
      <c r="H2914" s="35">
        <v>-100</v>
      </c>
      <c r="I2914" s="38">
        <f t="shared" si="45"/>
        <v>9300</v>
      </c>
    </row>
    <row r="2915" spans="1:9" x14ac:dyDescent="0.2">
      <c r="A2915" s="33">
        <v>41065</v>
      </c>
      <c r="B2915" s="36">
        <v>9390</v>
      </c>
      <c r="C2915" s="7">
        <v>9415</v>
      </c>
      <c r="D2915" s="7">
        <v>9450</v>
      </c>
      <c r="E2915" s="7">
        <v>9390</v>
      </c>
      <c r="F2915" s="7">
        <v>9400</v>
      </c>
      <c r="G2915" s="34">
        <v>33</v>
      </c>
      <c r="H2915" s="35">
        <v>0</v>
      </c>
      <c r="I2915" s="38">
        <f t="shared" si="45"/>
        <v>9402.5</v>
      </c>
    </row>
    <row r="2916" spans="1:9" x14ac:dyDescent="0.2">
      <c r="A2916" s="33">
        <v>41064</v>
      </c>
      <c r="B2916" s="36">
        <v>9390</v>
      </c>
      <c r="C2916" s="7">
        <v>9410</v>
      </c>
      <c r="D2916" s="7">
        <v>9476</v>
      </c>
      <c r="E2916" s="7">
        <v>9390</v>
      </c>
      <c r="F2916" s="7">
        <v>9400</v>
      </c>
      <c r="G2916" s="34">
        <v>58</v>
      </c>
      <c r="H2916" s="35">
        <v>10</v>
      </c>
      <c r="I2916" s="38">
        <f t="shared" si="45"/>
        <v>9400</v>
      </c>
    </row>
    <row r="2917" spans="1:9" x14ac:dyDescent="0.2">
      <c r="A2917" s="33">
        <v>41061</v>
      </c>
      <c r="B2917" s="36">
        <v>9380</v>
      </c>
      <c r="C2917" s="7">
        <v>9395</v>
      </c>
      <c r="D2917" s="7">
        <v>9475</v>
      </c>
      <c r="E2917" s="7">
        <v>9290</v>
      </c>
      <c r="F2917" s="7">
        <v>9340</v>
      </c>
      <c r="G2917" s="34">
        <v>69</v>
      </c>
      <c r="H2917" s="35">
        <v>-10</v>
      </c>
      <c r="I2917" s="38">
        <f t="shared" si="45"/>
        <v>9387.5</v>
      </c>
    </row>
    <row r="2918" spans="1:9" x14ac:dyDescent="0.2">
      <c r="A2918" s="33">
        <v>41060</v>
      </c>
      <c r="B2918" s="36">
        <v>9390</v>
      </c>
      <c r="C2918" s="7">
        <v>9410</v>
      </c>
      <c r="D2918" s="7">
        <v>9560</v>
      </c>
      <c r="E2918" s="7">
        <v>9380</v>
      </c>
      <c r="F2918" s="7">
        <v>9450</v>
      </c>
      <c r="G2918" s="34">
        <v>161</v>
      </c>
      <c r="H2918" s="35">
        <v>-30</v>
      </c>
      <c r="I2918" s="38">
        <f t="shared" si="45"/>
        <v>9400</v>
      </c>
    </row>
    <row r="2919" spans="1:9" x14ac:dyDescent="0.2">
      <c r="A2919" s="33">
        <v>41059</v>
      </c>
      <c r="B2919" s="36">
        <v>9420</v>
      </c>
      <c r="C2919" s="7">
        <v>9450</v>
      </c>
      <c r="D2919" s="7">
        <v>9575</v>
      </c>
      <c r="E2919" s="7">
        <v>9350</v>
      </c>
      <c r="F2919" s="7">
        <v>9350</v>
      </c>
      <c r="G2919" s="34">
        <v>52</v>
      </c>
      <c r="H2919" s="35">
        <v>40</v>
      </c>
      <c r="I2919" s="38">
        <f t="shared" si="45"/>
        <v>9435</v>
      </c>
    </row>
    <row r="2920" spans="1:9" x14ac:dyDescent="0.2">
      <c r="A2920" s="33">
        <v>41058</v>
      </c>
      <c r="B2920" s="36">
        <v>9380</v>
      </c>
      <c r="C2920" s="7">
        <v>9410</v>
      </c>
      <c r="D2920" s="7">
        <v>9550</v>
      </c>
      <c r="E2920" s="7">
        <v>9320</v>
      </c>
      <c r="F2920" s="7">
        <v>9320</v>
      </c>
      <c r="G2920" s="34">
        <v>55</v>
      </c>
      <c r="H2920" s="35">
        <v>60</v>
      </c>
      <c r="I2920" s="38">
        <f t="shared" si="45"/>
        <v>9395</v>
      </c>
    </row>
    <row r="2921" spans="1:9" x14ac:dyDescent="0.2">
      <c r="A2921" s="33">
        <v>41057</v>
      </c>
      <c r="B2921" s="36">
        <v>9320</v>
      </c>
      <c r="C2921" s="7">
        <v>9340</v>
      </c>
      <c r="D2921" s="7">
        <v>9400</v>
      </c>
      <c r="E2921" s="7">
        <v>9290</v>
      </c>
      <c r="F2921" s="7">
        <v>9290</v>
      </c>
      <c r="G2921" s="34">
        <v>33</v>
      </c>
      <c r="H2921" s="35">
        <v>40</v>
      </c>
      <c r="I2921" s="38">
        <f t="shared" si="45"/>
        <v>9330</v>
      </c>
    </row>
    <row r="2922" spans="1:9" x14ac:dyDescent="0.2">
      <c r="A2922" s="33">
        <v>41054</v>
      </c>
      <c r="B2922" s="36">
        <v>9280</v>
      </c>
      <c r="C2922" s="7">
        <v>9295</v>
      </c>
      <c r="D2922" s="7">
        <v>9340</v>
      </c>
      <c r="E2922" s="7">
        <v>9260</v>
      </c>
      <c r="F2922" s="7">
        <v>9260</v>
      </c>
      <c r="G2922" s="34">
        <v>65</v>
      </c>
      <c r="H2922" s="35">
        <v>20</v>
      </c>
      <c r="I2922" s="38">
        <f t="shared" si="45"/>
        <v>9287.5</v>
      </c>
    </row>
    <row r="2923" spans="1:9" x14ac:dyDescent="0.2">
      <c r="A2923" s="33">
        <v>41053</v>
      </c>
      <c r="B2923" s="36">
        <v>9260</v>
      </c>
      <c r="C2923" s="7">
        <v>9270</v>
      </c>
      <c r="D2923" s="7">
        <v>9270</v>
      </c>
      <c r="E2923" s="7">
        <v>9260</v>
      </c>
      <c r="F2923" s="7">
        <v>9260</v>
      </c>
      <c r="G2923" s="34">
        <v>27</v>
      </c>
      <c r="H2923" s="35">
        <v>10</v>
      </c>
      <c r="I2923" s="38">
        <f t="shared" si="45"/>
        <v>9265</v>
      </c>
    </row>
    <row r="2924" spans="1:9" x14ac:dyDescent="0.2">
      <c r="A2924" s="33">
        <v>41052</v>
      </c>
      <c r="B2924" s="36">
        <v>9250</v>
      </c>
      <c r="C2924" s="7">
        <v>9270</v>
      </c>
      <c r="D2924" s="7">
        <v>9275</v>
      </c>
      <c r="E2924" s="7">
        <v>9249</v>
      </c>
      <c r="F2924" s="7">
        <v>9250</v>
      </c>
      <c r="G2924" s="34">
        <v>40</v>
      </c>
      <c r="H2924" s="35">
        <v>30</v>
      </c>
      <c r="I2924" s="38">
        <f t="shared" si="45"/>
        <v>9260</v>
      </c>
    </row>
    <row r="2925" spans="1:9" x14ac:dyDescent="0.2">
      <c r="A2925" s="33">
        <v>41051</v>
      </c>
      <c r="B2925" s="36">
        <v>9220</v>
      </c>
      <c r="C2925" s="7">
        <v>9235</v>
      </c>
      <c r="D2925" s="7">
        <v>9261</v>
      </c>
      <c r="E2925" s="7">
        <v>9220</v>
      </c>
      <c r="F2925" s="7">
        <v>9260</v>
      </c>
      <c r="G2925" s="34">
        <v>48</v>
      </c>
      <c r="H2925" s="35">
        <v>-20</v>
      </c>
      <c r="I2925" s="38">
        <f t="shared" si="45"/>
        <v>9227.5</v>
      </c>
    </row>
    <row r="2926" spans="1:9" x14ac:dyDescent="0.2">
      <c r="A2926" s="33">
        <v>41050</v>
      </c>
      <c r="B2926" s="36">
        <v>9240</v>
      </c>
      <c r="C2926" s="7">
        <v>9260</v>
      </c>
      <c r="D2926" s="7">
        <v>9265</v>
      </c>
      <c r="E2926" s="7">
        <v>9239</v>
      </c>
      <c r="F2926" s="7">
        <v>9250</v>
      </c>
      <c r="G2926" s="34">
        <v>49</v>
      </c>
      <c r="H2926" s="35">
        <v>3</v>
      </c>
      <c r="I2926" s="38">
        <f t="shared" si="45"/>
        <v>9250</v>
      </c>
    </row>
    <row r="2927" spans="1:9" x14ac:dyDescent="0.2">
      <c r="A2927" s="33">
        <v>41047</v>
      </c>
      <c r="B2927" s="36">
        <v>9237</v>
      </c>
      <c r="C2927" s="7">
        <v>9247</v>
      </c>
      <c r="D2927" s="7"/>
      <c r="E2927" s="7"/>
      <c r="F2927" s="7"/>
      <c r="G2927" s="34">
        <v>0</v>
      </c>
      <c r="H2927" s="35">
        <v>0</v>
      </c>
      <c r="I2927" s="38">
        <f t="shared" si="45"/>
        <v>9242</v>
      </c>
    </row>
    <row r="2928" spans="1:9" x14ac:dyDescent="0.2">
      <c r="A2928" s="33">
        <v>41046</v>
      </c>
      <c r="B2928" s="36">
        <v>9237</v>
      </c>
      <c r="C2928" s="7">
        <v>9247</v>
      </c>
      <c r="D2928" s="7"/>
      <c r="E2928" s="7"/>
      <c r="F2928" s="7"/>
      <c r="G2928" s="34">
        <v>0</v>
      </c>
      <c r="H2928" s="35">
        <v>0</v>
      </c>
      <c r="I2928" s="38">
        <f t="shared" si="45"/>
        <v>9242</v>
      </c>
    </row>
    <row r="2929" spans="1:9" x14ac:dyDescent="0.2">
      <c r="A2929" s="33">
        <v>41045</v>
      </c>
      <c r="B2929" s="36">
        <v>9237</v>
      </c>
      <c r="C2929" s="7">
        <v>9247</v>
      </c>
      <c r="D2929" s="7">
        <v>9275</v>
      </c>
      <c r="E2929" s="7">
        <v>9237</v>
      </c>
      <c r="F2929" s="7">
        <v>9265</v>
      </c>
      <c r="G2929" s="34">
        <v>127</v>
      </c>
      <c r="H2929" s="35">
        <v>2</v>
      </c>
      <c r="I2929" s="38">
        <f t="shared" si="45"/>
        <v>9242</v>
      </c>
    </row>
    <row r="2930" spans="1:9" x14ac:dyDescent="0.2">
      <c r="A2930" s="33">
        <v>41044</v>
      </c>
      <c r="B2930" s="36">
        <v>9235</v>
      </c>
      <c r="C2930" s="7">
        <v>9245</v>
      </c>
      <c r="D2930" s="7">
        <v>9265</v>
      </c>
      <c r="E2930" s="7">
        <v>9230</v>
      </c>
      <c r="F2930" s="7">
        <v>9240</v>
      </c>
      <c r="G2930" s="34">
        <v>40</v>
      </c>
      <c r="H2930" s="35">
        <v>5</v>
      </c>
      <c r="I2930" s="38">
        <f t="shared" si="45"/>
        <v>9240</v>
      </c>
    </row>
    <row r="2931" spans="1:9" x14ac:dyDescent="0.2">
      <c r="A2931" s="33">
        <v>41043</v>
      </c>
      <c r="B2931" s="36">
        <v>9230</v>
      </c>
      <c r="C2931" s="7">
        <v>9240</v>
      </c>
      <c r="D2931" s="7">
        <v>9260</v>
      </c>
      <c r="E2931" s="7">
        <v>9200</v>
      </c>
      <c r="F2931" s="7">
        <v>9200</v>
      </c>
      <c r="G2931" s="34">
        <v>46</v>
      </c>
      <c r="H2931" s="35">
        <v>50</v>
      </c>
      <c r="I2931" s="38">
        <f t="shared" si="45"/>
        <v>9235</v>
      </c>
    </row>
    <row r="2932" spans="1:9" x14ac:dyDescent="0.2">
      <c r="A2932" s="33">
        <v>41040</v>
      </c>
      <c r="B2932" s="36">
        <v>9180</v>
      </c>
      <c r="C2932" s="7">
        <v>9200</v>
      </c>
      <c r="D2932" s="7">
        <v>9190</v>
      </c>
      <c r="E2932" s="7">
        <v>9135</v>
      </c>
      <c r="F2932" s="7">
        <v>9180</v>
      </c>
      <c r="G2932" s="34">
        <v>48</v>
      </c>
      <c r="H2932" s="35">
        <v>10</v>
      </c>
      <c r="I2932" s="38">
        <f t="shared" si="45"/>
        <v>9190</v>
      </c>
    </row>
    <row r="2933" spans="1:9" x14ac:dyDescent="0.2">
      <c r="A2933" s="33">
        <v>41039</v>
      </c>
      <c r="B2933" s="36">
        <v>9170</v>
      </c>
      <c r="C2933" s="7">
        <v>9190</v>
      </c>
      <c r="D2933" s="7">
        <v>9255</v>
      </c>
      <c r="E2933" s="7">
        <v>9165</v>
      </c>
      <c r="F2933" s="7">
        <v>9245</v>
      </c>
      <c r="G2933" s="34">
        <v>89</v>
      </c>
      <c r="H2933" s="35">
        <v>-55</v>
      </c>
      <c r="I2933" s="38">
        <f t="shared" si="45"/>
        <v>9180</v>
      </c>
    </row>
    <row r="2934" spans="1:9" x14ac:dyDescent="0.2">
      <c r="A2934" s="33">
        <v>41038</v>
      </c>
      <c r="B2934" s="36">
        <v>9225</v>
      </c>
      <c r="C2934" s="7">
        <v>9235</v>
      </c>
      <c r="D2934" s="7">
        <v>9230</v>
      </c>
      <c r="E2934" s="7">
        <v>9182</v>
      </c>
      <c r="F2934" s="7">
        <v>9210</v>
      </c>
      <c r="G2934" s="34">
        <v>26</v>
      </c>
      <c r="H2934" s="35">
        <v>35</v>
      </c>
      <c r="I2934" s="38">
        <f t="shared" si="45"/>
        <v>9230</v>
      </c>
    </row>
    <row r="2935" spans="1:9" x14ac:dyDescent="0.2">
      <c r="A2935" s="33">
        <v>41037</v>
      </c>
      <c r="B2935" s="36">
        <v>9190</v>
      </c>
      <c r="C2935" s="7">
        <v>9200</v>
      </c>
      <c r="D2935" s="7">
        <v>9235</v>
      </c>
      <c r="E2935" s="7">
        <v>9190</v>
      </c>
      <c r="F2935" s="7">
        <v>9200</v>
      </c>
      <c r="G2935" s="34">
        <v>16</v>
      </c>
      <c r="H2935" s="35">
        <v>0</v>
      </c>
      <c r="I2935" s="38">
        <f t="shared" si="45"/>
        <v>9195</v>
      </c>
    </row>
    <row r="2936" spans="1:9" x14ac:dyDescent="0.2">
      <c r="A2936" s="33">
        <v>41036</v>
      </c>
      <c r="B2936" s="36">
        <v>9190</v>
      </c>
      <c r="C2936" s="7">
        <v>9200</v>
      </c>
      <c r="D2936" s="7">
        <v>9225</v>
      </c>
      <c r="E2936" s="7">
        <v>9190</v>
      </c>
      <c r="F2936" s="7">
        <v>9205</v>
      </c>
      <c r="G2936" s="34">
        <v>13</v>
      </c>
      <c r="H2936" s="35">
        <v>5</v>
      </c>
      <c r="I2936" s="38">
        <f t="shared" si="45"/>
        <v>9195</v>
      </c>
    </row>
    <row r="2937" spans="1:9" x14ac:dyDescent="0.2">
      <c r="A2937" s="33">
        <v>41033</v>
      </c>
      <c r="B2937" s="36">
        <v>9185</v>
      </c>
      <c r="C2937" s="7">
        <v>9195</v>
      </c>
      <c r="D2937" s="7">
        <v>9205</v>
      </c>
      <c r="E2937" s="7">
        <v>9184</v>
      </c>
      <c r="F2937" s="7">
        <v>9195</v>
      </c>
      <c r="G2937" s="34">
        <v>18</v>
      </c>
      <c r="H2937" s="35">
        <v>0</v>
      </c>
      <c r="I2937" s="38">
        <f t="shared" si="45"/>
        <v>9190</v>
      </c>
    </row>
    <row r="2938" spans="1:9" x14ac:dyDescent="0.2">
      <c r="A2938" s="33">
        <v>41032</v>
      </c>
      <c r="B2938" s="36">
        <v>9185</v>
      </c>
      <c r="C2938" s="7">
        <v>9195</v>
      </c>
      <c r="D2938" s="7">
        <v>9205</v>
      </c>
      <c r="E2938" s="7">
        <v>9185</v>
      </c>
      <c r="F2938" s="7">
        <v>9205</v>
      </c>
      <c r="G2938" s="34">
        <v>19</v>
      </c>
      <c r="H2938" s="35">
        <v>-12</v>
      </c>
      <c r="I2938" s="38">
        <f t="shared" si="45"/>
        <v>9190</v>
      </c>
    </row>
    <row r="2939" spans="1:9" x14ac:dyDescent="0.2">
      <c r="A2939" s="33">
        <v>41031</v>
      </c>
      <c r="B2939" s="36">
        <v>9197</v>
      </c>
      <c r="C2939" s="7">
        <v>9199</v>
      </c>
      <c r="D2939" s="7">
        <v>9197</v>
      </c>
      <c r="E2939" s="7">
        <v>9185</v>
      </c>
      <c r="F2939" s="7">
        <v>9185</v>
      </c>
      <c r="G2939" s="34">
        <v>2</v>
      </c>
      <c r="H2939" s="35">
        <v>7</v>
      </c>
      <c r="I2939" s="38">
        <f t="shared" si="45"/>
        <v>9198</v>
      </c>
    </row>
    <row r="2940" spans="1:9" x14ac:dyDescent="0.2">
      <c r="A2940" s="33">
        <v>41030</v>
      </c>
      <c r="B2940" s="36">
        <v>9190</v>
      </c>
      <c r="C2940" s="7">
        <v>9195</v>
      </c>
      <c r="D2940" s="7">
        <v>9190</v>
      </c>
      <c r="E2940" s="7">
        <v>9185</v>
      </c>
      <c r="F2940" s="7">
        <v>9190</v>
      </c>
      <c r="G2940" s="34">
        <v>6</v>
      </c>
      <c r="H2940" s="35">
        <v>2</v>
      </c>
      <c r="I2940" s="38">
        <f t="shared" si="45"/>
        <v>9192.5</v>
      </c>
    </row>
    <row r="2941" spans="1:9" x14ac:dyDescent="0.2">
      <c r="A2941" s="33">
        <v>41029</v>
      </c>
      <c r="B2941" s="36">
        <v>9188</v>
      </c>
      <c r="C2941" s="7">
        <v>9193</v>
      </c>
      <c r="D2941" s="7">
        <v>9192</v>
      </c>
      <c r="E2941" s="7">
        <v>9182</v>
      </c>
      <c r="F2941" s="7">
        <v>9185</v>
      </c>
      <c r="G2941" s="34">
        <v>10</v>
      </c>
      <c r="H2941" s="35">
        <v>4</v>
      </c>
      <c r="I2941" s="38">
        <f t="shared" si="45"/>
        <v>9190.5</v>
      </c>
    </row>
    <row r="2942" spans="1:9" x14ac:dyDescent="0.2">
      <c r="A2942" s="33">
        <v>41026</v>
      </c>
      <c r="B2942" s="36">
        <v>9184</v>
      </c>
      <c r="C2942" s="7">
        <v>9194</v>
      </c>
      <c r="D2942" s="7">
        <v>9192</v>
      </c>
      <c r="E2942" s="7">
        <v>9184</v>
      </c>
      <c r="F2942" s="7">
        <v>9185</v>
      </c>
      <c r="G2942" s="34">
        <v>11</v>
      </c>
      <c r="H2942" s="35">
        <v>4</v>
      </c>
      <c r="I2942" s="38">
        <f t="shared" si="45"/>
        <v>9189</v>
      </c>
    </row>
    <row r="2943" spans="1:9" x14ac:dyDescent="0.2">
      <c r="A2943" s="33">
        <v>41025</v>
      </c>
      <c r="B2943" s="36">
        <v>9180</v>
      </c>
      <c r="C2943" s="7">
        <v>9190</v>
      </c>
      <c r="D2943" s="7">
        <v>9196</v>
      </c>
      <c r="E2943" s="7">
        <v>9179</v>
      </c>
      <c r="F2943" s="7">
        <v>9195</v>
      </c>
      <c r="G2943" s="34">
        <v>52</v>
      </c>
      <c r="H2943" s="35">
        <v>-15</v>
      </c>
      <c r="I2943" s="38">
        <f t="shared" si="45"/>
        <v>9185</v>
      </c>
    </row>
    <row r="2944" spans="1:9" x14ac:dyDescent="0.2">
      <c r="A2944" s="33">
        <v>41024</v>
      </c>
      <c r="B2944" s="36">
        <v>9195</v>
      </c>
      <c r="C2944" s="7">
        <v>9200</v>
      </c>
      <c r="D2944" s="7">
        <v>9198</v>
      </c>
      <c r="E2944" s="7">
        <v>9175</v>
      </c>
      <c r="F2944" s="7">
        <v>9175</v>
      </c>
      <c r="G2944" s="34">
        <v>8</v>
      </c>
      <c r="H2944" s="35">
        <v>5</v>
      </c>
      <c r="I2944" s="38">
        <f t="shared" si="45"/>
        <v>9197.5</v>
      </c>
    </row>
    <row r="2945" spans="1:9" x14ac:dyDescent="0.2">
      <c r="A2945" s="33">
        <v>41023</v>
      </c>
      <c r="B2945" s="36">
        <v>9190</v>
      </c>
      <c r="C2945" s="7">
        <v>9195</v>
      </c>
      <c r="D2945" s="7">
        <v>9195</v>
      </c>
      <c r="E2945" s="7">
        <v>9187</v>
      </c>
      <c r="F2945" s="7">
        <v>9190</v>
      </c>
      <c r="G2945" s="34">
        <v>9</v>
      </c>
      <c r="H2945" s="35">
        <v>5</v>
      </c>
      <c r="I2945" s="38">
        <f t="shared" si="45"/>
        <v>9192.5</v>
      </c>
    </row>
    <row r="2946" spans="1:9" x14ac:dyDescent="0.2">
      <c r="A2946" s="33">
        <v>41022</v>
      </c>
      <c r="B2946" s="36">
        <v>9185</v>
      </c>
      <c r="C2946" s="7">
        <v>9188</v>
      </c>
      <c r="D2946" s="7">
        <v>9186</v>
      </c>
      <c r="E2946" s="7">
        <v>9170</v>
      </c>
      <c r="F2946" s="7">
        <v>9170</v>
      </c>
      <c r="G2946" s="34">
        <v>5</v>
      </c>
      <c r="H2946" s="35">
        <v>2</v>
      </c>
      <c r="I2946" s="38">
        <f t="shared" si="45"/>
        <v>9186.5</v>
      </c>
    </row>
    <row r="2947" spans="1:9" x14ac:dyDescent="0.2">
      <c r="A2947" s="33">
        <v>41019</v>
      </c>
      <c r="B2947" s="36">
        <v>9183</v>
      </c>
      <c r="C2947" s="7">
        <v>9184</v>
      </c>
      <c r="D2947" s="7">
        <v>9183</v>
      </c>
      <c r="E2947" s="7">
        <v>9176</v>
      </c>
      <c r="F2947" s="7">
        <v>9180</v>
      </c>
      <c r="G2947" s="34">
        <v>9</v>
      </c>
      <c r="H2947" s="35">
        <v>8</v>
      </c>
      <c r="I2947" s="38">
        <f t="shared" si="45"/>
        <v>9183.5</v>
      </c>
    </row>
    <row r="2948" spans="1:9" x14ac:dyDescent="0.2">
      <c r="A2948" s="33">
        <v>41018</v>
      </c>
      <c r="B2948" s="36">
        <v>9175</v>
      </c>
      <c r="C2948" s="7">
        <v>9183</v>
      </c>
      <c r="D2948" s="7">
        <v>9182</v>
      </c>
      <c r="E2948" s="7">
        <v>9173</v>
      </c>
      <c r="F2948" s="7">
        <v>9175</v>
      </c>
      <c r="G2948" s="34">
        <v>14</v>
      </c>
      <c r="H2948" s="35">
        <v>0</v>
      </c>
      <c r="I2948" s="38">
        <f t="shared" si="45"/>
        <v>9179</v>
      </c>
    </row>
    <row r="2949" spans="1:9" x14ac:dyDescent="0.2">
      <c r="A2949" s="33">
        <v>41017</v>
      </c>
      <c r="B2949" s="36">
        <v>9175</v>
      </c>
      <c r="C2949" s="7">
        <v>9180</v>
      </c>
      <c r="D2949" s="7">
        <v>9179</v>
      </c>
      <c r="E2949" s="7">
        <v>9170</v>
      </c>
      <c r="F2949" s="7">
        <v>9170</v>
      </c>
      <c r="G2949" s="34">
        <v>6</v>
      </c>
      <c r="H2949" s="35">
        <v>0</v>
      </c>
      <c r="I2949" s="38">
        <f t="shared" si="45"/>
        <v>9177.5</v>
      </c>
    </row>
    <row r="2950" spans="1:9" x14ac:dyDescent="0.2">
      <c r="A2950" s="33">
        <v>41016</v>
      </c>
      <c r="B2950" s="36">
        <v>9175</v>
      </c>
      <c r="C2950" s="7">
        <v>9185</v>
      </c>
      <c r="D2950" s="7">
        <v>9180</v>
      </c>
      <c r="E2950" s="7">
        <v>9170</v>
      </c>
      <c r="F2950" s="7">
        <v>9170</v>
      </c>
      <c r="G2950" s="34">
        <v>11</v>
      </c>
      <c r="H2950" s="35">
        <v>5</v>
      </c>
      <c r="I2950" s="38">
        <f t="shared" si="45"/>
        <v>9180</v>
      </c>
    </row>
    <row r="2951" spans="1:9" x14ac:dyDescent="0.2">
      <c r="A2951" s="33">
        <v>41015</v>
      </c>
      <c r="B2951" s="36">
        <v>9170</v>
      </c>
      <c r="C2951" s="7">
        <v>9180</v>
      </c>
      <c r="D2951" s="7">
        <v>9180</v>
      </c>
      <c r="E2951" s="7">
        <v>9150</v>
      </c>
      <c r="F2951" s="7">
        <v>9150</v>
      </c>
      <c r="G2951" s="34">
        <v>10</v>
      </c>
      <c r="H2951" s="35">
        <v>35</v>
      </c>
      <c r="I2951" s="38">
        <f t="shared" si="45"/>
        <v>9175</v>
      </c>
    </row>
    <row r="2952" spans="1:9" x14ac:dyDescent="0.2">
      <c r="A2952" s="33">
        <v>41012</v>
      </c>
      <c r="B2952" s="36">
        <v>9135</v>
      </c>
      <c r="C2952" s="7">
        <v>9145</v>
      </c>
      <c r="D2952" s="7">
        <v>9180</v>
      </c>
      <c r="E2952" s="7">
        <v>9135</v>
      </c>
      <c r="F2952" s="7">
        <v>9165</v>
      </c>
      <c r="G2952" s="34">
        <v>20</v>
      </c>
      <c r="H2952" s="35">
        <v>-20</v>
      </c>
      <c r="I2952" s="38">
        <f t="shared" si="45"/>
        <v>9140</v>
      </c>
    </row>
    <row r="2953" spans="1:9" x14ac:dyDescent="0.2">
      <c r="A2953" s="33">
        <v>41011</v>
      </c>
      <c r="B2953" s="36">
        <v>9155</v>
      </c>
      <c r="C2953" s="7">
        <v>9170</v>
      </c>
      <c r="D2953" s="7">
        <v>9180</v>
      </c>
      <c r="E2953" s="7">
        <v>9155</v>
      </c>
      <c r="F2953" s="7">
        <v>9170</v>
      </c>
      <c r="G2953" s="34">
        <v>9</v>
      </c>
      <c r="H2953" s="35">
        <v>10</v>
      </c>
      <c r="I2953" s="38">
        <f t="shared" si="45"/>
        <v>9162.5</v>
      </c>
    </row>
    <row r="2954" spans="1:9" x14ac:dyDescent="0.2">
      <c r="A2954" s="33">
        <v>41010</v>
      </c>
      <c r="B2954" s="36">
        <v>9145</v>
      </c>
      <c r="C2954" s="7">
        <v>9160</v>
      </c>
      <c r="D2954" s="7">
        <v>9175</v>
      </c>
      <c r="E2954" s="7">
        <v>9140</v>
      </c>
      <c r="F2954" s="7">
        <v>9160</v>
      </c>
      <c r="G2954" s="34">
        <v>29</v>
      </c>
      <c r="H2954" s="35">
        <v>0</v>
      </c>
      <c r="I2954" s="38">
        <f t="shared" si="45"/>
        <v>9152.5</v>
      </c>
    </row>
    <row r="2955" spans="1:9" x14ac:dyDescent="0.2">
      <c r="A2955" s="33">
        <v>41009</v>
      </c>
      <c r="B2955" s="36">
        <v>9145</v>
      </c>
      <c r="C2955" s="7">
        <v>9155</v>
      </c>
      <c r="D2955" s="7">
        <v>9173</v>
      </c>
      <c r="E2955" s="7">
        <v>9145</v>
      </c>
      <c r="F2955" s="7">
        <v>9155</v>
      </c>
      <c r="G2955" s="34">
        <v>17</v>
      </c>
      <c r="H2955" s="35">
        <v>5</v>
      </c>
      <c r="I2955" s="38">
        <f t="shared" si="45"/>
        <v>9150</v>
      </c>
    </row>
    <row r="2956" spans="1:9" x14ac:dyDescent="0.2">
      <c r="A2956" s="33">
        <v>41008</v>
      </c>
      <c r="B2956" s="36">
        <v>9140</v>
      </c>
      <c r="C2956" s="7">
        <v>9160</v>
      </c>
      <c r="D2956" s="7">
        <v>9170</v>
      </c>
      <c r="E2956" s="7">
        <v>9105</v>
      </c>
      <c r="F2956" s="7">
        <v>9140</v>
      </c>
      <c r="G2956" s="34">
        <v>18</v>
      </c>
      <c r="H2956" s="35">
        <v>35</v>
      </c>
      <c r="I2956" s="38">
        <f t="shared" si="45"/>
        <v>9150</v>
      </c>
    </row>
    <row r="2957" spans="1:9" x14ac:dyDescent="0.2">
      <c r="A2957" s="33">
        <v>41005</v>
      </c>
      <c r="B2957" s="36">
        <v>9105</v>
      </c>
      <c r="C2957" s="7">
        <v>9115</v>
      </c>
      <c r="D2957" s="7"/>
      <c r="E2957" s="7"/>
      <c r="F2957" s="7"/>
      <c r="G2957" s="34">
        <v>0</v>
      </c>
      <c r="H2957" s="35">
        <v>0</v>
      </c>
      <c r="I2957" s="38">
        <f t="shared" si="45"/>
        <v>9110</v>
      </c>
    </row>
    <row r="2958" spans="1:9" x14ac:dyDescent="0.2">
      <c r="A2958" s="33">
        <v>41004</v>
      </c>
      <c r="B2958" s="36">
        <v>9105</v>
      </c>
      <c r="C2958" s="7">
        <v>9115</v>
      </c>
      <c r="D2958" s="7">
        <v>9160</v>
      </c>
      <c r="E2958" s="7">
        <v>9080</v>
      </c>
      <c r="F2958" s="7">
        <v>9145</v>
      </c>
      <c r="G2958" s="34">
        <v>31</v>
      </c>
      <c r="H2958" s="35">
        <v>-30</v>
      </c>
      <c r="I2958" s="38">
        <f t="shared" si="45"/>
        <v>9110</v>
      </c>
    </row>
    <row r="2959" spans="1:9" x14ac:dyDescent="0.2">
      <c r="A2959" s="33">
        <v>41003</v>
      </c>
      <c r="B2959" s="36">
        <v>9135</v>
      </c>
      <c r="C2959" s="7">
        <v>9145</v>
      </c>
      <c r="D2959" s="7">
        <v>9160</v>
      </c>
      <c r="E2959" s="7">
        <v>9135</v>
      </c>
      <c r="F2959" s="7">
        <v>9140</v>
      </c>
      <c r="G2959" s="34">
        <v>19</v>
      </c>
      <c r="H2959" s="35">
        <v>10</v>
      </c>
      <c r="I2959" s="38">
        <f t="shared" si="45"/>
        <v>9140</v>
      </c>
    </row>
    <row r="2960" spans="1:9" x14ac:dyDescent="0.2">
      <c r="A2960" s="33">
        <v>41002</v>
      </c>
      <c r="B2960" s="36">
        <v>9125</v>
      </c>
      <c r="C2960" s="7">
        <v>9135</v>
      </c>
      <c r="D2960" s="7">
        <v>9155</v>
      </c>
      <c r="E2960" s="7">
        <v>9110</v>
      </c>
      <c r="F2960" s="7">
        <v>9135</v>
      </c>
      <c r="G2960" s="34">
        <v>17</v>
      </c>
      <c r="H2960" s="35">
        <v>-10</v>
      </c>
      <c r="I2960" s="38">
        <f t="shared" si="45"/>
        <v>9130</v>
      </c>
    </row>
    <row r="2961" spans="1:9" x14ac:dyDescent="0.2">
      <c r="A2961" s="33">
        <v>41001</v>
      </c>
      <c r="B2961" s="36">
        <v>9135</v>
      </c>
      <c r="C2961" s="7">
        <v>9145</v>
      </c>
      <c r="D2961" s="7">
        <v>9175</v>
      </c>
      <c r="E2961" s="7">
        <v>9130</v>
      </c>
      <c r="F2961" s="7">
        <v>9150</v>
      </c>
      <c r="G2961" s="34">
        <v>22</v>
      </c>
      <c r="H2961" s="35">
        <v>-4</v>
      </c>
      <c r="I2961" s="38">
        <f t="shared" si="45"/>
        <v>9140</v>
      </c>
    </row>
    <row r="2962" spans="1:9" x14ac:dyDescent="0.2">
      <c r="A2962" s="33">
        <v>40998</v>
      </c>
      <c r="B2962" s="36">
        <v>9139</v>
      </c>
      <c r="C2962" s="7">
        <v>9149</v>
      </c>
      <c r="D2962" s="7">
        <v>9185</v>
      </c>
      <c r="E2962" s="7">
        <v>9138</v>
      </c>
      <c r="F2962" s="7">
        <v>9170</v>
      </c>
      <c r="G2962" s="34">
        <v>52</v>
      </c>
      <c r="H2962" s="35">
        <v>-21</v>
      </c>
      <c r="I2962" s="38">
        <f t="shared" si="45"/>
        <v>9144</v>
      </c>
    </row>
    <row r="2963" spans="1:9" x14ac:dyDescent="0.2">
      <c r="A2963" s="33">
        <v>40997</v>
      </c>
      <c r="B2963" s="36">
        <v>9160</v>
      </c>
      <c r="C2963" s="7">
        <v>9170</v>
      </c>
      <c r="D2963" s="7">
        <v>9192</v>
      </c>
      <c r="E2963" s="7">
        <v>9155</v>
      </c>
      <c r="F2963" s="7">
        <v>9170</v>
      </c>
      <c r="G2963" s="34">
        <v>42</v>
      </c>
      <c r="H2963" s="35">
        <v>20</v>
      </c>
      <c r="I2963" s="38">
        <f t="shared" si="45"/>
        <v>9165</v>
      </c>
    </row>
    <row r="2964" spans="1:9" x14ac:dyDescent="0.2">
      <c r="A2964" s="33">
        <v>40996</v>
      </c>
      <c r="B2964" s="36">
        <v>9140</v>
      </c>
      <c r="C2964" s="7">
        <v>9155</v>
      </c>
      <c r="D2964" s="7">
        <v>9187</v>
      </c>
      <c r="E2964" s="7">
        <v>9140</v>
      </c>
      <c r="F2964" s="7">
        <v>9175</v>
      </c>
      <c r="G2964" s="34">
        <v>30</v>
      </c>
      <c r="H2964" s="35">
        <v>-10</v>
      </c>
      <c r="I2964" s="38">
        <f t="shared" si="45"/>
        <v>9147.5</v>
      </c>
    </row>
    <row r="2965" spans="1:9" x14ac:dyDescent="0.2">
      <c r="A2965" s="33">
        <v>40995</v>
      </c>
      <c r="B2965" s="36">
        <v>9150</v>
      </c>
      <c r="C2965" s="7">
        <v>9165</v>
      </c>
      <c r="D2965" s="7">
        <v>9185</v>
      </c>
      <c r="E2965" s="7">
        <v>9145</v>
      </c>
      <c r="F2965" s="7">
        <v>9175</v>
      </c>
      <c r="G2965" s="34">
        <v>29</v>
      </c>
      <c r="H2965" s="35">
        <v>-20</v>
      </c>
      <c r="I2965" s="38">
        <f t="shared" si="45"/>
        <v>9157.5</v>
      </c>
    </row>
    <row r="2966" spans="1:9" x14ac:dyDescent="0.2">
      <c r="A2966" s="33">
        <v>40994</v>
      </c>
      <c r="B2966" s="36">
        <v>9170</v>
      </c>
      <c r="C2966" s="7">
        <v>9180</v>
      </c>
      <c r="D2966" s="7">
        <v>9185</v>
      </c>
      <c r="E2966" s="7">
        <v>9160</v>
      </c>
      <c r="F2966" s="7">
        <v>9160</v>
      </c>
      <c r="G2966" s="34">
        <v>18</v>
      </c>
      <c r="H2966" s="35">
        <v>20</v>
      </c>
      <c r="I2966" s="38">
        <f t="shared" si="45"/>
        <v>9175</v>
      </c>
    </row>
    <row r="2967" spans="1:9" x14ac:dyDescent="0.2">
      <c r="A2967" s="33">
        <v>40991</v>
      </c>
      <c r="B2967" s="36">
        <v>9150</v>
      </c>
      <c r="C2967" s="7">
        <v>9165</v>
      </c>
      <c r="D2967" s="7"/>
      <c r="E2967" s="7"/>
      <c r="F2967" s="7"/>
      <c r="G2967" s="34">
        <v>0</v>
      </c>
      <c r="H2967" s="35">
        <v>0</v>
      </c>
      <c r="I2967" s="38">
        <f t="shared" si="45"/>
        <v>9157.5</v>
      </c>
    </row>
    <row r="2968" spans="1:9" x14ac:dyDescent="0.2">
      <c r="A2968" s="33">
        <v>40990</v>
      </c>
      <c r="B2968" s="36">
        <v>9150</v>
      </c>
      <c r="C2968" s="7">
        <v>9165</v>
      </c>
      <c r="D2968" s="7">
        <v>9180</v>
      </c>
      <c r="E2968" s="7">
        <v>9150</v>
      </c>
      <c r="F2968" s="7">
        <v>9155</v>
      </c>
      <c r="G2968" s="34">
        <v>27</v>
      </c>
      <c r="H2968" s="35">
        <v>10</v>
      </c>
      <c r="I2968" s="38">
        <f t="shared" si="45"/>
        <v>9157.5</v>
      </c>
    </row>
    <row r="2969" spans="1:9" x14ac:dyDescent="0.2">
      <c r="A2969" s="33">
        <v>40989</v>
      </c>
      <c r="B2969" s="36">
        <v>9140</v>
      </c>
      <c r="C2969" s="7">
        <v>9150</v>
      </c>
      <c r="D2969" s="7">
        <v>9175</v>
      </c>
      <c r="E2969" s="7">
        <v>9139</v>
      </c>
      <c r="F2969" s="7">
        <v>9175</v>
      </c>
      <c r="G2969" s="34">
        <v>20</v>
      </c>
      <c r="H2969" s="35">
        <v>-5</v>
      </c>
      <c r="I2969" s="38">
        <f t="shared" si="45"/>
        <v>9145</v>
      </c>
    </row>
    <row r="2970" spans="1:9" x14ac:dyDescent="0.2">
      <c r="A2970" s="33">
        <v>40988</v>
      </c>
      <c r="B2970" s="36">
        <v>9145</v>
      </c>
      <c r="C2970" s="7">
        <v>9165</v>
      </c>
      <c r="D2970" s="7">
        <v>9170</v>
      </c>
      <c r="E2970" s="7">
        <v>9145</v>
      </c>
      <c r="F2970" s="7">
        <v>9155</v>
      </c>
      <c r="G2970" s="34">
        <v>12</v>
      </c>
      <c r="H2970" s="35">
        <v>25</v>
      </c>
      <c r="I2970" s="38">
        <f t="shared" si="45"/>
        <v>9155</v>
      </c>
    </row>
    <row r="2971" spans="1:9" x14ac:dyDescent="0.2">
      <c r="A2971" s="33">
        <v>40987</v>
      </c>
      <c r="B2971" s="36">
        <v>9120</v>
      </c>
      <c r="C2971" s="7">
        <v>9130</v>
      </c>
      <c r="D2971" s="7">
        <v>9165</v>
      </c>
      <c r="E2971" s="7">
        <v>9120</v>
      </c>
      <c r="F2971" s="7">
        <v>9130</v>
      </c>
      <c r="G2971" s="34">
        <v>37</v>
      </c>
      <c r="H2971" s="35">
        <v>0</v>
      </c>
      <c r="I2971" s="38">
        <f t="shared" si="45"/>
        <v>9125</v>
      </c>
    </row>
    <row r="2972" spans="1:9" x14ac:dyDescent="0.2">
      <c r="A2972" s="33">
        <v>40984</v>
      </c>
      <c r="B2972" s="36">
        <v>9120</v>
      </c>
      <c r="C2972" s="7">
        <v>9140</v>
      </c>
      <c r="D2972" s="7">
        <v>9180</v>
      </c>
      <c r="E2972" s="7">
        <v>9100</v>
      </c>
      <c r="F2972" s="7">
        <v>9175</v>
      </c>
      <c r="G2972" s="34">
        <v>66</v>
      </c>
      <c r="H2972" s="35">
        <v>-40</v>
      </c>
      <c r="I2972" s="38">
        <f t="shared" si="45"/>
        <v>9130</v>
      </c>
    </row>
    <row r="2973" spans="1:9" x14ac:dyDescent="0.2">
      <c r="A2973" s="33">
        <v>40983</v>
      </c>
      <c r="B2973" s="36">
        <v>9160</v>
      </c>
      <c r="C2973" s="7">
        <v>9175</v>
      </c>
      <c r="D2973" s="7">
        <v>9190</v>
      </c>
      <c r="E2973" s="7">
        <v>9160</v>
      </c>
      <c r="F2973" s="7">
        <v>9185</v>
      </c>
      <c r="G2973" s="34">
        <v>30</v>
      </c>
      <c r="H2973" s="35">
        <v>0</v>
      </c>
      <c r="I2973" s="38">
        <f t="shared" si="45"/>
        <v>9167.5</v>
      </c>
    </row>
    <row r="2974" spans="1:9" x14ac:dyDescent="0.2">
      <c r="A2974" s="33">
        <v>40982</v>
      </c>
      <c r="B2974" s="36">
        <v>9160</v>
      </c>
      <c r="C2974" s="7">
        <v>9180</v>
      </c>
      <c r="D2974" s="7">
        <v>9190</v>
      </c>
      <c r="E2974" s="7">
        <v>9160</v>
      </c>
      <c r="F2974" s="7">
        <v>9180</v>
      </c>
      <c r="G2974" s="34">
        <v>24</v>
      </c>
      <c r="H2974" s="35">
        <v>0</v>
      </c>
      <c r="I2974" s="38">
        <f t="shared" si="45"/>
        <v>9170</v>
      </c>
    </row>
    <row r="2975" spans="1:9" x14ac:dyDescent="0.2">
      <c r="A2975" s="33">
        <v>40981</v>
      </c>
      <c r="B2975" s="36">
        <v>9160</v>
      </c>
      <c r="C2975" s="7">
        <v>9170</v>
      </c>
      <c r="D2975" s="7">
        <v>9160</v>
      </c>
      <c r="E2975" s="7">
        <v>9160</v>
      </c>
      <c r="F2975" s="7">
        <v>9160</v>
      </c>
      <c r="G2975" s="34">
        <v>1</v>
      </c>
      <c r="H2975" s="35">
        <v>10</v>
      </c>
      <c r="I2975" s="38">
        <f t="shared" si="45"/>
        <v>9165</v>
      </c>
    </row>
    <row r="2976" spans="1:9" x14ac:dyDescent="0.2">
      <c r="A2976" s="33">
        <v>40980</v>
      </c>
      <c r="B2976" s="36">
        <v>9150</v>
      </c>
      <c r="C2976" s="7">
        <v>9165</v>
      </c>
      <c r="D2976" s="7">
        <v>9160</v>
      </c>
      <c r="E2976" s="7">
        <v>9150</v>
      </c>
      <c r="F2976" s="7">
        <v>9150</v>
      </c>
      <c r="G2976" s="34">
        <v>4</v>
      </c>
      <c r="H2976" s="35">
        <v>20</v>
      </c>
      <c r="I2976" s="38">
        <f t="shared" ref="I2976:I3039" si="46">+(B2976+C2976)*0.5</f>
        <v>9157.5</v>
      </c>
    </row>
    <row r="2977" spans="1:9" x14ac:dyDescent="0.2">
      <c r="A2977" s="33">
        <v>40977</v>
      </c>
      <c r="B2977" s="36">
        <v>9130</v>
      </c>
      <c r="C2977" s="7">
        <v>9135</v>
      </c>
      <c r="D2977" s="7">
        <v>9135</v>
      </c>
      <c r="E2977" s="7">
        <v>9110</v>
      </c>
      <c r="F2977" s="7">
        <v>9110</v>
      </c>
      <c r="G2977" s="34">
        <v>13</v>
      </c>
      <c r="H2977" s="35">
        <v>0</v>
      </c>
      <c r="I2977" s="38">
        <f t="shared" si="46"/>
        <v>9132.5</v>
      </c>
    </row>
    <row r="2978" spans="1:9" x14ac:dyDescent="0.2">
      <c r="A2978" s="33">
        <v>40976</v>
      </c>
      <c r="B2978" s="36">
        <v>9130</v>
      </c>
      <c r="C2978" s="7">
        <v>9140</v>
      </c>
      <c r="D2978" s="7">
        <v>9165</v>
      </c>
      <c r="E2978" s="7">
        <v>9100</v>
      </c>
      <c r="F2978" s="7">
        <v>9130</v>
      </c>
      <c r="G2978" s="34">
        <v>36</v>
      </c>
      <c r="H2978" s="35">
        <v>30</v>
      </c>
      <c r="I2978" s="38">
        <f t="shared" si="46"/>
        <v>9135</v>
      </c>
    </row>
    <row r="2979" spans="1:9" x14ac:dyDescent="0.2">
      <c r="A2979" s="33">
        <v>40975</v>
      </c>
      <c r="B2979" s="36">
        <v>9100</v>
      </c>
      <c r="C2979" s="7">
        <v>9120</v>
      </c>
      <c r="D2979" s="7">
        <v>9185</v>
      </c>
      <c r="E2979" s="7">
        <v>9100</v>
      </c>
      <c r="F2979" s="7">
        <v>9170</v>
      </c>
      <c r="G2979" s="34">
        <v>47</v>
      </c>
      <c r="H2979" s="35">
        <v>-30</v>
      </c>
      <c r="I2979" s="38">
        <f t="shared" si="46"/>
        <v>9110</v>
      </c>
    </row>
    <row r="2980" spans="1:9" x14ac:dyDescent="0.2">
      <c r="A2980" s="33">
        <v>40974</v>
      </c>
      <c r="B2980" s="36">
        <v>9130</v>
      </c>
      <c r="C2980" s="7">
        <v>9145</v>
      </c>
      <c r="D2980" s="7">
        <v>9175</v>
      </c>
      <c r="E2980" s="7">
        <v>9129</v>
      </c>
      <c r="F2980" s="7">
        <v>9130</v>
      </c>
      <c r="G2980" s="34">
        <v>23</v>
      </c>
      <c r="H2980" s="35">
        <v>15</v>
      </c>
      <c r="I2980" s="38">
        <f t="shared" si="46"/>
        <v>9137.5</v>
      </c>
    </row>
    <row r="2981" spans="1:9" x14ac:dyDescent="0.2">
      <c r="A2981" s="33">
        <v>40973</v>
      </c>
      <c r="B2981" s="36">
        <v>9115</v>
      </c>
      <c r="C2981" s="7">
        <v>9130</v>
      </c>
      <c r="D2981" s="7">
        <v>9135</v>
      </c>
      <c r="E2981" s="7">
        <v>9100</v>
      </c>
      <c r="F2981" s="7">
        <v>9100</v>
      </c>
      <c r="G2981" s="34">
        <v>23</v>
      </c>
      <c r="H2981" s="35">
        <v>45</v>
      </c>
      <c r="I2981" s="38">
        <f t="shared" si="46"/>
        <v>9122.5</v>
      </c>
    </row>
    <row r="2982" spans="1:9" x14ac:dyDescent="0.2">
      <c r="A2982" s="33">
        <v>40970</v>
      </c>
      <c r="B2982" s="36">
        <v>9070</v>
      </c>
      <c r="C2982" s="7">
        <v>9090</v>
      </c>
      <c r="D2982" s="7">
        <v>9105</v>
      </c>
      <c r="E2982" s="7">
        <v>9070</v>
      </c>
      <c r="F2982" s="7">
        <v>9090</v>
      </c>
      <c r="G2982" s="34">
        <v>12</v>
      </c>
      <c r="H2982" s="35">
        <v>0</v>
      </c>
      <c r="I2982" s="38">
        <f t="shared" si="46"/>
        <v>9080</v>
      </c>
    </row>
    <row r="2983" spans="1:9" x14ac:dyDescent="0.2">
      <c r="A2983" s="33">
        <v>40969</v>
      </c>
      <c r="B2983" s="36">
        <v>9070</v>
      </c>
      <c r="C2983" s="7">
        <v>9090</v>
      </c>
      <c r="D2983" s="7">
        <v>9100</v>
      </c>
      <c r="E2983" s="7">
        <v>9050</v>
      </c>
      <c r="F2983" s="7">
        <v>9050</v>
      </c>
      <c r="G2983" s="34">
        <v>19</v>
      </c>
      <c r="H2983" s="35">
        <v>60</v>
      </c>
      <c r="I2983" s="38">
        <f t="shared" si="46"/>
        <v>9080</v>
      </c>
    </row>
    <row r="2984" spans="1:9" x14ac:dyDescent="0.2">
      <c r="A2984" s="33">
        <v>40968</v>
      </c>
      <c r="B2984" s="36">
        <v>9010</v>
      </c>
      <c r="C2984" s="7">
        <v>9030</v>
      </c>
      <c r="D2984" s="7">
        <v>9090</v>
      </c>
      <c r="E2984" s="7">
        <v>9010</v>
      </c>
      <c r="F2984" s="7">
        <v>9060</v>
      </c>
      <c r="G2984" s="34">
        <v>70</v>
      </c>
      <c r="H2984" s="35">
        <v>-10</v>
      </c>
      <c r="I2984" s="38">
        <f t="shared" si="46"/>
        <v>9020</v>
      </c>
    </row>
    <row r="2985" spans="1:9" x14ac:dyDescent="0.2">
      <c r="A2985" s="33">
        <v>40967</v>
      </c>
      <c r="B2985" s="36">
        <v>9020</v>
      </c>
      <c r="C2985" s="7">
        <v>9040</v>
      </c>
      <c r="D2985" s="7">
        <v>9160</v>
      </c>
      <c r="E2985" s="7">
        <v>9020</v>
      </c>
      <c r="F2985" s="7">
        <v>9120</v>
      </c>
      <c r="G2985" s="34">
        <v>32</v>
      </c>
      <c r="H2985" s="35">
        <v>-95</v>
      </c>
      <c r="I2985" s="38">
        <f t="shared" si="46"/>
        <v>9030</v>
      </c>
    </row>
    <row r="2986" spans="1:9" x14ac:dyDescent="0.2">
      <c r="A2986" s="33">
        <v>40966</v>
      </c>
      <c r="B2986" s="36">
        <v>9115</v>
      </c>
      <c r="C2986" s="7">
        <v>9135</v>
      </c>
      <c r="D2986" s="7">
        <v>9170</v>
      </c>
      <c r="E2986" s="7">
        <v>9060</v>
      </c>
      <c r="F2986" s="7">
        <v>9060</v>
      </c>
      <c r="G2986" s="34">
        <v>41</v>
      </c>
      <c r="H2986" s="35">
        <v>75</v>
      </c>
      <c r="I2986" s="38">
        <f t="shared" si="46"/>
        <v>9125</v>
      </c>
    </row>
    <row r="2987" spans="1:9" x14ac:dyDescent="0.2">
      <c r="A2987" s="33">
        <v>40963</v>
      </c>
      <c r="B2987" s="36">
        <v>9040</v>
      </c>
      <c r="C2987" s="7">
        <v>9050</v>
      </c>
      <c r="D2987" s="7">
        <v>9085</v>
      </c>
      <c r="E2987" s="7">
        <v>9035</v>
      </c>
      <c r="F2987" s="7">
        <v>9060</v>
      </c>
      <c r="G2987" s="34">
        <v>38</v>
      </c>
      <c r="H2987" s="35">
        <v>0</v>
      </c>
      <c r="I2987" s="38">
        <f t="shared" si="46"/>
        <v>9045</v>
      </c>
    </row>
    <row r="2988" spans="1:9" x14ac:dyDescent="0.2">
      <c r="A2988" s="33">
        <v>40962</v>
      </c>
      <c r="B2988" s="36">
        <v>9040</v>
      </c>
      <c r="C2988" s="7">
        <v>9050</v>
      </c>
      <c r="D2988" s="7">
        <v>9080</v>
      </c>
      <c r="E2988" s="7">
        <v>9035</v>
      </c>
      <c r="F2988" s="7">
        <v>9060</v>
      </c>
      <c r="G2988" s="34">
        <v>18</v>
      </c>
      <c r="H2988" s="35">
        <v>-5</v>
      </c>
      <c r="I2988" s="38">
        <f t="shared" si="46"/>
        <v>9045</v>
      </c>
    </row>
    <row r="2989" spans="1:9" x14ac:dyDescent="0.2">
      <c r="A2989" s="33">
        <v>40961</v>
      </c>
      <c r="B2989" s="36">
        <v>9045</v>
      </c>
      <c r="C2989" s="7">
        <v>9055</v>
      </c>
      <c r="D2989" s="7">
        <v>9060</v>
      </c>
      <c r="E2989" s="7">
        <v>9020</v>
      </c>
      <c r="F2989" s="7">
        <v>9020</v>
      </c>
      <c r="G2989" s="34">
        <v>8</v>
      </c>
      <c r="H2989" s="35">
        <v>10</v>
      </c>
      <c r="I2989" s="38">
        <f t="shared" si="46"/>
        <v>9050</v>
      </c>
    </row>
    <row r="2990" spans="1:9" x14ac:dyDescent="0.2">
      <c r="A2990" s="33">
        <v>40960</v>
      </c>
      <c r="B2990" s="36">
        <v>9035</v>
      </c>
      <c r="C2990" s="7">
        <v>9045</v>
      </c>
      <c r="D2990" s="7">
        <v>9055</v>
      </c>
      <c r="E2990" s="7">
        <v>9020</v>
      </c>
      <c r="F2990" s="7">
        <v>9030</v>
      </c>
      <c r="G2990" s="34">
        <v>12</v>
      </c>
      <c r="H2990" s="35">
        <v>45</v>
      </c>
      <c r="I2990" s="38">
        <f t="shared" si="46"/>
        <v>9040</v>
      </c>
    </row>
    <row r="2991" spans="1:9" x14ac:dyDescent="0.2">
      <c r="A2991" s="33">
        <v>40959</v>
      </c>
      <c r="B2991" s="36">
        <v>8990</v>
      </c>
      <c r="C2991" s="7">
        <v>9010</v>
      </c>
      <c r="D2991" s="7">
        <v>9037</v>
      </c>
      <c r="E2991" s="7">
        <v>8990</v>
      </c>
      <c r="F2991" s="7">
        <v>9010</v>
      </c>
      <c r="G2991" s="34">
        <v>13</v>
      </c>
      <c r="H2991" s="35">
        <v>0</v>
      </c>
      <c r="I2991" s="38">
        <f t="shared" si="46"/>
        <v>9000</v>
      </c>
    </row>
    <row r="2992" spans="1:9" x14ac:dyDescent="0.2">
      <c r="A2992" s="33">
        <v>40956</v>
      </c>
      <c r="B2992" s="36">
        <v>8990</v>
      </c>
      <c r="C2992" s="7">
        <v>9010</v>
      </c>
      <c r="D2992" s="7">
        <v>9020</v>
      </c>
      <c r="E2992" s="7">
        <v>8945</v>
      </c>
      <c r="F2992" s="7">
        <v>8950</v>
      </c>
      <c r="G2992" s="34">
        <v>21</v>
      </c>
      <c r="H2992" s="35">
        <v>-5</v>
      </c>
      <c r="I2992" s="38">
        <f t="shared" si="46"/>
        <v>9000</v>
      </c>
    </row>
    <row r="2993" spans="1:9" x14ac:dyDescent="0.2">
      <c r="A2993" s="33">
        <v>40955</v>
      </c>
      <c r="B2993" s="36">
        <v>8995</v>
      </c>
      <c r="C2993" s="7">
        <v>9015</v>
      </c>
      <c r="D2993" s="7">
        <v>9030</v>
      </c>
      <c r="E2993" s="7">
        <v>8950</v>
      </c>
      <c r="F2993" s="7">
        <v>8960</v>
      </c>
      <c r="G2993" s="34">
        <v>35</v>
      </c>
      <c r="H2993" s="35">
        <v>45</v>
      </c>
      <c r="I2993" s="38">
        <f t="shared" si="46"/>
        <v>9005</v>
      </c>
    </row>
    <row r="2994" spans="1:9" x14ac:dyDescent="0.2">
      <c r="A2994" s="33">
        <v>40954</v>
      </c>
      <c r="B2994" s="36">
        <v>8950</v>
      </c>
      <c r="C2994" s="7">
        <v>8960</v>
      </c>
      <c r="D2994" s="7">
        <v>9040</v>
      </c>
      <c r="E2994" s="7">
        <v>8945</v>
      </c>
      <c r="F2994" s="7">
        <v>9015</v>
      </c>
      <c r="G2994" s="34">
        <v>57</v>
      </c>
      <c r="H2994" s="35">
        <v>-45</v>
      </c>
      <c r="I2994" s="38">
        <f t="shared" si="46"/>
        <v>8955</v>
      </c>
    </row>
    <row r="2995" spans="1:9" x14ac:dyDescent="0.2">
      <c r="A2995" s="33">
        <v>40953</v>
      </c>
      <c r="B2995" s="36">
        <v>8995</v>
      </c>
      <c r="C2995" s="7">
        <v>9015</v>
      </c>
      <c r="D2995" s="7">
        <v>9040</v>
      </c>
      <c r="E2995" s="7">
        <v>8995</v>
      </c>
      <c r="F2995" s="7">
        <v>9020</v>
      </c>
      <c r="G2995" s="34">
        <v>21</v>
      </c>
      <c r="H2995" s="35">
        <v>5</v>
      </c>
      <c r="I2995" s="38">
        <f t="shared" si="46"/>
        <v>9005</v>
      </c>
    </row>
    <row r="2996" spans="1:9" x14ac:dyDescent="0.2">
      <c r="A2996" s="33">
        <v>40952</v>
      </c>
      <c r="B2996" s="36">
        <v>8990</v>
      </c>
      <c r="C2996" s="7">
        <v>9010</v>
      </c>
      <c r="D2996" s="7">
        <v>9020</v>
      </c>
      <c r="E2996" s="7">
        <v>8980</v>
      </c>
      <c r="F2996" s="7">
        <v>8980</v>
      </c>
      <c r="G2996" s="34">
        <v>12</v>
      </c>
      <c r="H2996" s="35">
        <v>10</v>
      </c>
      <c r="I2996" s="38">
        <f t="shared" si="46"/>
        <v>9000</v>
      </c>
    </row>
    <row r="2997" spans="1:9" x14ac:dyDescent="0.2">
      <c r="A2997" s="33">
        <v>40949</v>
      </c>
      <c r="B2997" s="36">
        <v>8980</v>
      </c>
      <c r="C2997" s="7">
        <v>8990</v>
      </c>
      <c r="D2997" s="7">
        <v>9000</v>
      </c>
      <c r="E2997" s="7">
        <v>8970</v>
      </c>
      <c r="F2997" s="7">
        <v>8970</v>
      </c>
      <c r="G2997" s="34">
        <v>18</v>
      </c>
      <c r="H2997" s="35">
        <v>40</v>
      </c>
      <c r="I2997" s="38">
        <f t="shared" si="46"/>
        <v>8985</v>
      </c>
    </row>
    <row r="2998" spans="1:9" x14ac:dyDescent="0.2">
      <c r="A2998" s="33">
        <v>40948</v>
      </c>
      <c r="B2998" s="36">
        <v>8940</v>
      </c>
      <c r="C2998" s="7">
        <v>8950</v>
      </c>
      <c r="D2998" s="7">
        <v>8982</v>
      </c>
      <c r="E2998" s="7">
        <v>8890</v>
      </c>
      <c r="F2998" s="7">
        <v>8900</v>
      </c>
      <c r="G2998" s="34">
        <v>32</v>
      </c>
      <c r="H2998" s="35">
        <v>70</v>
      </c>
      <c r="I2998" s="38">
        <f t="shared" si="46"/>
        <v>8945</v>
      </c>
    </row>
    <row r="2999" spans="1:9" x14ac:dyDescent="0.2">
      <c r="A2999" s="33">
        <v>40947</v>
      </c>
      <c r="B2999" s="36">
        <v>8870</v>
      </c>
      <c r="C2999" s="7">
        <v>8890</v>
      </c>
      <c r="D2999" s="7">
        <v>8990</v>
      </c>
      <c r="E2999" s="7">
        <v>8865</v>
      </c>
      <c r="F2999" s="7">
        <v>8975</v>
      </c>
      <c r="G2999" s="34">
        <v>29</v>
      </c>
      <c r="H2999" s="35">
        <v>-65</v>
      </c>
      <c r="I2999" s="38">
        <f t="shared" si="46"/>
        <v>8880</v>
      </c>
    </row>
    <row r="3000" spans="1:9" x14ac:dyDescent="0.2">
      <c r="A3000" s="33">
        <v>40946</v>
      </c>
      <c r="B3000" s="36">
        <v>8935</v>
      </c>
      <c r="C3000" s="7">
        <v>8950</v>
      </c>
      <c r="D3000" s="7">
        <v>8995</v>
      </c>
      <c r="E3000" s="7">
        <v>8935</v>
      </c>
      <c r="F3000" s="7">
        <v>8990</v>
      </c>
      <c r="G3000" s="34">
        <v>25</v>
      </c>
      <c r="H3000" s="35">
        <v>-45</v>
      </c>
      <c r="I3000" s="38">
        <f t="shared" si="46"/>
        <v>8942.5</v>
      </c>
    </row>
    <row r="3001" spans="1:9" x14ac:dyDescent="0.2">
      <c r="A3001" s="33">
        <v>40945</v>
      </c>
      <c r="B3001" s="36">
        <v>8980</v>
      </c>
      <c r="C3001" s="7">
        <v>8990</v>
      </c>
      <c r="D3001" s="7">
        <v>8990</v>
      </c>
      <c r="E3001" s="7">
        <v>8975</v>
      </c>
      <c r="F3001" s="7">
        <v>8980</v>
      </c>
      <c r="G3001" s="34">
        <v>7</v>
      </c>
      <c r="H3001" s="35">
        <v>20</v>
      </c>
      <c r="I3001" s="38">
        <f t="shared" si="46"/>
        <v>8985</v>
      </c>
    </row>
    <row r="3002" spans="1:9" x14ac:dyDescent="0.2">
      <c r="A3002" s="33">
        <v>40942</v>
      </c>
      <c r="B3002" s="36">
        <v>8960</v>
      </c>
      <c r="C3002" s="7">
        <v>8980</v>
      </c>
      <c r="D3002" s="7">
        <v>9000</v>
      </c>
      <c r="E3002" s="7">
        <v>8960</v>
      </c>
      <c r="F3002" s="7">
        <v>8970</v>
      </c>
      <c r="G3002" s="34">
        <v>10</v>
      </c>
      <c r="H3002" s="35">
        <v>30</v>
      </c>
      <c r="I3002" s="38">
        <f t="shared" si="46"/>
        <v>8970</v>
      </c>
    </row>
    <row r="3003" spans="1:9" x14ac:dyDescent="0.2">
      <c r="A3003" s="33">
        <v>40941</v>
      </c>
      <c r="B3003" s="36">
        <v>8930</v>
      </c>
      <c r="C3003" s="7">
        <v>8950</v>
      </c>
      <c r="D3003" s="7">
        <v>8940</v>
      </c>
      <c r="E3003" s="7">
        <v>8870</v>
      </c>
      <c r="F3003" s="7">
        <v>8940</v>
      </c>
      <c r="G3003" s="34">
        <v>49</v>
      </c>
      <c r="H3003" s="35">
        <v>-45</v>
      </c>
      <c r="I3003" s="38">
        <f t="shared" si="46"/>
        <v>8940</v>
      </c>
    </row>
    <row r="3004" spans="1:9" x14ac:dyDescent="0.2">
      <c r="A3004" s="33">
        <v>40940</v>
      </c>
      <c r="B3004" s="36">
        <v>8975</v>
      </c>
      <c r="C3004" s="7">
        <v>8990</v>
      </c>
      <c r="D3004" s="7">
        <v>9030</v>
      </c>
      <c r="E3004" s="7">
        <v>8970</v>
      </c>
      <c r="F3004" s="7">
        <v>9005</v>
      </c>
      <c r="G3004" s="34">
        <v>20</v>
      </c>
      <c r="H3004" s="35">
        <v>-5</v>
      </c>
      <c r="I3004" s="38">
        <f t="shared" si="46"/>
        <v>8982.5</v>
      </c>
    </row>
    <row r="3005" spans="1:9" x14ac:dyDescent="0.2">
      <c r="A3005" s="33">
        <v>40939</v>
      </c>
      <c r="B3005" s="36">
        <v>8980</v>
      </c>
      <c r="C3005" s="7">
        <v>9000</v>
      </c>
      <c r="D3005" s="7">
        <v>9015</v>
      </c>
      <c r="E3005" s="7">
        <v>8980</v>
      </c>
      <c r="F3005" s="7">
        <v>9000</v>
      </c>
      <c r="G3005" s="34">
        <v>15</v>
      </c>
      <c r="H3005" s="35">
        <v>0</v>
      </c>
      <c r="I3005" s="38">
        <f t="shared" si="46"/>
        <v>8990</v>
      </c>
    </row>
    <row r="3006" spans="1:9" x14ac:dyDescent="0.2">
      <c r="A3006" s="33">
        <v>40938</v>
      </c>
      <c r="B3006" s="36">
        <v>8980</v>
      </c>
      <c r="C3006" s="7">
        <v>9000</v>
      </c>
      <c r="D3006" s="7">
        <v>8995</v>
      </c>
      <c r="E3006" s="7">
        <v>8970</v>
      </c>
      <c r="F3006" s="7">
        <v>8970</v>
      </c>
      <c r="G3006" s="34">
        <v>10</v>
      </c>
      <c r="H3006" s="35">
        <v>20</v>
      </c>
      <c r="I3006" s="38">
        <f t="shared" si="46"/>
        <v>8990</v>
      </c>
    </row>
    <row r="3007" spans="1:9" x14ac:dyDescent="0.2">
      <c r="A3007" s="33">
        <v>40935</v>
      </c>
      <c r="B3007" s="36">
        <v>8960</v>
      </c>
      <c r="C3007" s="7">
        <v>8985</v>
      </c>
      <c r="D3007" s="7">
        <v>8985</v>
      </c>
      <c r="E3007" s="7">
        <v>8960</v>
      </c>
      <c r="F3007" s="7">
        <v>8980</v>
      </c>
      <c r="G3007" s="34">
        <v>11</v>
      </c>
      <c r="H3007" s="35">
        <v>0</v>
      </c>
      <c r="I3007" s="38">
        <f t="shared" si="46"/>
        <v>8972.5</v>
      </c>
    </row>
    <row r="3008" spans="1:9" x14ac:dyDescent="0.2">
      <c r="A3008" s="33">
        <v>40934</v>
      </c>
      <c r="B3008" s="36">
        <v>8960</v>
      </c>
      <c r="C3008" s="7">
        <v>8970</v>
      </c>
      <c r="D3008" s="7">
        <v>9000</v>
      </c>
      <c r="E3008" s="7">
        <v>8900</v>
      </c>
      <c r="F3008" s="7">
        <v>8900</v>
      </c>
      <c r="G3008" s="34">
        <v>22</v>
      </c>
      <c r="H3008" s="35">
        <v>75</v>
      </c>
      <c r="I3008" s="38">
        <f t="shared" si="46"/>
        <v>8965</v>
      </c>
    </row>
    <row r="3009" spans="1:9" x14ac:dyDescent="0.2">
      <c r="A3009" s="33">
        <v>40933</v>
      </c>
      <c r="B3009" s="36">
        <v>8885</v>
      </c>
      <c r="C3009" s="7">
        <v>8895</v>
      </c>
      <c r="D3009" s="7">
        <v>9031</v>
      </c>
      <c r="E3009" s="7">
        <v>8870</v>
      </c>
      <c r="F3009" s="7">
        <v>9000</v>
      </c>
      <c r="G3009" s="34">
        <v>45</v>
      </c>
      <c r="H3009" s="35">
        <v>-115</v>
      </c>
      <c r="I3009" s="38">
        <f t="shared" si="46"/>
        <v>8890</v>
      </c>
    </row>
    <row r="3010" spans="1:9" x14ac:dyDescent="0.2">
      <c r="A3010" s="33">
        <v>40932</v>
      </c>
      <c r="B3010" s="36">
        <v>9000</v>
      </c>
      <c r="C3010" s="7">
        <v>9005</v>
      </c>
      <c r="D3010" s="7">
        <v>9000</v>
      </c>
      <c r="E3010" s="7">
        <v>8970</v>
      </c>
      <c r="F3010" s="7">
        <v>8970</v>
      </c>
      <c r="G3010" s="34">
        <v>6</v>
      </c>
      <c r="H3010" s="35">
        <v>60</v>
      </c>
      <c r="I3010" s="38">
        <f t="shared" si="46"/>
        <v>9002.5</v>
      </c>
    </row>
    <row r="3011" spans="1:9" x14ac:dyDescent="0.2">
      <c r="A3011" s="33">
        <v>40931</v>
      </c>
      <c r="B3011" s="36">
        <v>8940</v>
      </c>
      <c r="C3011" s="7">
        <v>8950</v>
      </c>
      <c r="D3011" s="7"/>
      <c r="E3011" s="7"/>
      <c r="F3011" s="7"/>
      <c r="G3011" s="34">
        <v>0</v>
      </c>
      <c r="H3011" s="35">
        <v>0</v>
      </c>
      <c r="I3011" s="38">
        <f t="shared" si="46"/>
        <v>8945</v>
      </c>
    </row>
    <row r="3012" spans="1:9" x14ac:dyDescent="0.2">
      <c r="A3012" s="33">
        <v>40928</v>
      </c>
      <c r="B3012" s="36">
        <v>8940</v>
      </c>
      <c r="C3012" s="7">
        <v>8950</v>
      </c>
      <c r="D3012" s="7">
        <v>8980</v>
      </c>
      <c r="E3012" s="7">
        <v>8940</v>
      </c>
      <c r="F3012" s="7">
        <v>8980</v>
      </c>
      <c r="G3012" s="34">
        <v>15</v>
      </c>
      <c r="H3012" s="35">
        <v>-20</v>
      </c>
      <c r="I3012" s="38">
        <f t="shared" si="46"/>
        <v>8945</v>
      </c>
    </row>
    <row r="3013" spans="1:9" x14ac:dyDescent="0.2">
      <c r="A3013" s="33">
        <v>40927</v>
      </c>
      <c r="B3013" s="36">
        <v>8960</v>
      </c>
      <c r="C3013" s="7">
        <v>8980</v>
      </c>
      <c r="D3013" s="7">
        <v>9070</v>
      </c>
      <c r="E3013" s="7">
        <v>8960</v>
      </c>
      <c r="F3013" s="7">
        <v>9010</v>
      </c>
      <c r="G3013" s="34">
        <v>23</v>
      </c>
      <c r="H3013" s="35">
        <v>-50</v>
      </c>
      <c r="I3013" s="38">
        <f t="shared" si="46"/>
        <v>8970</v>
      </c>
    </row>
    <row r="3014" spans="1:9" x14ac:dyDescent="0.2">
      <c r="A3014" s="33">
        <v>40926</v>
      </c>
      <c r="B3014" s="36">
        <v>9010</v>
      </c>
      <c r="C3014" s="7">
        <v>9050</v>
      </c>
      <c r="D3014" s="7">
        <v>9175</v>
      </c>
      <c r="E3014" s="7">
        <v>9010</v>
      </c>
      <c r="F3014" s="7">
        <v>9100</v>
      </c>
      <c r="G3014" s="34">
        <v>76</v>
      </c>
      <c r="H3014" s="35">
        <v>-60</v>
      </c>
      <c r="I3014" s="38">
        <f t="shared" si="46"/>
        <v>9030</v>
      </c>
    </row>
    <row r="3015" spans="1:9" x14ac:dyDescent="0.2">
      <c r="A3015" s="33">
        <v>40925</v>
      </c>
      <c r="B3015" s="36">
        <v>9070</v>
      </c>
      <c r="C3015" s="7">
        <v>9100</v>
      </c>
      <c r="D3015" s="7">
        <v>9200</v>
      </c>
      <c r="E3015" s="7">
        <v>9070</v>
      </c>
      <c r="F3015" s="7">
        <v>9150</v>
      </c>
      <c r="G3015" s="34">
        <v>40</v>
      </c>
      <c r="H3015" s="35">
        <v>-50</v>
      </c>
      <c r="I3015" s="38">
        <f t="shared" si="46"/>
        <v>9085</v>
      </c>
    </row>
    <row r="3016" spans="1:9" x14ac:dyDescent="0.2">
      <c r="A3016" s="33">
        <v>40924</v>
      </c>
      <c r="B3016" s="36">
        <v>9120</v>
      </c>
      <c r="C3016" s="7">
        <v>9140</v>
      </c>
      <c r="D3016" s="7">
        <v>9200</v>
      </c>
      <c r="E3016" s="7">
        <v>9070</v>
      </c>
      <c r="F3016" s="7">
        <v>9070</v>
      </c>
      <c r="G3016" s="34">
        <v>25</v>
      </c>
      <c r="H3016" s="35">
        <v>45</v>
      </c>
      <c r="I3016" s="38">
        <f t="shared" si="46"/>
        <v>9130</v>
      </c>
    </row>
    <row r="3017" spans="1:9" x14ac:dyDescent="0.2">
      <c r="A3017" s="33">
        <v>40921</v>
      </c>
      <c r="B3017" s="36">
        <v>9075</v>
      </c>
      <c r="C3017" s="7">
        <v>9085</v>
      </c>
      <c r="D3017" s="7">
        <v>9190</v>
      </c>
      <c r="E3017" s="7">
        <v>9070</v>
      </c>
      <c r="F3017" s="7">
        <v>9190</v>
      </c>
      <c r="G3017" s="34">
        <v>23</v>
      </c>
      <c r="H3017" s="35">
        <v>-75</v>
      </c>
      <c r="I3017" s="38">
        <f t="shared" si="46"/>
        <v>9080</v>
      </c>
    </row>
    <row r="3018" spans="1:9" x14ac:dyDescent="0.2">
      <c r="A3018" s="33">
        <v>40920</v>
      </c>
      <c r="B3018" s="36">
        <v>9150</v>
      </c>
      <c r="C3018" s="7">
        <v>9170</v>
      </c>
      <c r="D3018" s="7">
        <v>9201</v>
      </c>
      <c r="E3018" s="7">
        <v>9145</v>
      </c>
      <c r="F3018" s="7">
        <v>9150</v>
      </c>
      <c r="G3018" s="34">
        <v>45</v>
      </c>
      <c r="H3018" s="35">
        <v>0</v>
      </c>
      <c r="I3018" s="38">
        <f t="shared" si="46"/>
        <v>9160</v>
      </c>
    </row>
    <row r="3019" spans="1:9" x14ac:dyDescent="0.2">
      <c r="A3019" s="33">
        <v>40919</v>
      </c>
      <c r="B3019" s="36">
        <v>9150</v>
      </c>
      <c r="C3019" s="7">
        <v>9170</v>
      </c>
      <c r="D3019" s="7">
        <v>9200</v>
      </c>
      <c r="E3019" s="7">
        <v>9150</v>
      </c>
      <c r="F3019" s="7">
        <v>9200</v>
      </c>
      <c r="G3019" s="34">
        <v>14</v>
      </c>
      <c r="H3019" s="35">
        <v>10</v>
      </c>
      <c r="I3019" s="38">
        <f t="shared" si="46"/>
        <v>9160</v>
      </c>
    </row>
    <row r="3020" spans="1:9" x14ac:dyDescent="0.2">
      <c r="A3020" s="33">
        <v>40918</v>
      </c>
      <c r="B3020" s="36">
        <v>9140</v>
      </c>
      <c r="C3020" s="7">
        <v>9170</v>
      </c>
      <c r="D3020" s="7">
        <v>9200</v>
      </c>
      <c r="E3020" s="7">
        <v>9140</v>
      </c>
      <c r="F3020" s="7">
        <v>9180</v>
      </c>
      <c r="G3020" s="34">
        <v>17</v>
      </c>
      <c r="H3020" s="35">
        <v>0</v>
      </c>
      <c r="I3020" s="38">
        <f t="shared" si="46"/>
        <v>9155</v>
      </c>
    </row>
    <row r="3021" spans="1:9" x14ac:dyDescent="0.2">
      <c r="A3021" s="33">
        <v>40917</v>
      </c>
      <c r="B3021" s="36">
        <v>9140</v>
      </c>
      <c r="C3021" s="7">
        <v>9160</v>
      </c>
      <c r="D3021" s="7">
        <v>9180</v>
      </c>
      <c r="E3021" s="7">
        <v>9140</v>
      </c>
      <c r="F3021" s="7">
        <v>9140</v>
      </c>
      <c r="G3021" s="34">
        <v>18</v>
      </c>
      <c r="H3021" s="35">
        <v>50</v>
      </c>
      <c r="I3021" s="38">
        <f t="shared" si="46"/>
        <v>9150</v>
      </c>
    </row>
    <row r="3022" spans="1:9" x14ac:dyDescent="0.2">
      <c r="A3022" s="33">
        <v>40914</v>
      </c>
      <c r="B3022" s="36">
        <v>9090</v>
      </c>
      <c r="C3022" s="7">
        <v>9100</v>
      </c>
      <c r="D3022" s="7">
        <v>9160</v>
      </c>
      <c r="E3022" s="7">
        <v>9089</v>
      </c>
      <c r="F3022" s="7">
        <v>9150</v>
      </c>
      <c r="G3022" s="34">
        <v>80</v>
      </c>
      <c r="H3022" s="35">
        <v>-20</v>
      </c>
      <c r="I3022" s="38">
        <f t="shared" si="46"/>
        <v>9095</v>
      </c>
    </row>
    <row r="3023" spans="1:9" x14ac:dyDescent="0.2">
      <c r="A3023" s="33">
        <v>40913</v>
      </c>
      <c r="B3023" s="36">
        <v>9110</v>
      </c>
      <c r="C3023" s="7">
        <v>9140</v>
      </c>
      <c r="D3023" s="7">
        <v>9175</v>
      </c>
      <c r="E3023" s="7">
        <v>9100</v>
      </c>
      <c r="F3023" s="7">
        <v>9175</v>
      </c>
      <c r="G3023" s="34">
        <v>27</v>
      </c>
      <c r="H3023" s="35">
        <v>-10</v>
      </c>
      <c r="I3023" s="38">
        <f t="shared" si="46"/>
        <v>9125</v>
      </c>
    </row>
    <row r="3024" spans="1:9" x14ac:dyDescent="0.2">
      <c r="A3024" s="33">
        <v>40912</v>
      </c>
      <c r="B3024" s="36">
        <v>9120</v>
      </c>
      <c r="C3024" s="7">
        <v>9170</v>
      </c>
      <c r="D3024" s="7">
        <v>9175</v>
      </c>
      <c r="E3024" s="7">
        <v>9120</v>
      </c>
      <c r="F3024" s="7">
        <v>9125</v>
      </c>
      <c r="G3024" s="34">
        <v>9</v>
      </c>
      <c r="H3024" s="35">
        <v>10</v>
      </c>
      <c r="I3024" s="38">
        <f t="shared" si="46"/>
        <v>9145</v>
      </c>
    </row>
    <row r="3025" spans="1:9" x14ac:dyDescent="0.2">
      <c r="A3025" s="33">
        <v>40911</v>
      </c>
      <c r="B3025" s="36">
        <v>9110</v>
      </c>
      <c r="C3025" s="7">
        <v>9160</v>
      </c>
      <c r="D3025" s="7">
        <v>9140</v>
      </c>
      <c r="E3025" s="7">
        <v>9090</v>
      </c>
      <c r="F3025" s="7">
        <v>9090</v>
      </c>
      <c r="G3025" s="34">
        <v>6</v>
      </c>
      <c r="H3025" s="35">
        <v>40</v>
      </c>
      <c r="I3025" s="38">
        <f t="shared" si="46"/>
        <v>9135</v>
      </c>
    </row>
    <row r="3026" spans="1:9" x14ac:dyDescent="0.2">
      <c r="A3026" s="33">
        <v>40910</v>
      </c>
      <c r="B3026" s="36">
        <v>9070</v>
      </c>
      <c r="C3026" s="7">
        <v>9090</v>
      </c>
      <c r="D3026" s="7">
        <v>9160</v>
      </c>
      <c r="E3026" s="7">
        <v>9070</v>
      </c>
      <c r="F3026" s="7">
        <v>9100</v>
      </c>
      <c r="G3026" s="34">
        <v>25</v>
      </c>
      <c r="H3026" s="35">
        <v>10</v>
      </c>
      <c r="I3026" s="38">
        <f t="shared" si="46"/>
        <v>9080</v>
      </c>
    </row>
    <row r="3027" spans="1:9" x14ac:dyDescent="0.2">
      <c r="A3027" s="33">
        <v>40907</v>
      </c>
      <c r="B3027" s="36">
        <v>9060</v>
      </c>
      <c r="C3027" s="7">
        <v>9075</v>
      </c>
      <c r="D3027" s="7">
        <v>9150</v>
      </c>
      <c r="E3027" s="7">
        <v>9050</v>
      </c>
      <c r="F3027" s="7">
        <v>9060</v>
      </c>
      <c r="G3027" s="34">
        <v>42</v>
      </c>
      <c r="H3027" s="35">
        <v>-5</v>
      </c>
      <c r="I3027" s="38">
        <f t="shared" si="46"/>
        <v>9067.5</v>
      </c>
    </row>
    <row r="3028" spans="1:9" x14ac:dyDescent="0.2">
      <c r="A3028" s="33">
        <v>40906</v>
      </c>
      <c r="B3028" s="36">
        <v>9065</v>
      </c>
      <c r="C3028" s="7">
        <v>9080</v>
      </c>
      <c r="D3028" s="7">
        <v>9160</v>
      </c>
      <c r="E3028" s="7">
        <v>9060</v>
      </c>
      <c r="F3028" s="7">
        <v>9060</v>
      </c>
      <c r="G3028" s="34">
        <v>55</v>
      </c>
      <c r="H3028" s="35">
        <v>0</v>
      </c>
      <c r="I3028" s="38">
        <f t="shared" si="46"/>
        <v>9072.5</v>
      </c>
    </row>
    <row r="3029" spans="1:9" x14ac:dyDescent="0.2">
      <c r="A3029" s="33">
        <v>40905</v>
      </c>
      <c r="B3029" s="36">
        <v>9065</v>
      </c>
      <c r="C3029" s="7">
        <v>9080</v>
      </c>
      <c r="D3029" s="7">
        <v>9180</v>
      </c>
      <c r="E3029" s="7">
        <v>9050</v>
      </c>
      <c r="F3029" s="7">
        <v>9050</v>
      </c>
      <c r="G3029" s="34">
        <v>49</v>
      </c>
      <c r="H3029" s="35">
        <v>0</v>
      </c>
      <c r="I3029" s="38">
        <f t="shared" si="46"/>
        <v>9072.5</v>
      </c>
    </row>
    <row r="3030" spans="1:9" x14ac:dyDescent="0.2">
      <c r="A3030" s="33">
        <v>40904</v>
      </c>
      <c r="B3030" s="36">
        <v>9065</v>
      </c>
      <c r="C3030" s="7">
        <v>9085</v>
      </c>
      <c r="D3030" s="7">
        <v>9151</v>
      </c>
      <c r="E3030" s="7">
        <v>9065</v>
      </c>
      <c r="F3030" s="7">
        <v>9080</v>
      </c>
      <c r="G3030" s="34">
        <v>33</v>
      </c>
      <c r="H3030" s="35">
        <v>15</v>
      </c>
      <c r="I3030" s="38">
        <f t="shared" si="46"/>
        <v>9075</v>
      </c>
    </row>
    <row r="3031" spans="1:9" x14ac:dyDescent="0.2">
      <c r="A3031" s="33">
        <v>40903</v>
      </c>
      <c r="B3031" s="36">
        <v>9050</v>
      </c>
      <c r="C3031" s="7">
        <v>9060</v>
      </c>
      <c r="D3031" s="7"/>
      <c r="E3031" s="7"/>
      <c r="F3031" s="7"/>
      <c r="G3031" s="34">
        <v>0</v>
      </c>
      <c r="H3031" s="35">
        <v>0</v>
      </c>
      <c r="I3031" s="38">
        <f t="shared" si="46"/>
        <v>9055</v>
      </c>
    </row>
    <row r="3032" spans="1:9" x14ac:dyDescent="0.2">
      <c r="A3032" s="33">
        <v>40900</v>
      </c>
      <c r="B3032" s="36">
        <v>9050</v>
      </c>
      <c r="C3032" s="7">
        <v>9060</v>
      </c>
      <c r="D3032" s="7">
        <v>9060</v>
      </c>
      <c r="E3032" s="7">
        <v>9005</v>
      </c>
      <c r="F3032" s="7">
        <v>9060</v>
      </c>
      <c r="G3032" s="34">
        <v>35</v>
      </c>
      <c r="H3032" s="35">
        <v>-10</v>
      </c>
      <c r="I3032" s="38">
        <f t="shared" si="46"/>
        <v>9055</v>
      </c>
    </row>
    <row r="3033" spans="1:9" x14ac:dyDescent="0.2">
      <c r="A3033" s="33">
        <v>40899</v>
      </c>
      <c r="B3033" s="36">
        <v>9060</v>
      </c>
      <c r="C3033" s="7">
        <v>9070</v>
      </c>
      <c r="D3033" s="7">
        <v>9150</v>
      </c>
      <c r="E3033" s="7">
        <v>9050</v>
      </c>
      <c r="F3033" s="7">
        <v>9070</v>
      </c>
      <c r="G3033" s="34">
        <v>48</v>
      </c>
      <c r="H3033" s="35">
        <v>-5</v>
      </c>
      <c r="I3033" s="38">
        <f t="shared" si="46"/>
        <v>9065</v>
      </c>
    </row>
    <row r="3034" spans="1:9" x14ac:dyDescent="0.2">
      <c r="A3034" s="33">
        <v>40898</v>
      </c>
      <c r="B3034" s="36">
        <v>9065</v>
      </c>
      <c r="C3034" s="7">
        <v>9075</v>
      </c>
      <c r="D3034" s="7">
        <v>9150</v>
      </c>
      <c r="E3034" s="7">
        <v>9064</v>
      </c>
      <c r="F3034" s="7">
        <v>9090</v>
      </c>
      <c r="G3034" s="34">
        <v>39</v>
      </c>
      <c r="H3034" s="35">
        <v>-5</v>
      </c>
      <c r="I3034" s="38">
        <f t="shared" si="46"/>
        <v>9070</v>
      </c>
    </row>
    <row r="3035" spans="1:9" x14ac:dyDescent="0.2">
      <c r="A3035" s="33">
        <v>40897</v>
      </c>
      <c r="B3035" s="36">
        <v>9070</v>
      </c>
      <c r="C3035" s="7">
        <v>9090</v>
      </c>
      <c r="D3035" s="7">
        <v>9170</v>
      </c>
      <c r="E3035" s="7">
        <v>9070</v>
      </c>
      <c r="F3035" s="7">
        <v>9080</v>
      </c>
      <c r="G3035" s="34">
        <v>31</v>
      </c>
      <c r="H3035" s="35">
        <v>10</v>
      </c>
      <c r="I3035" s="38">
        <f t="shared" si="46"/>
        <v>9080</v>
      </c>
    </row>
    <row r="3036" spans="1:9" x14ac:dyDescent="0.2">
      <c r="A3036" s="33">
        <v>40896</v>
      </c>
      <c r="B3036" s="36">
        <v>9060</v>
      </c>
      <c r="C3036" s="7">
        <v>9070</v>
      </c>
      <c r="D3036" s="7">
        <v>9120</v>
      </c>
      <c r="E3036" s="7">
        <v>9060</v>
      </c>
      <c r="F3036" s="7">
        <v>9075</v>
      </c>
      <c r="G3036" s="34">
        <v>25</v>
      </c>
      <c r="H3036" s="35">
        <v>30</v>
      </c>
      <c r="I3036" s="38">
        <f t="shared" si="46"/>
        <v>9065</v>
      </c>
    </row>
    <row r="3037" spans="1:9" x14ac:dyDescent="0.2">
      <c r="A3037" s="33">
        <v>40893</v>
      </c>
      <c r="B3037" s="36">
        <v>9030</v>
      </c>
      <c r="C3037" s="7">
        <v>9040</v>
      </c>
      <c r="D3037" s="7">
        <v>9065</v>
      </c>
      <c r="E3037" s="7">
        <v>8990</v>
      </c>
      <c r="F3037" s="7">
        <v>9050</v>
      </c>
      <c r="G3037" s="34">
        <v>32</v>
      </c>
      <c r="H3037" s="35">
        <v>-50</v>
      </c>
      <c r="I3037" s="38">
        <f t="shared" si="46"/>
        <v>9035</v>
      </c>
    </row>
    <row r="3038" spans="1:9" x14ac:dyDescent="0.2">
      <c r="A3038" s="33">
        <v>40892</v>
      </c>
      <c r="B3038" s="36">
        <v>9080</v>
      </c>
      <c r="C3038" s="7">
        <v>9100</v>
      </c>
      <c r="D3038" s="7">
        <v>9180</v>
      </c>
      <c r="E3038" s="7">
        <v>9080</v>
      </c>
      <c r="F3038" s="7">
        <v>9120</v>
      </c>
      <c r="G3038" s="34">
        <v>23</v>
      </c>
      <c r="H3038" s="35">
        <v>0</v>
      </c>
      <c r="I3038" s="38">
        <f t="shared" si="46"/>
        <v>9090</v>
      </c>
    </row>
    <row r="3039" spans="1:9" x14ac:dyDescent="0.2">
      <c r="A3039" s="33">
        <v>40891</v>
      </c>
      <c r="B3039" s="36">
        <v>9080</v>
      </c>
      <c r="C3039" s="7">
        <v>9090</v>
      </c>
      <c r="D3039" s="7">
        <v>9100</v>
      </c>
      <c r="E3039" s="7">
        <v>9080</v>
      </c>
      <c r="F3039" s="7">
        <v>9080</v>
      </c>
      <c r="G3039" s="34">
        <v>12</v>
      </c>
      <c r="H3039" s="35">
        <v>20</v>
      </c>
      <c r="I3039" s="38">
        <f t="shared" si="46"/>
        <v>9085</v>
      </c>
    </row>
    <row r="3040" spans="1:9" x14ac:dyDescent="0.2">
      <c r="A3040" s="33">
        <v>40890</v>
      </c>
      <c r="B3040" s="36">
        <v>9060</v>
      </c>
      <c r="C3040" s="7">
        <v>9080</v>
      </c>
      <c r="D3040" s="7">
        <v>9090</v>
      </c>
      <c r="E3040" s="7">
        <v>9060</v>
      </c>
      <c r="F3040" s="7">
        <v>9080</v>
      </c>
      <c r="G3040" s="34">
        <v>6</v>
      </c>
      <c r="H3040" s="35">
        <v>20</v>
      </c>
      <c r="I3040" s="38">
        <f t="shared" ref="I3040:I3103" si="47">+(B3040+C3040)*0.5</f>
        <v>9070</v>
      </c>
    </row>
    <row r="3041" spans="1:9" x14ac:dyDescent="0.2">
      <c r="A3041" s="33">
        <v>40889</v>
      </c>
      <c r="B3041" s="36">
        <v>9040</v>
      </c>
      <c r="C3041" s="7">
        <v>9060</v>
      </c>
      <c r="D3041" s="7">
        <v>9080</v>
      </c>
      <c r="E3041" s="7">
        <v>9040</v>
      </c>
      <c r="F3041" s="7">
        <v>9080</v>
      </c>
      <c r="G3041" s="34">
        <v>8</v>
      </c>
      <c r="H3041" s="35">
        <v>0</v>
      </c>
      <c r="I3041" s="38">
        <f t="shared" si="47"/>
        <v>9050</v>
      </c>
    </row>
    <row r="3042" spans="1:9" x14ac:dyDescent="0.2">
      <c r="A3042" s="33">
        <v>40886</v>
      </c>
      <c r="B3042" s="36">
        <v>9040</v>
      </c>
      <c r="C3042" s="7">
        <v>9060</v>
      </c>
      <c r="D3042" s="7">
        <v>9090</v>
      </c>
      <c r="E3042" s="7">
        <v>9030</v>
      </c>
      <c r="F3042" s="7">
        <v>9030</v>
      </c>
      <c r="G3042" s="34">
        <v>58</v>
      </c>
      <c r="H3042" s="35">
        <v>50</v>
      </c>
      <c r="I3042" s="38">
        <f t="shared" si="47"/>
        <v>9050</v>
      </c>
    </row>
    <row r="3043" spans="1:9" x14ac:dyDescent="0.2">
      <c r="A3043" s="33">
        <v>40885</v>
      </c>
      <c r="B3043" s="36">
        <v>8990</v>
      </c>
      <c r="C3043" s="7">
        <v>9000</v>
      </c>
      <c r="D3043" s="7">
        <v>9080</v>
      </c>
      <c r="E3043" s="7">
        <v>8990</v>
      </c>
      <c r="F3043" s="7">
        <v>9030</v>
      </c>
      <c r="G3043" s="34">
        <v>30</v>
      </c>
      <c r="H3043" s="35">
        <v>-40</v>
      </c>
      <c r="I3043" s="38">
        <f t="shared" si="47"/>
        <v>8995</v>
      </c>
    </row>
    <row r="3044" spans="1:9" x14ac:dyDescent="0.2">
      <c r="A3044" s="33">
        <v>40884</v>
      </c>
      <c r="B3044" s="36">
        <v>9030</v>
      </c>
      <c r="C3044" s="7">
        <v>9040</v>
      </c>
      <c r="D3044" s="7">
        <v>9085</v>
      </c>
      <c r="E3044" s="7">
        <v>9030</v>
      </c>
      <c r="F3044" s="7">
        <v>9085</v>
      </c>
      <c r="G3044" s="34">
        <v>33</v>
      </c>
      <c r="H3044" s="35">
        <v>0</v>
      </c>
      <c r="I3044" s="38">
        <f t="shared" si="47"/>
        <v>9035</v>
      </c>
    </row>
    <row r="3045" spans="1:9" x14ac:dyDescent="0.2">
      <c r="A3045" s="33">
        <v>40883</v>
      </c>
      <c r="B3045" s="36">
        <v>9030</v>
      </c>
      <c r="C3045" s="7">
        <v>9040</v>
      </c>
      <c r="D3045" s="7">
        <v>9085</v>
      </c>
      <c r="E3045" s="7">
        <v>9025</v>
      </c>
      <c r="F3045" s="7">
        <v>9025</v>
      </c>
      <c r="G3045" s="34">
        <v>64</v>
      </c>
      <c r="H3045" s="35">
        <v>0</v>
      </c>
      <c r="I3045" s="38">
        <f t="shared" si="47"/>
        <v>9035</v>
      </c>
    </row>
    <row r="3046" spans="1:9" x14ac:dyDescent="0.2">
      <c r="A3046" s="33">
        <v>40882</v>
      </c>
      <c r="B3046" s="36">
        <v>9030</v>
      </c>
      <c r="C3046" s="7">
        <v>9040</v>
      </c>
      <c r="D3046" s="7">
        <v>9070</v>
      </c>
      <c r="E3046" s="7">
        <v>9030</v>
      </c>
      <c r="F3046" s="7">
        <v>9050</v>
      </c>
      <c r="G3046" s="34">
        <v>24</v>
      </c>
      <c r="H3046" s="35">
        <v>20</v>
      </c>
      <c r="I3046" s="38">
        <f t="shared" si="47"/>
        <v>9035</v>
      </c>
    </row>
    <row r="3047" spans="1:9" x14ac:dyDescent="0.2">
      <c r="A3047" s="33">
        <v>40879</v>
      </c>
      <c r="B3047" s="36">
        <v>9010</v>
      </c>
      <c r="C3047" s="7">
        <v>9020</v>
      </c>
      <c r="D3047" s="7">
        <v>9100</v>
      </c>
      <c r="E3047" s="7">
        <v>9010</v>
      </c>
      <c r="F3047" s="7">
        <v>9085</v>
      </c>
      <c r="G3047" s="34">
        <v>37</v>
      </c>
      <c r="H3047" s="35">
        <v>20</v>
      </c>
      <c r="I3047" s="38">
        <f t="shared" si="47"/>
        <v>9015</v>
      </c>
    </row>
    <row r="3048" spans="1:9" x14ac:dyDescent="0.2">
      <c r="A3048" s="33">
        <v>40878</v>
      </c>
      <c r="B3048" s="36">
        <v>8990</v>
      </c>
      <c r="C3048" s="7">
        <v>9000</v>
      </c>
      <c r="D3048" s="7">
        <v>9100</v>
      </c>
      <c r="E3048" s="7">
        <v>8990</v>
      </c>
      <c r="F3048" s="7">
        <v>9070</v>
      </c>
      <c r="G3048" s="34">
        <v>33</v>
      </c>
      <c r="H3048" s="35">
        <v>-115</v>
      </c>
      <c r="I3048" s="38">
        <f t="shared" si="47"/>
        <v>8995</v>
      </c>
    </row>
    <row r="3049" spans="1:9" x14ac:dyDescent="0.2">
      <c r="A3049" s="33">
        <v>40877</v>
      </c>
      <c r="B3049" s="36">
        <v>9105</v>
      </c>
      <c r="C3049" s="7">
        <v>9115</v>
      </c>
      <c r="D3049" s="7">
        <v>9170</v>
      </c>
      <c r="E3049" s="7">
        <v>9105</v>
      </c>
      <c r="F3049" s="7">
        <v>9150</v>
      </c>
      <c r="G3049" s="34">
        <v>19</v>
      </c>
      <c r="H3049" s="35">
        <v>-45</v>
      </c>
      <c r="I3049" s="38">
        <f t="shared" si="47"/>
        <v>9110</v>
      </c>
    </row>
    <row r="3050" spans="1:9" x14ac:dyDescent="0.2">
      <c r="A3050" s="33">
        <v>40876</v>
      </c>
      <c r="B3050" s="36">
        <v>9150</v>
      </c>
      <c r="C3050" s="7">
        <v>9160</v>
      </c>
      <c r="D3050" s="7">
        <v>9190</v>
      </c>
      <c r="E3050" s="7">
        <v>9130</v>
      </c>
      <c r="F3050" s="7">
        <v>9130</v>
      </c>
      <c r="G3050" s="34">
        <v>19</v>
      </c>
      <c r="H3050" s="35">
        <v>40</v>
      </c>
      <c r="I3050" s="38">
        <f t="shared" si="47"/>
        <v>9155</v>
      </c>
    </row>
    <row r="3051" spans="1:9" x14ac:dyDescent="0.2">
      <c r="A3051" s="33">
        <v>40875</v>
      </c>
      <c r="B3051" s="36">
        <v>9110</v>
      </c>
      <c r="C3051" s="7">
        <v>9120</v>
      </c>
      <c r="D3051" s="7">
        <v>9215</v>
      </c>
      <c r="E3051" s="7">
        <v>9070</v>
      </c>
      <c r="F3051" s="7">
        <v>9070</v>
      </c>
      <c r="G3051" s="34">
        <v>25</v>
      </c>
      <c r="H3051" s="35">
        <v>60</v>
      </c>
      <c r="I3051" s="38">
        <f t="shared" si="47"/>
        <v>9115</v>
      </c>
    </row>
    <row r="3052" spans="1:9" x14ac:dyDescent="0.2">
      <c r="A3052" s="33">
        <v>40872</v>
      </c>
      <c r="B3052" s="36">
        <v>9050</v>
      </c>
      <c r="C3052" s="7">
        <v>9060</v>
      </c>
      <c r="D3052" s="7">
        <v>9145</v>
      </c>
      <c r="E3052" s="7">
        <v>9000</v>
      </c>
      <c r="F3052" s="7">
        <v>9000</v>
      </c>
      <c r="G3052" s="34">
        <v>29</v>
      </c>
      <c r="H3052" s="35">
        <v>70</v>
      </c>
      <c r="I3052" s="38">
        <f t="shared" si="47"/>
        <v>9055</v>
      </c>
    </row>
    <row r="3053" spans="1:9" x14ac:dyDescent="0.2">
      <c r="A3053" s="33">
        <v>40871</v>
      </c>
      <c r="B3053" s="36">
        <v>8980</v>
      </c>
      <c r="C3053" s="7">
        <v>9000</v>
      </c>
      <c r="D3053" s="7">
        <v>9215</v>
      </c>
      <c r="E3053" s="7">
        <v>8970</v>
      </c>
      <c r="F3053" s="7">
        <v>9050</v>
      </c>
      <c r="G3053" s="34">
        <v>75</v>
      </c>
      <c r="H3053" s="35">
        <v>-60</v>
      </c>
      <c r="I3053" s="38">
        <f t="shared" si="47"/>
        <v>8990</v>
      </c>
    </row>
    <row r="3054" spans="1:9" x14ac:dyDescent="0.2">
      <c r="A3054" s="33">
        <v>40870</v>
      </c>
      <c r="B3054" s="36">
        <v>9040</v>
      </c>
      <c r="C3054" s="7">
        <v>9050</v>
      </c>
      <c r="D3054" s="7">
        <v>9080</v>
      </c>
      <c r="E3054" s="7">
        <v>9030</v>
      </c>
      <c r="F3054" s="7">
        <v>9030</v>
      </c>
      <c r="G3054" s="34">
        <v>21</v>
      </c>
      <c r="H3054" s="35">
        <v>0</v>
      </c>
      <c r="I3054" s="38">
        <f t="shared" si="47"/>
        <v>9045</v>
      </c>
    </row>
    <row r="3055" spans="1:9" x14ac:dyDescent="0.2">
      <c r="A3055" s="33">
        <v>40869</v>
      </c>
      <c r="B3055" s="36">
        <v>9040</v>
      </c>
      <c r="C3055" s="7">
        <v>9050</v>
      </c>
      <c r="D3055" s="7">
        <v>9051</v>
      </c>
      <c r="E3055" s="7">
        <v>9030</v>
      </c>
      <c r="F3055" s="7">
        <v>9030</v>
      </c>
      <c r="G3055" s="34">
        <v>34</v>
      </c>
      <c r="H3055" s="35">
        <v>20</v>
      </c>
      <c r="I3055" s="38">
        <f t="shared" si="47"/>
        <v>9045</v>
      </c>
    </row>
    <row r="3056" spans="1:9" x14ac:dyDescent="0.2">
      <c r="A3056" s="33">
        <v>40868</v>
      </c>
      <c r="B3056" s="36">
        <v>9020</v>
      </c>
      <c r="C3056" s="7">
        <v>9030</v>
      </c>
      <c r="D3056" s="7">
        <v>9070</v>
      </c>
      <c r="E3056" s="7">
        <v>9020</v>
      </c>
      <c r="F3056" s="7">
        <v>9030</v>
      </c>
      <c r="G3056" s="34">
        <v>15</v>
      </c>
      <c r="H3056" s="35">
        <v>5</v>
      </c>
      <c r="I3056" s="38">
        <f t="shared" si="47"/>
        <v>9025</v>
      </c>
    </row>
    <row r="3057" spans="1:9" x14ac:dyDescent="0.2">
      <c r="A3057" s="33">
        <v>40865</v>
      </c>
      <c r="B3057" s="36">
        <v>9015</v>
      </c>
      <c r="C3057" s="7">
        <v>9025</v>
      </c>
      <c r="D3057" s="7">
        <v>9055</v>
      </c>
      <c r="E3057" s="7">
        <v>9015</v>
      </c>
      <c r="F3057" s="7">
        <v>9025</v>
      </c>
      <c r="G3057" s="34">
        <v>14</v>
      </c>
      <c r="H3057" s="35">
        <v>20</v>
      </c>
      <c r="I3057" s="38">
        <f t="shared" si="47"/>
        <v>9020</v>
      </c>
    </row>
    <row r="3058" spans="1:9" x14ac:dyDescent="0.2">
      <c r="A3058" s="33">
        <v>40864</v>
      </c>
      <c r="B3058" s="36">
        <v>8995</v>
      </c>
      <c r="C3058" s="7">
        <v>9005</v>
      </c>
      <c r="D3058" s="7">
        <v>9035</v>
      </c>
      <c r="E3058" s="7">
        <v>8995</v>
      </c>
      <c r="F3058" s="7">
        <v>9000</v>
      </c>
      <c r="G3058" s="34">
        <v>12</v>
      </c>
      <c r="H3058" s="35">
        <v>7</v>
      </c>
      <c r="I3058" s="38">
        <f t="shared" si="47"/>
        <v>9000</v>
      </c>
    </row>
    <row r="3059" spans="1:9" x14ac:dyDescent="0.2">
      <c r="A3059" s="33">
        <v>40863</v>
      </c>
      <c r="B3059" s="36">
        <v>8988</v>
      </c>
      <c r="C3059" s="7">
        <v>8999</v>
      </c>
      <c r="D3059" s="7">
        <v>9045</v>
      </c>
      <c r="E3059" s="7">
        <v>8988</v>
      </c>
      <c r="F3059" s="7">
        <v>9000</v>
      </c>
      <c r="G3059" s="34">
        <v>31</v>
      </c>
      <c r="H3059" s="35">
        <v>-2</v>
      </c>
      <c r="I3059" s="38">
        <f t="shared" si="47"/>
        <v>8993.5</v>
      </c>
    </row>
    <row r="3060" spans="1:9" x14ac:dyDescent="0.2">
      <c r="A3060" s="33">
        <v>40862</v>
      </c>
      <c r="B3060" s="36">
        <v>8990</v>
      </c>
      <c r="C3060" s="7">
        <v>9000</v>
      </c>
      <c r="D3060" s="7">
        <v>9000</v>
      </c>
      <c r="E3060" s="7">
        <v>8960</v>
      </c>
      <c r="F3060" s="7">
        <v>8960</v>
      </c>
      <c r="G3060" s="34">
        <v>7</v>
      </c>
      <c r="H3060" s="35">
        <v>30</v>
      </c>
      <c r="I3060" s="38">
        <f t="shared" si="47"/>
        <v>8995</v>
      </c>
    </row>
    <row r="3061" spans="1:9" x14ac:dyDescent="0.2">
      <c r="A3061" s="33">
        <v>40861</v>
      </c>
      <c r="B3061" s="36">
        <v>8960</v>
      </c>
      <c r="C3061" s="7">
        <v>8970</v>
      </c>
      <c r="D3061" s="7">
        <v>8960</v>
      </c>
      <c r="E3061" s="7">
        <v>8945</v>
      </c>
      <c r="F3061" s="7">
        <v>8960</v>
      </c>
      <c r="G3061" s="34">
        <v>8</v>
      </c>
      <c r="H3061" s="35">
        <v>-3</v>
      </c>
      <c r="I3061" s="38">
        <f t="shared" si="47"/>
        <v>8965</v>
      </c>
    </row>
    <row r="3062" spans="1:9" x14ac:dyDescent="0.2">
      <c r="A3062" s="33">
        <v>40858</v>
      </c>
      <c r="B3062" s="36">
        <v>8963</v>
      </c>
      <c r="C3062" s="7">
        <v>8973</v>
      </c>
      <c r="D3062" s="7">
        <v>9000</v>
      </c>
      <c r="E3062" s="7">
        <v>8950</v>
      </c>
      <c r="F3062" s="7">
        <v>8950</v>
      </c>
      <c r="G3062" s="34">
        <v>16</v>
      </c>
      <c r="H3062" s="35">
        <v>-2</v>
      </c>
      <c r="I3062" s="38">
        <f t="shared" si="47"/>
        <v>8968</v>
      </c>
    </row>
    <row r="3063" spans="1:9" x14ac:dyDescent="0.2">
      <c r="A3063" s="33">
        <v>40857</v>
      </c>
      <c r="B3063" s="36">
        <v>8965</v>
      </c>
      <c r="C3063" s="7">
        <v>8975</v>
      </c>
      <c r="D3063" s="7">
        <v>9030</v>
      </c>
      <c r="E3063" s="7">
        <v>8900</v>
      </c>
      <c r="F3063" s="7">
        <v>8900</v>
      </c>
      <c r="G3063" s="34">
        <v>30</v>
      </c>
      <c r="H3063" s="35">
        <v>80</v>
      </c>
      <c r="I3063" s="38">
        <f t="shared" si="47"/>
        <v>8970</v>
      </c>
    </row>
    <row r="3064" spans="1:9" x14ac:dyDescent="0.2">
      <c r="A3064" s="33">
        <v>40856</v>
      </c>
      <c r="B3064" s="36">
        <v>8885</v>
      </c>
      <c r="C3064" s="7">
        <v>8895</v>
      </c>
      <c r="D3064" s="7">
        <v>8925</v>
      </c>
      <c r="E3064" s="7">
        <v>8880</v>
      </c>
      <c r="F3064" s="7">
        <v>8910</v>
      </c>
      <c r="G3064" s="34">
        <v>23</v>
      </c>
      <c r="H3064" s="35">
        <v>-30</v>
      </c>
      <c r="I3064" s="38">
        <f t="shared" si="47"/>
        <v>8890</v>
      </c>
    </row>
    <row r="3065" spans="1:9" x14ac:dyDescent="0.2">
      <c r="A3065" s="33">
        <v>40855</v>
      </c>
      <c r="B3065" s="36">
        <v>8915</v>
      </c>
      <c r="C3065" s="7">
        <v>8925</v>
      </c>
      <c r="D3065" s="7">
        <v>8955</v>
      </c>
      <c r="E3065" s="7">
        <v>8915</v>
      </c>
      <c r="F3065" s="7">
        <v>8945</v>
      </c>
      <c r="G3065" s="34">
        <v>15</v>
      </c>
      <c r="H3065" s="35">
        <v>-35</v>
      </c>
      <c r="I3065" s="38">
        <f t="shared" si="47"/>
        <v>8920</v>
      </c>
    </row>
    <row r="3066" spans="1:9" x14ac:dyDescent="0.2">
      <c r="A3066" s="33">
        <v>40854</v>
      </c>
      <c r="B3066" s="36">
        <v>8950</v>
      </c>
      <c r="C3066" s="7">
        <v>8960</v>
      </c>
      <c r="D3066" s="7">
        <v>8985</v>
      </c>
      <c r="E3066" s="7">
        <v>8930</v>
      </c>
      <c r="F3066" s="7">
        <v>8930</v>
      </c>
      <c r="G3066" s="34">
        <v>16</v>
      </c>
      <c r="H3066" s="35">
        <v>5</v>
      </c>
      <c r="I3066" s="38">
        <f t="shared" si="47"/>
        <v>8955</v>
      </c>
    </row>
    <row r="3067" spans="1:9" x14ac:dyDescent="0.2">
      <c r="A3067" s="33">
        <v>40851</v>
      </c>
      <c r="B3067" s="36">
        <v>8945</v>
      </c>
      <c r="C3067" s="7">
        <v>8955</v>
      </c>
      <c r="D3067" s="7">
        <v>8960</v>
      </c>
      <c r="E3067" s="7">
        <v>8944</v>
      </c>
      <c r="F3067" s="7">
        <v>8950</v>
      </c>
      <c r="G3067" s="34">
        <v>14</v>
      </c>
      <c r="H3067" s="35">
        <v>-15</v>
      </c>
      <c r="I3067" s="38">
        <f t="shared" si="47"/>
        <v>8950</v>
      </c>
    </row>
    <row r="3068" spans="1:9" x14ac:dyDescent="0.2">
      <c r="A3068" s="33">
        <v>40850</v>
      </c>
      <c r="B3068" s="36">
        <v>8960</v>
      </c>
      <c r="C3068" s="7">
        <v>8980</v>
      </c>
      <c r="D3068" s="7">
        <v>8970</v>
      </c>
      <c r="E3068" s="7">
        <v>8960</v>
      </c>
      <c r="F3068" s="7">
        <v>8970</v>
      </c>
      <c r="G3068" s="34">
        <v>7</v>
      </c>
      <c r="H3068" s="35">
        <v>35</v>
      </c>
      <c r="I3068" s="38">
        <f t="shared" si="47"/>
        <v>8970</v>
      </c>
    </row>
    <row r="3069" spans="1:9" x14ac:dyDescent="0.2">
      <c r="A3069" s="33">
        <v>40849</v>
      </c>
      <c r="B3069" s="36">
        <v>8925</v>
      </c>
      <c r="C3069" s="7">
        <v>8935</v>
      </c>
      <c r="D3069" s="7">
        <v>8970</v>
      </c>
      <c r="E3069" s="7">
        <v>8900</v>
      </c>
      <c r="F3069" s="7">
        <v>8900</v>
      </c>
      <c r="G3069" s="34">
        <v>18</v>
      </c>
      <c r="H3069" s="35">
        <v>37</v>
      </c>
      <c r="I3069" s="38">
        <f t="shared" si="47"/>
        <v>8930</v>
      </c>
    </row>
    <row r="3070" spans="1:9" x14ac:dyDescent="0.2">
      <c r="A3070" s="33">
        <v>40848</v>
      </c>
      <c r="B3070" s="36">
        <v>8888</v>
      </c>
      <c r="C3070" s="7">
        <v>8899</v>
      </c>
      <c r="D3070" s="7">
        <v>8900</v>
      </c>
      <c r="E3070" s="7">
        <v>8860</v>
      </c>
      <c r="F3070" s="7">
        <v>8860</v>
      </c>
      <c r="G3070" s="34">
        <v>16</v>
      </c>
      <c r="H3070" s="35">
        <v>38</v>
      </c>
      <c r="I3070" s="38">
        <f t="shared" si="47"/>
        <v>8893.5</v>
      </c>
    </row>
    <row r="3071" spans="1:9" x14ac:dyDescent="0.2">
      <c r="A3071" s="33">
        <v>40847</v>
      </c>
      <c r="B3071" s="36">
        <v>8850</v>
      </c>
      <c r="C3071" s="7">
        <v>8855</v>
      </c>
      <c r="D3071" s="7">
        <v>8865</v>
      </c>
      <c r="E3071" s="7">
        <v>8800</v>
      </c>
      <c r="F3071" s="7">
        <v>8800</v>
      </c>
      <c r="G3071" s="34">
        <v>16</v>
      </c>
      <c r="H3071" s="35">
        <v>65</v>
      </c>
      <c r="I3071" s="38">
        <f t="shared" si="47"/>
        <v>8852.5</v>
      </c>
    </row>
    <row r="3072" spans="1:9" x14ac:dyDescent="0.2">
      <c r="A3072" s="33">
        <v>40844</v>
      </c>
      <c r="B3072" s="36">
        <v>8785</v>
      </c>
      <c r="C3072" s="7">
        <v>8795</v>
      </c>
      <c r="D3072" s="7">
        <v>8835</v>
      </c>
      <c r="E3072" s="7">
        <v>8785</v>
      </c>
      <c r="F3072" s="7">
        <v>8810</v>
      </c>
      <c r="G3072" s="34">
        <v>44</v>
      </c>
      <c r="H3072" s="35">
        <v>-75</v>
      </c>
      <c r="I3072" s="38">
        <f t="shared" si="47"/>
        <v>8790</v>
      </c>
    </row>
    <row r="3073" spans="1:9" x14ac:dyDescent="0.2">
      <c r="A3073" s="33">
        <v>40843</v>
      </c>
      <c r="B3073" s="36">
        <v>8860</v>
      </c>
      <c r="C3073" s="7">
        <v>8870</v>
      </c>
      <c r="D3073" s="7">
        <v>8888</v>
      </c>
      <c r="E3073" s="7">
        <v>8860</v>
      </c>
      <c r="F3073" s="7">
        <v>8872</v>
      </c>
      <c r="G3073" s="34">
        <v>23</v>
      </c>
      <c r="H3073" s="35">
        <v>-8</v>
      </c>
      <c r="I3073" s="38">
        <f t="shared" si="47"/>
        <v>8865</v>
      </c>
    </row>
    <row r="3074" spans="1:9" x14ac:dyDescent="0.2">
      <c r="A3074" s="33">
        <v>40842</v>
      </c>
      <c r="B3074" s="36">
        <v>8868</v>
      </c>
      <c r="C3074" s="7">
        <v>8878</v>
      </c>
      <c r="D3074" s="7">
        <v>8880</v>
      </c>
      <c r="E3074" s="7">
        <v>8840</v>
      </c>
      <c r="F3074" s="7">
        <v>8840</v>
      </c>
      <c r="G3074" s="34">
        <v>7</v>
      </c>
      <c r="H3074" s="35">
        <v>23</v>
      </c>
      <c r="I3074" s="38">
        <f t="shared" si="47"/>
        <v>8873</v>
      </c>
    </row>
    <row r="3075" spans="1:9" x14ac:dyDescent="0.2">
      <c r="A3075" s="33">
        <v>40841</v>
      </c>
      <c r="B3075" s="36">
        <v>8845</v>
      </c>
      <c r="C3075" s="7">
        <v>8855</v>
      </c>
      <c r="D3075" s="7">
        <v>8863</v>
      </c>
      <c r="E3075" s="7">
        <v>8840</v>
      </c>
      <c r="F3075" s="7">
        <v>8845</v>
      </c>
      <c r="G3075" s="34">
        <v>23</v>
      </c>
      <c r="H3075" s="35">
        <v>10</v>
      </c>
      <c r="I3075" s="38">
        <f t="shared" si="47"/>
        <v>8850</v>
      </c>
    </row>
    <row r="3076" spans="1:9" x14ac:dyDescent="0.2">
      <c r="A3076" s="33">
        <v>40840</v>
      </c>
      <c r="B3076" s="36">
        <v>8835</v>
      </c>
      <c r="C3076" s="7">
        <v>8845</v>
      </c>
      <c r="D3076" s="7">
        <v>8885</v>
      </c>
      <c r="E3076" s="7">
        <v>8835</v>
      </c>
      <c r="F3076" s="7">
        <v>8850</v>
      </c>
      <c r="G3076" s="34">
        <v>19</v>
      </c>
      <c r="H3076" s="35">
        <v>-20</v>
      </c>
      <c r="I3076" s="38">
        <f t="shared" si="47"/>
        <v>8840</v>
      </c>
    </row>
    <row r="3077" spans="1:9" x14ac:dyDescent="0.2">
      <c r="A3077" s="33">
        <v>40837</v>
      </c>
      <c r="B3077" s="36">
        <v>8855</v>
      </c>
      <c r="C3077" s="7">
        <v>8865</v>
      </c>
      <c r="D3077" s="7">
        <v>8875</v>
      </c>
      <c r="E3077" s="7">
        <v>8830</v>
      </c>
      <c r="F3077" s="7">
        <v>8830</v>
      </c>
      <c r="G3077" s="34">
        <v>10</v>
      </c>
      <c r="H3077" s="35">
        <v>35</v>
      </c>
      <c r="I3077" s="38">
        <f t="shared" si="47"/>
        <v>8860</v>
      </c>
    </row>
    <row r="3078" spans="1:9" x14ac:dyDescent="0.2">
      <c r="A3078" s="33">
        <v>40836</v>
      </c>
      <c r="B3078" s="36">
        <v>8820</v>
      </c>
      <c r="C3078" s="7">
        <v>8830</v>
      </c>
      <c r="D3078" s="7">
        <v>8845</v>
      </c>
      <c r="E3078" s="7">
        <v>8815</v>
      </c>
      <c r="F3078" s="7">
        <v>8815</v>
      </c>
      <c r="G3078" s="34">
        <v>12</v>
      </c>
      <c r="H3078" s="35">
        <v>25</v>
      </c>
      <c r="I3078" s="38">
        <f t="shared" si="47"/>
        <v>8825</v>
      </c>
    </row>
    <row r="3079" spans="1:9" x14ac:dyDescent="0.2">
      <c r="A3079" s="33">
        <v>40835</v>
      </c>
      <c r="B3079" s="36">
        <v>8795</v>
      </c>
      <c r="C3079" s="7">
        <v>8805</v>
      </c>
      <c r="D3079" s="7">
        <v>8850</v>
      </c>
      <c r="E3079" s="7">
        <v>8795</v>
      </c>
      <c r="F3079" s="7">
        <v>8825</v>
      </c>
      <c r="G3079" s="34">
        <v>18</v>
      </c>
      <c r="H3079" s="35">
        <v>-20</v>
      </c>
      <c r="I3079" s="38">
        <f t="shared" si="47"/>
        <v>8800</v>
      </c>
    </row>
    <row r="3080" spans="1:9" x14ac:dyDescent="0.2">
      <c r="A3080" s="33">
        <v>40834</v>
      </c>
      <c r="B3080" s="36">
        <v>8815</v>
      </c>
      <c r="C3080" s="7">
        <v>8820</v>
      </c>
      <c r="D3080" s="7">
        <v>8855</v>
      </c>
      <c r="E3080" s="7">
        <v>8815</v>
      </c>
      <c r="F3080" s="7">
        <v>8830</v>
      </c>
      <c r="G3080" s="34">
        <v>22</v>
      </c>
      <c r="H3080" s="35">
        <v>0</v>
      </c>
      <c r="I3080" s="38">
        <f t="shared" si="47"/>
        <v>8817.5</v>
      </c>
    </row>
    <row r="3081" spans="1:9" x14ac:dyDescent="0.2">
      <c r="A3081" s="33">
        <v>40833</v>
      </c>
      <c r="B3081" s="36">
        <v>8815</v>
      </c>
      <c r="C3081" s="7">
        <v>8820</v>
      </c>
      <c r="D3081" s="7">
        <v>8845</v>
      </c>
      <c r="E3081" s="7">
        <v>8815</v>
      </c>
      <c r="F3081" s="7">
        <v>8820</v>
      </c>
      <c r="G3081" s="34">
        <v>20</v>
      </c>
      <c r="H3081" s="35">
        <v>-29</v>
      </c>
      <c r="I3081" s="38">
        <f t="shared" si="47"/>
        <v>8817.5</v>
      </c>
    </row>
    <row r="3082" spans="1:9" x14ac:dyDescent="0.2">
      <c r="A3082" s="33">
        <v>40830</v>
      </c>
      <c r="B3082" s="36">
        <v>8844</v>
      </c>
      <c r="C3082" s="7">
        <v>8848</v>
      </c>
      <c r="D3082" s="7">
        <v>8890</v>
      </c>
      <c r="E3082" s="7">
        <v>8844</v>
      </c>
      <c r="F3082" s="7">
        <v>8850</v>
      </c>
      <c r="G3082" s="34">
        <v>43</v>
      </c>
      <c r="H3082" s="35">
        <v>-21</v>
      </c>
      <c r="I3082" s="38">
        <f t="shared" si="47"/>
        <v>8846</v>
      </c>
    </row>
    <row r="3083" spans="1:9" x14ac:dyDescent="0.2">
      <c r="A3083" s="33">
        <v>40829</v>
      </c>
      <c r="B3083" s="36">
        <v>8865</v>
      </c>
      <c r="C3083" s="7">
        <v>8875</v>
      </c>
      <c r="D3083" s="7">
        <v>8915</v>
      </c>
      <c r="E3083" s="7">
        <v>8850</v>
      </c>
      <c r="F3083" s="7">
        <v>8880</v>
      </c>
      <c r="G3083" s="34">
        <v>33</v>
      </c>
      <c r="H3083" s="35">
        <v>-55</v>
      </c>
      <c r="I3083" s="38">
        <f t="shared" si="47"/>
        <v>8870</v>
      </c>
    </row>
    <row r="3084" spans="1:9" x14ac:dyDescent="0.2">
      <c r="A3084" s="33">
        <v>40828</v>
      </c>
      <c r="B3084" s="36">
        <v>8920</v>
      </c>
      <c r="C3084" s="7">
        <v>8935</v>
      </c>
      <c r="D3084" s="7">
        <v>8945</v>
      </c>
      <c r="E3084" s="7">
        <v>8900</v>
      </c>
      <c r="F3084" s="7">
        <v>8900</v>
      </c>
      <c r="G3084" s="34">
        <v>15</v>
      </c>
      <c r="H3084" s="35">
        <v>15</v>
      </c>
      <c r="I3084" s="38">
        <f t="shared" si="47"/>
        <v>8927.5</v>
      </c>
    </row>
    <row r="3085" spans="1:9" x14ac:dyDescent="0.2">
      <c r="A3085" s="33">
        <v>40827</v>
      </c>
      <c r="B3085" s="36">
        <v>8905</v>
      </c>
      <c r="C3085" s="7">
        <v>8920</v>
      </c>
      <c r="D3085" s="7">
        <v>8940</v>
      </c>
      <c r="E3085" s="7">
        <v>8880</v>
      </c>
      <c r="F3085" s="7">
        <v>8880</v>
      </c>
      <c r="G3085" s="34">
        <v>26</v>
      </c>
      <c r="H3085" s="35">
        <v>20</v>
      </c>
      <c r="I3085" s="38">
        <f t="shared" si="47"/>
        <v>8912.5</v>
      </c>
    </row>
    <row r="3086" spans="1:9" x14ac:dyDescent="0.2">
      <c r="A3086" s="33">
        <v>40826</v>
      </c>
      <c r="B3086" s="36">
        <v>8885</v>
      </c>
      <c r="C3086" s="7">
        <v>8900</v>
      </c>
      <c r="D3086" s="7">
        <v>8960</v>
      </c>
      <c r="E3086" s="7">
        <v>8885</v>
      </c>
      <c r="F3086" s="7">
        <v>8930</v>
      </c>
      <c r="G3086" s="34">
        <v>16</v>
      </c>
      <c r="H3086" s="35">
        <v>-5</v>
      </c>
      <c r="I3086" s="38">
        <f t="shared" si="47"/>
        <v>8892.5</v>
      </c>
    </row>
    <row r="3087" spans="1:9" x14ac:dyDescent="0.2">
      <c r="A3087" s="33">
        <v>40823</v>
      </c>
      <c r="B3087" s="36">
        <v>8890</v>
      </c>
      <c r="C3087" s="7">
        <v>8905</v>
      </c>
      <c r="D3087" s="7">
        <v>8970</v>
      </c>
      <c r="E3087" s="7">
        <v>8890</v>
      </c>
      <c r="F3087" s="7">
        <v>8930</v>
      </c>
      <c r="G3087" s="34">
        <v>22</v>
      </c>
      <c r="H3087" s="35">
        <v>0</v>
      </c>
      <c r="I3087" s="38">
        <f t="shared" si="47"/>
        <v>8897.5</v>
      </c>
    </row>
    <row r="3088" spans="1:9" x14ac:dyDescent="0.2">
      <c r="A3088" s="33">
        <v>40822</v>
      </c>
      <c r="B3088" s="36">
        <v>8890</v>
      </c>
      <c r="C3088" s="7">
        <v>8920</v>
      </c>
      <c r="D3088" s="7">
        <v>8930</v>
      </c>
      <c r="E3088" s="7">
        <v>8790</v>
      </c>
      <c r="F3088" s="7">
        <v>8800</v>
      </c>
      <c r="G3088" s="34">
        <v>16</v>
      </c>
      <c r="H3088" s="35">
        <v>-10</v>
      </c>
      <c r="I3088" s="38">
        <f t="shared" si="47"/>
        <v>8905</v>
      </c>
    </row>
    <row r="3089" spans="1:9" x14ac:dyDescent="0.2">
      <c r="A3089" s="33">
        <v>40821</v>
      </c>
      <c r="B3089" s="36">
        <v>8900</v>
      </c>
      <c r="C3089" s="7">
        <v>8920</v>
      </c>
      <c r="D3089" s="7">
        <v>8960</v>
      </c>
      <c r="E3089" s="7">
        <v>8890</v>
      </c>
      <c r="F3089" s="7">
        <v>8890</v>
      </c>
      <c r="G3089" s="34">
        <v>13</v>
      </c>
      <c r="H3089" s="35">
        <v>10</v>
      </c>
      <c r="I3089" s="38">
        <f t="shared" si="47"/>
        <v>8910</v>
      </c>
    </row>
    <row r="3090" spans="1:9" x14ac:dyDescent="0.2">
      <c r="A3090" s="33">
        <v>40820</v>
      </c>
      <c r="B3090" s="36">
        <v>8890</v>
      </c>
      <c r="C3090" s="7">
        <v>8920</v>
      </c>
      <c r="D3090" s="7">
        <v>8955</v>
      </c>
      <c r="E3090" s="7">
        <v>8890</v>
      </c>
      <c r="F3090" s="7">
        <v>8900</v>
      </c>
      <c r="G3090" s="34">
        <v>9</v>
      </c>
      <c r="H3090" s="35">
        <v>0</v>
      </c>
      <c r="I3090" s="38">
        <f t="shared" si="47"/>
        <v>8905</v>
      </c>
    </row>
    <row r="3091" spans="1:9" x14ac:dyDescent="0.2">
      <c r="A3091" s="33">
        <v>40819</v>
      </c>
      <c r="B3091" s="36">
        <v>8890</v>
      </c>
      <c r="C3091" s="7">
        <v>8905</v>
      </c>
      <c r="D3091" s="7">
        <v>8925</v>
      </c>
      <c r="E3091" s="7">
        <v>8800</v>
      </c>
      <c r="F3091" s="7">
        <v>8800</v>
      </c>
      <c r="G3091" s="34">
        <v>14</v>
      </c>
      <c r="H3091" s="35">
        <v>110</v>
      </c>
      <c r="I3091" s="38">
        <f t="shared" si="47"/>
        <v>8897.5</v>
      </c>
    </row>
    <row r="3092" spans="1:9" x14ac:dyDescent="0.2">
      <c r="A3092" s="33">
        <v>40816</v>
      </c>
      <c r="B3092" s="36">
        <v>8780</v>
      </c>
      <c r="C3092" s="7">
        <v>8800</v>
      </c>
      <c r="D3092" s="7">
        <v>8830</v>
      </c>
      <c r="E3092" s="7">
        <v>8780</v>
      </c>
      <c r="F3092" s="7">
        <v>8800</v>
      </c>
      <c r="G3092" s="34">
        <v>14</v>
      </c>
      <c r="H3092" s="35">
        <v>-60</v>
      </c>
      <c r="I3092" s="38">
        <f t="shared" si="47"/>
        <v>8790</v>
      </c>
    </row>
    <row r="3093" spans="1:9" x14ac:dyDescent="0.2">
      <c r="A3093" s="33">
        <v>40815</v>
      </c>
      <c r="B3093" s="36">
        <v>8840</v>
      </c>
      <c r="C3093" s="7">
        <v>8870</v>
      </c>
      <c r="D3093" s="7">
        <v>8930</v>
      </c>
      <c r="E3093" s="7">
        <v>8840</v>
      </c>
      <c r="F3093" s="7">
        <v>8925</v>
      </c>
      <c r="G3093" s="34">
        <v>25</v>
      </c>
      <c r="H3093" s="35">
        <v>-45</v>
      </c>
      <c r="I3093" s="38">
        <f t="shared" si="47"/>
        <v>8855</v>
      </c>
    </row>
    <row r="3094" spans="1:9" x14ac:dyDescent="0.2">
      <c r="A3094" s="33">
        <v>40814</v>
      </c>
      <c r="B3094" s="36">
        <v>8885</v>
      </c>
      <c r="C3094" s="7">
        <v>8895</v>
      </c>
      <c r="D3094" s="7">
        <v>8950</v>
      </c>
      <c r="E3094" s="7">
        <v>8840</v>
      </c>
      <c r="F3094" s="7">
        <v>8850</v>
      </c>
      <c r="G3094" s="34">
        <v>20</v>
      </c>
      <c r="H3094" s="35">
        <v>-15</v>
      </c>
      <c r="I3094" s="38">
        <f t="shared" si="47"/>
        <v>8890</v>
      </c>
    </row>
    <row r="3095" spans="1:9" x14ac:dyDescent="0.2">
      <c r="A3095" s="33">
        <v>40813</v>
      </c>
      <c r="B3095" s="36">
        <v>8900</v>
      </c>
      <c r="C3095" s="7">
        <v>8910</v>
      </c>
      <c r="D3095" s="7">
        <v>9050</v>
      </c>
      <c r="E3095" s="7">
        <v>8900</v>
      </c>
      <c r="F3095" s="7">
        <v>9050</v>
      </c>
      <c r="G3095" s="34">
        <v>22</v>
      </c>
      <c r="H3095" s="35">
        <v>-150</v>
      </c>
      <c r="I3095" s="38">
        <f t="shared" si="47"/>
        <v>8905</v>
      </c>
    </row>
    <row r="3096" spans="1:9" x14ac:dyDescent="0.2">
      <c r="A3096" s="33">
        <v>40812</v>
      </c>
      <c r="B3096" s="36">
        <v>9050</v>
      </c>
      <c r="C3096" s="7">
        <v>9070</v>
      </c>
      <c r="D3096" s="7">
        <v>9100</v>
      </c>
      <c r="E3096" s="7">
        <v>8800</v>
      </c>
      <c r="F3096" s="7">
        <v>8800</v>
      </c>
      <c r="G3096" s="34">
        <v>33</v>
      </c>
      <c r="H3096" s="35">
        <v>280</v>
      </c>
      <c r="I3096" s="38">
        <f t="shared" si="47"/>
        <v>9060</v>
      </c>
    </row>
    <row r="3097" spans="1:9" x14ac:dyDescent="0.2">
      <c r="A3097" s="33">
        <v>40809</v>
      </c>
      <c r="B3097" s="36">
        <v>8770</v>
      </c>
      <c r="C3097" s="7">
        <v>8790</v>
      </c>
      <c r="D3097" s="7">
        <v>8910</v>
      </c>
      <c r="E3097" s="7">
        <v>8640</v>
      </c>
      <c r="F3097" s="7">
        <v>8760</v>
      </c>
      <c r="G3097" s="34">
        <v>49</v>
      </c>
      <c r="H3097" s="35">
        <v>10</v>
      </c>
      <c r="I3097" s="38">
        <f t="shared" si="47"/>
        <v>8780</v>
      </c>
    </row>
    <row r="3098" spans="1:9" x14ac:dyDescent="0.2">
      <c r="A3098" s="33">
        <v>40808</v>
      </c>
      <c r="B3098" s="36">
        <v>8760</v>
      </c>
      <c r="C3098" s="7">
        <v>8765</v>
      </c>
      <c r="D3098" s="7">
        <v>9050</v>
      </c>
      <c r="E3098" s="7">
        <v>8740</v>
      </c>
      <c r="F3098" s="7">
        <v>8900</v>
      </c>
      <c r="G3098" s="34">
        <v>45</v>
      </c>
      <c r="H3098" s="35">
        <v>-100</v>
      </c>
      <c r="I3098" s="38">
        <f t="shared" si="47"/>
        <v>8762.5</v>
      </c>
    </row>
    <row r="3099" spans="1:9" x14ac:dyDescent="0.2">
      <c r="A3099" s="33">
        <v>40807</v>
      </c>
      <c r="B3099" s="36">
        <v>8860</v>
      </c>
      <c r="C3099" s="7">
        <v>8880</v>
      </c>
      <c r="D3099" s="7">
        <v>8950</v>
      </c>
      <c r="E3099" s="7">
        <v>8850</v>
      </c>
      <c r="F3099" s="7">
        <v>8850</v>
      </c>
      <c r="G3099" s="34">
        <v>14</v>
      </c>
      <c r="H3099" s="35">
        <v>30</v>
      </c>
      <c r="I3099" s="38">
        <f t="shared" si="47"/>
        <v>8870</v>
      </c>
    </row>
    <row r="3100" spans="1:9" x14ac:dyDescent="0.2">
      <c r="A3100" s="33">
        <v>40806</v>
      </c>
      <c r="B3100" s="36">
        <v>8830</v>
      </c>
      <c r="C3100" s="7">
        <v>8850</v>
      </c>
      <c r="D3100" s="7">
        <v>9040</v>
      </c>
      <c r="E3100" s="7">
        <v>8830</v>
      </c>
      <c r="F3100" s="7">
        <v>8850</v>
      </c>
      <c r="G3100" s="34">
        <v>41</v>
      </c>
      <c r="H3100" s="35">
        <v>-10</v>
      </c>
      <c r="I3100" s="38">
        <f t="shared" si="47"/>
        <v>8840</v>
      </c>
    </row>
    <row r="3101" spans="1:9" x14ac:dyDescent="0.2">
      <c r="A3101" s="33">
        <v>40805</v>
      </c>
      <c r="B3101" s="36">
        <v>8840</v>
      </c>
      <c r="C3101" s="7">
        <v>8860</v>
      </c>
      <c r="D3101" s="7">
        <v>8870</v>
      </c>
      <c r="E3101" s="7">
        <v>8780</v>
      </c>
      <c r="F3101" s="7">
        <v>8800</v>
      </c>
      <c r="G3101" s="34">
        <v>13</v>
      </c>
      <c r="H3101" s="35">
        <v>85</v>
      </c>
      <c r="I3101" s="38">
        <f t="shared" si="47"/>
        <v>8850</v>
      </c>
    </row>
    <row r="3102" spans="1:9" x14ac:dyDescent="0.2">
      <c r="A3102" s="33">
        <v>40802</v>
      </c>
      <c r="B3102" s="36">
        <v>8755</v>
      </c>
      <c r="C3102" s="7">
        <v>8775</v>
      </c>
      <c r="D3102" s="7">
        <v>8790</v>
      </c>
      <c r="E3102" s="7">
        <v>8755</v>
      </c>
      <c r="F3102" s="7">
        <v>8760</v>
      </c>
      <c r="G3102" s="34">
        <v>12</v>
      </c>
      <c r="H3102" s="35">
        <v>-5</v>
      </c>
      <c r="I3102" s="38">
        <f t="shared" si="47"/>
        <v>8765</v>
      </c>
    </row>
    <row r="3103" spans="1:9" x14ac:dyDescent="0.2">
      <c r="A3103" s="33">
        <v>40801</v>
      </c>
      <c r="B3103" s="36">
        <v>8760</v>
      </c>
      <c r="C3103" s="7">
        <v>8780</v>
      </c>
      <c r="D3103" s="7">
        <v>8790</v>
      </c>
      <c r="E3103" s="7">
        <v>8730</v>
      </c>
      <c r="F3103" s="7">
        <v>8730</v>
      </c>
      <c r="G3103" s="34">
        <v>16</v>
      </c>
      <c r="H3103" s="35">
        <v>45</v>
      </c>
      <c r="I3103" s="38">
        <f t="shared" si="47"/>
        <v>8770</v>
      </c>
    </row>
    <row r="3104" spans="1:9" x14ac:dyDescent="0.2">
      <c r="A3104" s="33">
        <v>40800</v>
      </c>
      <c r="B3104" s="36">
        <v>8715</v>
      </c>
      <c r="C3104" s="7">
        <v>8725</v>
      </c>
      <c r="D3104" s="7">
        <v>8760</v>
      </c>
      <c r="E3104" s="7">
        <v>8640</v>
      </c>
      <c r="F3104" s="7">
        <v>8640</v>
      </c>
      <c r="G3104" s="34">
        <v>32</v>
      </c>
      <c r="H3104" s="35">
        <v>85</v>
      </c>
      <c r="I3104" s="38">
        <f t="shared" ref="I3104:I3167" si="48">+(B3104+C3104)*0.5</f>
        <v>8720</v>
      </c>
    </row>
    <row r="3105" spans="1:9" x14ac:dyDescent="0.2">
      <c r="A3105" s="33">
        <v>40799</v>
      </c>
      <c r="B3105" s="36">
        <v>8630</v>
      </c>
      <c r="C3105" s="7">
        <v>8640</v>
      </c>
      <c r="D3105" s="7">
        <v>8645</v>
      </c>
      <c r="E3105" s="7">
        <v>8610</v>
      </c>
      <c r="F3105" s="7">
        <v>8615</v>
      </c>
      <c r="G3105" s="34">
        <v>21</v>
      </c>
      <c r="H3105" s="35">
        <v>35</v>
      </c>
      <c r="I3105" s="38">
        <f t="shared" si="48"/>
        <v>8635</v>
      </c>
    </row>
    <row r="3106" spans="1:9" x14ac:dyDescent="0.2">
      <c r="A3106" s="33">
        <v>40798</v>
      </c>
      <c r="B3106" s="36">
        <v>8595</v>
      </c>
      <c r="C3106" s="7">
        <v>8605</v>
      </c>
      <c r="D3106" s="7">
        <v>8615</v>
      </c>
      <c r="E3106" s="7">
        <v>8580</v>
      </c>
      <c r="F3106" s="7">
        <v>8580</v>
      </c>
      <c r="G3106" s="34">
        <v>14</v>
      </c>
      <c r="H3106" s="35">
        <v>30</v>
      </c>
      <c r="I3106" s="38">
        <f t="shared" si="48"/>
        <v>8600</v>
      </c>
    </row>
    <row r="3107" spans="1:9" x14ac:dyDescent="0.2">
      <c r="A3107" s="33">
        <v>40795</v>
      </c>
      <c r="B3107" s="36">
        <v>8565</v>
      </c>
      <c r="C3107" s="7">
        <v>8575</v>
      </c>
      <c r="D3107" s="7">
        <v>8573</v>
      </c>
      <c r="E3107" s="7">
        <v>8560</v>
      </c>
      <c r="F3107" s="7">
        <v>8570</v>
      </c>
      <c r="G3107" s="34"/>
      <c r="H3107" s="35">
        <v>2</v>
      </c>
      <c r="I3107" s="38">
        <f t="shared" si="48"/>
        <v>8570</v>
      </c>
    </row>
    <row r="3108" spans="1:9" x14ac:dyDescent="0.2">
      <c r="A3108" s="33">
        <v>40794</v>
      </c>
      <c r="B3108" s="36">
        <v>8563</v>
      </c>
      <c r="C3108" s="7">
        <v>8573</v>
      </c>
      <c r="D3108" s="7">
        <v>8570</v>
      </c>
      <c r="E3108" s="7">
        <v>8552</v>
      </c>
      <c r="F3108" s="7">
        <v>8552</v>
      </c>
      <c r="G3108" s="34"/>
      <c r="H3108" s="35">
        <v>13</v>
      </c>
      <c r="I3108" s="38">
        <f t="shared" si="48"/>
        <v>8568</v>
      </c>
    </row>
    <row r="3109" spans="1:9" x14ac:dyDescent="0.2">
      <c r="A3109" s="33">
        <v>40793</v>
      </c>
      <c r="B3109" s="36">
        <v>8550</v>
      </c>
      <c r="C3109" s="7">
        <v>8560</v>
      </c>
      <c r="D3109" s="7">
        <v>8575</v>
      </c>
      <c r="E3109" s="7">
        <v>8550</v>
      </c>
      <c r="F3109" s="7">
        <v>8560</v>
      </c>
      <c r="G3109" s="34"/>
      <c r="H3109" s="35">
        <v>2</v>
      </c>
      <c r="I3109" s="38">
        <f t="shared" si="48"/>
        <v>8555</v>
      </c>
    </row>
    <row r="3110" spans="1:9" x14ac:dyDescent="0.2">
      <c r="A3110" s="33">
        <v>40792</v>
      </c>
      <c r="B3110" s="36">
        <v>8548</v>
      </c>
      <c r="C3110" s="7">
        <v>8558</v>
      </c>
      <c r="D3110" s="7">
        <v>8572</v>
      </c>
      <c r="E3110" s="7">
        <v>8548</v>
      </c>
      <c r="F3110" s="7">
        <v>8555</v>
      </c>
      <c r="G3110" s="34"/>
      <c r="H3110" s="35">
        <v>13</v>
      </c>
      <c r="I3110" s="38">
        <f t="shared" si="48"/>
        <v>8553</v>
      </c>
    </row>
    <row r="3111" spans="1:9" x14ac:dyDescent="0.2">
      <c r="A3111" s="33">
        <v>40791</v>
      </c>
      <c r="B3111" s="36">
        <v>8535</v>
      </c>
      <c r="C3111" s="7">
        <v>8545</v>
      </c>
      <c r="D3111" s="7">
        <v>8540</v>
      </c>
      <c r="E3111" s="7">
        <v>8530</v>
      </c>
      <c r="F3111" s="7">
        <v>8530</v>
      </c>
      <c r="G3111" s="34"/>
      <c r="H3111" s="35">
        <v>7</v>
      </c>
      <c r="I3111" s="38">
        <f t="shared" si="48"/>
        <v>8540</v>
      </c>
    </row>
    <row r="3112" spans="1:9" x14ac:dyDescent="0.2">
      <c r="A3112" s="33">
        <v>40788</v>
      </c>
      <c r="B3112" s="36">
        <v>8528</v>
      </c>
      <c r="C3112" s="7">
        <v>8538</v>
      </c>
      <c r="D3112" s="7"/>
      <c r="E3112" s="7"/>
      <c r="F3112" s="7"/>
      <c r="G3112" s="34"/>
      <c r="H3112" s="35">
        <v>0</v>
      </c>
      <c r="I3112" s="38">
        <f t="shared" si="48"/>
        <v>8533</v>
      </c>
    </row>
    <row r="3113" spans="1:9" x14ac:dyDescent="0.2">
      <c r="A3113" s="33">
        <v>40787</v>
      </c>
      <c r="B3113" s="36">
        <v>8528</v>
      </c>
      <c r="C3113" s="7">
        <v>8538</v>
      </c>
      <c r="D3113" s="7"/>
      <c r="E3113" s="7"/>
      <c r="F3113" s="7"/>
      <c r="G3113" s="34"/>
      <c r="H3113" s="35">
        <v>0</v>
      </c>
      <c r="I3113" s="38">
        <f t="shared" si="48"/>
        <v>8533</v>
      </c>
    </row>
    <row r="3114" spans="1:9" x14ac:dyDescent="0.2">
      <c r="A3114" s="33">
        <v>40786</v>
      </c>
      <c r="B3114" s="36">
        <v>8528</v>
      </c>
      <c r="C3114" s="7">
        <v>8538</v>
      </c>
      <c r="D3114" s="7"/>
      <c r="E3114" s="7"/>
      <c r="F3114" s="7"/>
      <c r="G3114" s="34"/>
      <c r="H3114" s="35">
        <v>0</v>
      </c>
      <c r="I3114" s="38">
        <f t="shared" si="48"/>
        <v>8533</v>
      </c>
    </row>
    <row r="3115" spans="1:9" x14ac:dyDescent="0.2">
      <c r="A3115" s="33">
        <v>40785</v>
      </c>
      <c r="B3115" s="36">
        <v>8528</v>
      </c>
      <c r="C3115" s="7">
        <v>8538</v>
      </c>
      <c r="D3115" s="7"/>
      <c r="E3115" s="7"/>
      <c r="F3115" s="7"/>
      <c r="G3115" s="34"/>
      <c r="H3115" s="35">
        <v>0</v>
      </c>
      <c r="I3115" s="38">
        <f t="shared" si="48"/>
        <v>8533</v>
      </c>
    </row>
    <row r="3116" spans="1:9" x14ac:dyDescent="0.2">
      <c r="A3116" s="33">
        <v>40784</v>
      </c>
      <c r="B3116" s="36">
        <v>8528</v>
      </c>
      <c r="C3116" s="7">
        <v>8538</v>
      </c>
      <c r="D3116" s="7"/>
      <c r="E3116" s="7"/>
      <c r="F3116" s="7"/>
      <c r="G3116" s="34"/>
      <c r="H3116" s="35">
        <v>0</v>
      </c>
      <c r="I3116" s="38">
        <f t="shared" si="48"/>
        <v>8533</v>
      </c>
    </row>
    <row r="3117" spans="1:9" x14ac:dyDescent="0.2">
      <c r="A3117" s="33">
        <v>40781</v>
      </c>
      <c r="B3117" s="36">
        <v>8528</v>
      </c>
      <c r="C3117" s="7">
        <v>8538</v>
      </c>
      <c r="D3117" s="7">
        <v>8585</v>
      </c>
      <c r="E3117" s="7">
        <v>8528</v>
      </c>
      <c r="F3117" s="7">
        <v>8585</v>
      </c>
      <c r="G3117" s="34"/>
      <c r="H3117" s="35">
        <v>-47</v>
      </c>
      <c r="I3117" s="38">
        <f t="shared" si="48"/>
        <v>8533</v>
      </c>
    </row>
    <row r="3118" spans="1:9" x14ac:dyDescent="0.2">
      <c r="A3118" s="33">
        <v>40780</v>
      </c>
      <c r="B3118" s="36">
        <v>8575</v>
      </c>
      <c r="C3118" s="7">
        <v>8585</v>
      </c>
      <c r="D3118" s="7">
        <v>8580</v>
      </c>
      <c r="E3118" s="7">
        <v>8550</v>
      </c>
      <c r="F3118" s="7">
        <v>8550</v>
      </c>
      <c r="G3118" s="34"/>
      <c r="H3118" s="35">
        <v>32</v>
      </c>
      <c r="I3118" s="38">
        <f t="shared" si="48"/>
        <v>8580</v>
      </c>
    </row>
    <row r="3119" spans="1:9" x14ac:dyDescent="0.2">
      <c r="A3119" s="33">
        <v>40779</v>
      </c>
      <c r="B3119" s="36">
        <v>8543</v>
      </c>
      <c r="C3119" s="7">
        <v>8553</v>
      </c>
      <c r="D3119" s="7">
        <v>8548</v>
      </c>
      <c r="E3119" s="7">
        <v>8535</v>
      </c>
      <c r="F3119" s="7">
        <v>8535</v>
      </c>
      <c r="G3119" s="34"/>
      <c r="H3119" s="35">
        <v>8</v>
      </c>
      <c r="I3119" s="38">
        <f t="shared" si="48"/>
        <v>8548</v>
      </c>
    </row>
    <row r="3120" spans="1:9" x14ac:dyDescent="0.2">
      <c r="A3120" s="33">
        <v>40778</v>
      </c>
      <c r="B3120" s="36">
        <v>8535</v>
      </c>
      <c r="C3120" s="7">
        <v>8540</v>
      </c>
      <c r="D3120" s="7">
        <v>8555</v>
      </c>
      <c r="E3120" s="7">
        <v>8535</v>
      </c>
      <c r="F3120" s="7">
        <v>8540</v>
      </c>
      <c r="G3120" s="34"/>
      <c r="H3120" s="35">
        <v>-5</v>
      </c>
      <c r="I3120" s="38">
        <f t="shared" si="48"/>
        <v>8537.5</v>
      </c>
    </row>
    <row r="3121" spans="1:9" x14ac:dyDescent="0.2">
      <c r="A3121" s="33">
        <v>40777</v>
      </c>
      <c r="B3121" s="36">
        <v>8540</v>
      </c>
      <c r="C3121" s="7">
        <v>8545</v>
      </c>
      <c r="D3121" s="7">
        <v>8552</v>
      </c>
      <c r="E3121" s="7">
        <v>8540</v>
      </c>
      <c r="F3121" s="7">
        <v>8547</v>
      </c>
      <c r="G3121" s="34"/>
      <c r="H3121" s="35">
        <v>-5</v>
      </c>
      <c r="I3121" s="38">
        <f t="shared" si="48"/>
        <v>8542.5</v>
      </c>
    </row>
    <row r="3122" spans="1:9" x14ac:dyDescent="0.2">
      <c r="A3122" s="33">
        <v>40774</v>
      </c>
      <c r="B3122" s="36">
        <v>8545</v>
      </c>
      <c r="C3122" s="7">
        <v>8555</v>
      </c>
      <c r="D3122" s="7">
        <v>8559</v>
      </c>
      <c r="E3122" s="7">
        <v>8545</v>
      </c>
      <c r="F3122" s="7">
        <v>8550</v>
      </c>
      <c r="G3122" s="34"/>
      <c r="H3122" s="35">
        <v>15</v>
      </c>
      <c r="I3122" s="38">
        <f t="shared" si="48"/>
        <v>8550</v>
      </c>
    </row>
    <row r="3123" spans="1:9" x14ac:dyDescent="0.2">
      <c r="A3123" s="33">
        <v>40773</v>
      </c>
      <c r="B3123" s="36">
        <v>8530</v>
      </c>
      <c r="C3123" s="7">
        <v>8540</v>
      </c>
      <c r="D3123" s="7">
        <v>8542</v>
      </c>
      <c r="E3123" s="7">
        <v>8525</v>
      </c>
      <c r="F3123" s="7">
        <v>8527</v>
      </c>
      <c r="G3123" s="34"/>
      <c r="H3123" s="35">
        <v>5</v>
      </c>
      <c r="I3123" s="38">
        <f t="shared" si="48"/>
        <v>8535</v>
      </c>
    </row>
    <row r="3124" spans="1:9" x14ac:dyDescent="0.2">
      <c r="A3124" s="33">
        <v>40772</v>
      </c>
      <c r="B3124" s="36">
        <v>8525</v>
      </c>
      <c r="C3124" s="7">
        <v>8535</v>
      </c>
      <c r="D3124" s="7"/>
      <c r="E3124" s="7"/>
      <c r="F3124" s="7"/>
      <c r="G3124" s="34"/>
      <c r="H3124" s="35">
        <v>0</v>
      </c>
      <c r="I3124" s="38">
        <f t="shared" si="48"/>
        <v>8530</v>
      </c>
    </row>
    <row r="3125" spans="1:9" x14ac:dyDescent="0.2">
      <c r="A3125" s="33">
        <v>40771</v>
      </c>
      <c r="B3125" s="36">
        <v>8525</v>
      </c>
      <c r="C3125" s="7">
        <v>8535</v>
      </c>
      <c r="D3125" s="7">
        <v>8528</v>
      </c>
      <c r="E3125" s="7">
        <v>8520</v>
      </c>
      <c r="F3125" s="7">
        <v>8520</v>
      </c>
      <c r="G3125" s="34"/>
      <c r="H3125" s="35">
        <v>-6</v>
      </c>
      <c r="I3125" s="38">
        <f t="shared" si="48"/>
        <v>8530</v>
      </c>
    </row>
    <row r="3126" spans="1:9" x14ac:dyDescent="0.2">
      <c r="A3126" s="33">
        <v>40770</v>
      </c>
      <c r="B3126" s="36">
        <v>8531</v>
      </c>
      <c r="C3126" s="7">
        <v>8541</v>
      </c>
      <c r="D3126" s="7">
        <v>8541</v>
      </c>
      <c r="E3126" s="7">
        <v>8530</v>
      </c>
      <c r="F3126" s="7">
        <v>8530</v>
      </c>
      <c r="G3126" s="34"/>
      <c r="H3126" s="35">
        <v>-7</v>
      </c>
      <c r="I3126" s="38">
        <f t="shared" si="48"/>
        <v>8536</v>
      </c>
    </row>
    <row r="3127" spans="1:9" x14ac:dyDescent="0.2">
      <c r="A3127" s="33">
        <v>40767</v>
      </c>
      <c r="B3127" s="36">
        <v>8538</v>
      </c>
      <c r="C3127" s="7">
        <v>8548</v>
      </c>
      <c r="D3127" s="7">
        <v>8555</v>
      </c>
      <c r="E3127" s="7">
        <v>8532</v>
      </c>
      <c r="F3127" s="7">
        <v>8532</v>
      </c>
      <c r="G3127" s="34"/>
      <c r="H3127" s="35">
        <v>8</v>
      </c>
      <c r="I3127" s="38">
        <f t="shared" si="48"/>
        <v>8543</v>
      </c>
    </row>
    <row r="3128" spans="1:9" x14ac:dyDescent="0.2">
      <c r="A3128" s="33">
        <v>40766</v>
      </c>
      <c r="B3128" s="36">
        <v>8530</v>
      </c>
      <c r="C3128" s="7">
        <v>8540</v>
      </c>
      <c r="D3128" s="7">
        <v>8555</v>
      </c>
      <c r="E3128" s="7">
        <v>8530</v>
      </c>
      <c r="F3128" s="7">
        <v>8530</v>
      </c>
      <c r="G3128" s="34"/>
      <c r="H3128" s="35">
        <v>10</v>
      </c>
      <c r="I3128" s="38">
        <f t="shared" si="48"/>
        <v>8535</v>
      </c>
    </row>
    <row r="3129" spans="1:9" x14ac:dyDescent="0.2">
      <c r="A3129" s="33">
        <v>40765</v>
      </c>
      <c r="B3129" s="36">
        <v>8520</v>
      </c>
      <c r="C3129" s="7">
        <v>8530</v>
      </c>
      <c r="D3129" s="7">
        <v>8535</v>
      </c>
      <c r="E3129" s="7">
        <v>8510</v>
      </c>
      <c r="F3129" s="7">
        <v>8520</v>
      </c>
      <c r="G3129" s="34"/>
      <c r="H3129" s="35">
        <v>-20</v>
      </c>
      <c r="I3129" s="38">
        <f t="shared" si="48"/>
        <v>8525</v>
      </c>
    </row>
    <row r="3130" spans="1:9" x14ac:dyDescent="0.2">
      <c r="A3130" s="33">
        <v>40764</v>
      </c>
      <c r="B3130" s="36">
        <v>8540</v>
      </c>
      <c r="C3130" s="7">
        <v>8548</v>
      </c>
      <c r="D3130" s="7">
        <v>8555</v>
      </c>
      <c r="E3130" s="7">
        <v>8530</v>
      </c>
      <c r="F3130" s="7">
        <v>8540</v>
      </c>
      <c r="G3130" s="34"/>
      <c r="H3130" s="35">
        <v>40</v>
      </c>
      <c r="I3130" s="38">
        <f t="shared" si="48"/>
        <v>8544</v>
      </c>
    </row>
    <row r="3131" spans="1:9" x14ac:dyDescent="0.2">
      <c r="A3131" s="33">
        <v>40763</v>
      </c>
      <c r="B3131" s="36">
        <v>8500</v>
      </c>
      <c r="C3131" s="7">
        <v>8510</v>
      </c>
      <c r="D3131" s="7">
        <v>8551</v>
      </c>
      <c r="E3131" s="7">
        <v>8500</v>
      </c>
      <c r="F3131" s="7">
        <v>8510</v>
      </c>
      <c r="G3131" s="34"/>
      <c r="H3131" s="35">
        <v>-10</v>
      </c>
      <c r="I3131" s="38">
        <f t="shared" si="48"/>
        <v>8505</v>
      </c>
    </row>
    <row r="3132" spans="1:9" x14ac:dyDescent="0.2">
      <c r="A3132" s="33">
        <v>40760</v>
      </c>
      <c r="B3132" s="36">
        <v>8510</v>
      </c>
      <c r="C3132" s="7">
        <v>8520</v>
      </c>
      <c r="D3132" s="7">
        <v>8565</v>
      </c>
      <c r="E3132" s="7">
        <v>8500</v>
      </c>
      <c r="F3132" s="7">
        <v>8500</v>
      </c>
      <c r="G3132" s="34"/>
      <c r="H3132" s="35">
        <v>15</v>
      </c>
      <c r="I3132" s="38">
        <f t="shared" si="48"/>
        <v>8515</v>
      </c>
    </row>
    <row r="3133" spans="1:9" x14ac:dyDescent="0.2">
      <c r="A3133" s="33">
        <v>40759</v>
      </c>
      <c r="B3133" s="36">
        <v>8495</v>
      </c>
      <c r="C3133" s="7">
        <v>8503</v>
      </c>
      <c r="D3133" s="7">
        <v>8495</v>
      </c>
      <c r="E3133" s="7">
        <v>8466</v>
      </c>
      <c r="F3133" s="7">
        <v>8470</v>
      </c>
      <c r="G3133" s="34"/>
      <c r="H3133" s="35">
        <v>20</v>
      </c>
      <c r="I3133" s="38">
        <f t="shared" si="48"/>
        <v>8499</v>
      </c>
    </row>
    <row r="3134" spans="1:9" x14ac:dyDescent="0.2">
      <c r="A3134" s="33">
        <v>40758</v>
      </c>
      <c r="B3134" s="36">
        <v>8475</v>
      </c>
      <c r="C3134" s="7">
        <v>8485</v>
      </c>
      <c r="D3134" s="7">
        <v>8490</v>
      </c>
      <c r="E3134" s="7">
        <v>8475</v>
      </c>
      <c r="F3134" s="7">
        <v>8483</v>
      </c>
      <c r="G3134" s="34"/>
      <c r="H3134" s="35">
        <v>10</v>
      </c>
      <c r="I3134" s="38">
        <f t="shared" si="48"/>
        <v>8480</v>
      </c>
    </row>
    <row r="3135" spans="1:9" x14ac:dyDescent="0.2">
      <c r="A3135" s="33">
        <v>40757</v>
      </c>
      <c r="B3135" s="36">
        <v>8465</v>
      </c>
      <c r="C3135" s="7">
        <v>8470</v>
      </c>
      <c r="D3135" s="7">
        <v>8470</v>
      </c>
      <c r="E3135" s="7">
        <v>8455</v>
      </c>
      <c r="F3135" s="7">
        <v>8460</v>
      </c>
      <c r="G3135" s="34"/>
      <c r="H3135" s="35">
        <v>10</v>
      </c>
      <c r="I3135" s="38">
        <f t="shared" si="48"/>
        <v>8467.5</v>
      </c>
    </row>
    <row r="3136" spans="1:9" x14ac:dyDescent="0.2">
      <c r="A3136" s="33">
        <v>40756</v>
      </c>
      <c r="B3136" s="36">
        <v>8455</v>
      </c>
      <c r="C3136" s="7">
        <v>8465</v>
      </c>
      <c r="D3136" s="7">
        <v>8488</v>
      </c>
      <c r="E3136" s="7">
        <v>8455</v>
      </c>
      <c r="F3136" s="7">
        <v>8488</v>
      </c>
      <c r="G3136" s="34"/>
      <c r="H3136" s="35">
        <v>-40</v>
      </c>
      <c r="I3136" s="38">
        <f t="shared" si="48"/>
        <v>8460</v>
      </c>
    </row>
    <row r="3137" spans="1:9" x14ac:dyDescent="0.2">
      <c r="A3137" s="33">
        <v>40753</v>
      </c>
      <c r="B3137" s="36">
        <v>8495</v>
      </c>
      <c r="C3137" s="7">
        <v>8505</v>
      </c>
      <c r="D3137" s="7">
        <v>8510</v>
      </c>
      <c r="E3137" s="7">
        <v>8491</v>
      </c>
      <c r="F3137" s="7">
        <v>8500</v>
      </c>
      <c r="G3137" s="34"/>
      <c r="H3137" s="35">
        <v>-3</v>
      </c>
      <c r="I3137" s="38">
        <f t="shared" si="48"/>
        <v>8500</v>
      </c>
    </row>
    <row r="3138" spans="1:9" x14ac:dyDescent="0.2">
      <c r="A3138" s="33">
        <v>40752</v>
      </c>
      <c r="B3138" s="36">
        <v>8498</v>
      </c>
      <c r="C3138" s="7">
        <v>8500</v>
      </c>
      <c r="D3138" s="7">
        <v>8509</v>
      </c>
      <c r="E3138" s="7">
        <v>8490</v>
      </c>
      <c r="F3138" s="7">
        <v>8490</v>
      </c>
      <c r="G3138" s="34"/>
      <c r="H3138" s="35">
        <v>13</v>
      </c>
      <c r="I3138" s="38">
        <f t="shared" si="48"/>
        <v>8499</v>
      </c>
    </row>
    <row r="3139" spans="1:9" x14ac:dyDescent="0.2">
      <c r="A3139" s="33">
        <v>40751</v>
      </c>
      <c r="B3139" s="36">
        <v>8485</v>
      </c>
      <c r="C3139" s="7">
        <v>8490</v>
      </c>
      <c r="D3139" s="7">
        <v>8491</v>
      </c>
      <c r="E3139" s="7">
        <v>8480</v>
      </c>
      <c r="F3139" s="7">
        <v>8490</v>
      </c>
      <c r="G3139" s="34"/>
      <c r="H3139" s="35">
        <v>-15</v>
      </c>
      <c r="I3139" s="38">
        <f t="shared" si="48"/>
        <v>8487.5</v>
      </c>
    </row>
    <row r="3140" spans="1:9" x14ac:dyDescent="0.2">
      <c r="A3140" s="33">
        <v>40750</v>
      </c>
      <c r="B3140" s="36">
        <v>8500</v>
      </c>
      <c r="C3140" s="7">
        <v>8510</v>
      </c>
      <c r="D3140" s="7">
        <v>8524</v>
      </c>
      <c r="E3140" s="7">
        <v>8495</v>
      </c>
      <c r="F3140" s="7">
        <v>8524</v>
      </c>
      <c r="G3140" s="34"/>
      <c r="H3140" s="35">
        <v>-18</v>
      </c>
      <c r="I3140" s="38">
        <f t="shared" si="48"/>
        <v>8505</v>
      </c>
    </row>
    <row r="3141" spans="1:9" x14ac:dyDescent="0.2">
      <c r="A3141" s="33">
        <v>40749</v>
      </c>
      <c r="B3141" s="36">
        <v>8518</v>
      </c>
      <c r="C3141" s="7">
        <v>8528</v>
      </c>
      <c r="D3141" s="7">
        <v>8531</v>
      </c>
      <c r="E3141" s="7">
        <v>8518</v>
      </c>
      <c r="F3141" s="7">
        <v>8525</v>
      </c>
      <c r="G3141" s="34"/>
      <c r="H3141" s="35">
        <v>-4</v>
      </c>
      <c r="I3141" s="38">
        <f t="shared" si="48"/>
        <v>8523</v>
      </c>
    </row>
    <row r="3142" spans="1:9" x14ac:dyDescent="0.2">
      <c r="A3142" s="33">
        <v>40746</v>
      </c>
      <c r="B3142" s="36">
        <v>8522</v>
      </c>
      <c r="C3142" s="7">
        <v>8532</v>
      </c>
      <c r="D3142" s="7">
        <v>8528</v>
      </c>
      <c r="E3142" s="7">
        <v>8520</v>
      </c>
      <c r="F3142" s="7">
        <v>8520</v>
      </c>
      <c r="G3142" s="34"/>
      <c r="H3142" s="35">
        <v>-7</v>
      </c>
      <c r="I3142" s="38">
        <f t="shared" si="48"/>
        <v>8527</v>
      </c>
    </row>
    <row r="3143" spans="1:9" x14ac:dyDescent="0.2">
      <c r="A3143" s="33">
        <v>40745</v>
      </c>
      <c r="B3143" s="36">
        <v>8529</v>
      </c>
      <c r="C3143" s="7">
        <v>8539</v>
      </c>
      <c r="D3143" s="7">
        <v>8539</v>
      </c>
      <c r="E3143" s="7">
        <v>8529</v>
      </c>
      <c r="F3143" s="7">
        <v>8535</v>
      </c>
      <c r="G3143" s="34"/>
      <c r="H3143" s="35">
        <v>-1</v>
      </c>
      <c r="I3143" s="38">
        <f t="shared" si="48"/>
        <v>8534</v>
      </c>
    </row>
    <row r="3144" spans="1:9" x14ac:dyDescent="0.2">
      <c r="A3144" s="33">
        <v>40744</v>
      </c>
      <c r="B3144" s="36">
        <v>8530</v>
      </c>
      <c r="C3144" s="7">
        <v>8540</v>
      </c>
      <c r="D3144" s="7">
        <v>8545</v>
      </c>
      <c r="E3144" s="7">
        <v>8530</v>
      </c>
      <c r="F3144" s="7">
        <v>8545</v>
      </c>
      <c r="G3144" s="34"/>
      <c r="H3144" s="35">
        <v>-15</v>
      </c>
      <c r="I3144" s="38">
        <f t="shared" si="48"/>
        <v>8535</v>
      </c>
    </row>
    <row r="3145" spans="1:9" x14ac:dyDescent="0.2">
      <c r="A3145" s="33">
        <v>40743</v>
      </c>
      <c r="B3145" s="36">
        <v>8545</v>
      </c>
      <c r="C3145" s="7">
        <v>8550</v>
      </c>
      <c r="D3145" s="7">
        <v>8560</v>
      </c>
      <c r="E3145" s="7">
        <v>8540</v>
      </c>
      <c r="F3145" s="7">
        <v>8540</v>
      </c>
      <c r="G3145" s="34"/>
      <c r="H3145" s="35">
        <v>-8</v>
      </c>
      <c r="I3145" s="38">
        <f t="shared" si="48"/>
        <v>8547.5</v>
      </c>
    </row>
    <row r="3146" spans="1:9" x14ac:dyDescent="0.2">
      <c r="A3146" s="33">
        <v>40742</v>
      </c>
      <c r="B3146" s="36">
        <v>8553</v>
      </c>
      <c r="C3146" s="7">
        <v>8563</v>
      </c>
      <c r="D3146" s="7">
        <v>8563</v>
      </c>
      <c r="E3146" s="7">
        <v>8545</v>
      </c>
      <c r="F3146" s="7">
        <v>8545</v>
      </c>
      <c r="G3146" s="34"/>
      <c r="H3146" s="35">
        <v>24</v>
      </c>
      <c r="I3146" s="38">
        <f t="shared" si="48"/>
        <v>8558</v>
      </c>
    </row>
    <row r="3147" spans="1:9" x14ac:dyDescent="0.2">
      <c r="A3147" s="33">
        <v>40739</v>
      </c>
      <c r="B3147" s="36">
        <v>8529</v>
      </c>
      <c r="C3147" s="7">
        <v>8539</v>
      </c>
      <c r="D3147" s="7">
        <v>8548</v>
      </c>
      <c r="E3147" s="7">
        <v>8525</v>
      </c>
      <c r="F3147" s="7">
        <v>8525</v>
      </c>
      <c r="G3147" s="34"/>
      <c r="H3147" s="35">
        <v>-1</v>
      </c>
      <c r="I3147" s="38">
        <f t="shared" si="48"/>
        <v>8534</v>
      </c>
    </row>
    <row r="3148" spans="1:9" x14ac:dyDescent="0.2">
      <c r="A3148" s="33">
        <v>40738</v>
      </c>
      <c r="B3148" s="36">
        <v>8530</v>
      </c>
      <c r="C3148" s="7">
        <v>8534</v>
      </c>
      <c r="D3148" s="7">
        <v>8540</v>
      </c>
      <c r="E3148" s="7">
        <v>8525</v>
      </c>
      <c r="F3148" s="7">
        <v>8540</v>
      </c>
      <c r="G3148" s="34"/>
      <c r="H3148" s="35">
        <v>-15</v>
      </c>
      <c r="I3148" s="38">
        <f t="shared" si="48"/>
        <v>8532</v>
      </c>
    </row>
    <row r="3149" spans="1:9" x14ac:dyDescent="0.2">
      <c r="A3149" s="33">
        <v>40737</v>
      </c>
      <c r="B3149" s="36">
        <v>8545</v>
      </c>
      <c r="C3149" s="7">
        <v>8550</v>
      </c>
      <c r="D3149" s="7">
        <v>8565</v>
      </c>
      <c r="E3149" s="7">
        <v>8545</v>
      </c>
      <c r="F3149" s="7">
        <v>8555</v>
      </c>
      <c r="G3149" s="34"/>
      <c r="H3149" s="35">
        <v>-17</v>
      </c>
      <c r="I3149" s="38">
        <f t="shared" si="48"/>
        <v>8547.5</v>
      </c>
    </row>
    <row r="3150" spans="1:9" x14ac:dyDescent="0.2">
      <c r="A3150" s="33">
        <v>40736</v>
      </c>
      <c r="B3150" s="36">
        <v>8562</v>
      </c>
      <c r="C3150" s="7">
        <v>8572</v>
      </c>
      <c r="D3150" s="7">
        <v>8575</v>
      </c>
      <c r="E3150" s="7">
        <v>8533</v>
      </c>
      <c r="F3150" s="7">
        <v>8535</v>
      </c>
      <c r="G3150" s="34"/>
      <c r="H3150" s="35">
        <v>38</v>
      </c>
      <c r="I3150" s="38">
        <f t="shared" si="48"/>
        <v>8567</v>
      </c>
    </row>
    <row r="3151" spans="1:9" x14ac:dyDescent="0.2">
      <c r="A3151" s="33">
        <v>40735</v>
      </c>
      <c r="B3151" s="36">
        <v>8524</v>
      </c>
      <c r="C3151" s="7">
        <v>8528</v>
      </c>
      <c r="D3151" s="7">
        <v>8528</v>
      </c>
      <c r="E3151" s="7">
        <v>8515</v>
      </c>
      <c r="F3151" s="7">
        <v>8524</v>
      </c>
      <c r="G3151" s="34"/>
      <c r="H3151" s="35">
        <v>14</v>
      </c>
      <c r="I3151" s="38">
        <f t="shared" si="48"/>
        <v>8526</v>
      </c>
    </row>
    <row r="3152" spans="1:9" x14ac:dyDescent="0.2">
      <c r="A3152" s="33">
        <v>40732</v>
      </c>
      <c r="B3152" s="36">
        <v>8510</v>
      </c>
      <c r="C3152" s="7">
        <v>8515</v>
      </c>
      <c r="D3152" s="7">
        <v>8525</v>
      </c>
      <c r="E3152" s="7">
        <v>8510</v>
      </c>
      <c r="F3152" s="7">
        <v>8520</v>
      </c>
      <c r="G3152" s="34"/>
      <c r="H3152" s="35">
        <v>-22</v>
      </c>
      <c r="I3152" s="38">
        <f t="shared" si="48"/>
        <v>8512.5</v>
      </c>
    </row>
    <row r="3153" spans="1:9" x14ac:dyDescent="0.2">
      <c r="A3153" s="33">
        <v>40731</v>
      </c>
      <c r="B3153" s="36">
        <v>8532</v>
      </c>
      <c r="C3153" s="7">
        <v>8535</v>
      </c>
      <c r="D3153" s="7">
        <v>8540</v>
      </c>
      <c r="E3153" s="7">
        <v>8530</v>
      </c>
      <c r="F3153" s="7">
        <v>8535</v>
      </c>
      <c r="G3153" s="34"/>
      <c r="H3153" s="35">
        <v>-6</v>
      </c>
      <c r="I3153" s="38">
        <f t="shared" si="48"/>
        <v>8533.5</v>
      </c>
    </row>
    <row r="3154" spans="1:9" x14ac:dyDescent="0.2">
      <c r="A3154" s="33">
        <v>40730</v>
      </c>
      <c r="B3154" s="36">
        <v>8538</v>
      </c>
      <c r="C3154" s="7">
        <v>8542</v>
      </c>
      <c r="D3154" s="7">
        <v>8538</v>
      </c>
      <c r="E3154" s="7">
        <v>8525</v>
      </c>
      <c r="F3154" s="7">
        <v>8536</v>
      </c>
      <c r="G3154" s="34"/>
      <c r="H3154" s="35">
        <v>3</v>
      </c>
      <c r="I3154" s="38">
        <f t="shared" si="48"/>
        <v>8540</v>
      </c>
    </row>
    <row r="3155" spans="1:9" x14ac:dyDescent="0.2">
      <c r="A3155" s="33">
        <v>40729</v>
      </c>
      <c r="B3155" s="36">
        <v>8535</v>
      </c>
      <c r="C3155" s="7">
        <v>8540</v>
      </c>
      <c r="D3155" s="7">
        <v>8543</v>
      </c>
      <c r="E3155" s="7">
        <v>8525</v>
      </c>
      <c r="F3155" s="7">
        <v>8525</v>
      </c>
      <c r="G3155" s="34"/>
      <c r="H3155" s="35">
        <v>15</v>
      </c>
      <c r="I3155" s="38">
        <f t="shared" si="48"/>
        <v>8537.5</v>
      </c>
    </row>
    <row r="3156" spans="1:9" x14ac:dyDescent="0.2">
      <c r="A3156" s="33">
        <v>40728</v>
      </c>
      <c r="B3156" s="36">
        <v>8520</v>
      </c>
      <c r="C3156" s="7">
        <v>8525</v>
      </c>
      <c r="D3156" s="7">
        <v>8525</v>
      </c>
      <c r="E3156" s="7">
        <v>8510</v>
      </c>
      <c r="F3156" s="7">
        <v>8525</v>
      </c>
      <c r="G3156" s="34"/>
      <c r="H3156" s="35">
        <v>-23</v>
      </c>
      <c r="I3156" s="38">
        <f t="shared" si="48"/>
        <v>8522.5</v>
      </c>
    </row>
    <row r="3157" spans="1:9" x14ac:dyDescent="0.2">
      <c r="A3157" s="33">
        <v>40725</v>
      </c>
      <c r="B3157" s="36">
        <v>8543</v>
      </c>
      <c r="C3157" s="7">
        <v>8548</v>
      </c>
      <c r="D3157" s="7">
        <v>8573</v>
      </c>
      <c r="E3157" s="7">
        <v>8538</v>
      </c>
      <c r="F3157" s="7">
        <v>8573</v>
      </c>
      <c r="G3157" s="34"/>
      <c r="H3157" s="35">
        <v>-30</v>
      </c>
      <c r="I3157" s="38">
        <f t="shared" si="48"/>
        <v>8545.5</v>
      </c>
    </row>
    <row r="3158" spans="1:9" x14ac:dyDescent="0.2">
      <c r="A3158" s="33">
        <v>40724</v>
      </c>
      <c r="B3158" s="36">
        <v>8573</v>
      </c>
      <c r="C3158" s="7">
        <v>8580</v>
      </c>
      <c r="D3158" s="7">
        <v>8600</v>
      </c>
      <c r="E3158" s="7">
        <v>8573</v>
      </c>
      <c r="F3158" s="7">
        <v>8595</v>
      </c>
      <c r="G3158" s="34"/>
      <c r="H3158" s="35">
        <v>-39</v>
      </c>
      <c r="I3158" s="38">
        <f t="shared" si="48"/>
        <v>8576.5</v>
      </c>
    </row>
    <row r="3159" spans="1:9" x14ac:dyDescent="0.2">
      <c r="A3159" s="33">
        <v>40723</v>
      </c>
      <c r="B3159" s="36">
        <v>8612</v>
      </c>
      <c r="C3159" s="7">
        <v>8622</v>
      </c>
      <c r="D3159" s="7"/>
      <c r="E3159" s="7"/>
      <c r="F3159" s="7"/>
      <c r="G3159" s="34"/>
      <c r="H3159" s="35">
        <v>0</v>
      </c>
      <c r="I3159" s="38">
        <f t="shared" si="48"/>
        <v>8617</v>
      </c>
    </row>
    <row r="3160" spans="1:9" x14ac:dyDescent="0.2">
      <c r="A3160" s="33">
        <v>40722</v>
      </c>
      <c r="B3160" s="36">
        <v>8612</v>
      </c>
      <c r="C3160" s="7">
        <v>8622</v>
      </c>
      <c r="D3160" s="7">
        <v>8626</v>
      </c>
      <c r="E3160" s="7">
        <v>8612</v>
      </c>
      <c r="F3160" s="7">
        <v>8616</v>
      </c>
      <c r="G3160" s="34"/>
      <c r="H3160" s="35">
        <v>-3</v>
      </c>
      <c r="I3160" s="38">
        <f t="shared" si="48"/>
        <v>8617</v>
      </c>
    </row>
    <row r="3161" spans="1:9" x14ac:dyDescent="0.2">
      <c r="A3161" s="33">
        <v>40721</v>
      </c>
      <c r="B3161" s="36">
        <v>8615</v>
      </c>
      <c r="C3161" s="7">
        <v>8625</v>
      </c>
      <c r="D3161" s="7">
        <v>8623</v>
      </c>
      <c r="E3161" s="7">
        <v>8610</v>
      </c>
      <c r="F3161" s="7">
        <v>8610</v>
      </c>
      <c r="G3161" s="34"/>
      <c r="H3161" s="35">
        <v>20</v>
      </c>
      <c r="I3161" s="38">
        <f t="shared" si="48"/>
        <v>8620</v>
      </c>
    </row>
    <row r="3162" spans="1:9" x14ac:dyDescent="0.2">
      <c r="A3162" s="33">
        <v>40718</v>
      </c>
      <c r="B3162" s="36">
        <v>8595</v>
      </c>
      <c r="C3162" s="7">
        <v>8605</v>
      </c>
      <c r="D3162" s="7">
        <v>8605</v>
      </c>
      <c r="E3162" s="7">
        <v>8595</v>
      </c>
      <c r="F3162" s="7">
        <v>8600</v>
      </c>
      <c r="G3162" s="34"/>
      <c r="H3162" s="35">
        <v>0</v>
      </c>
      <c r="I3162" s="38">
        <f t="shared" si="48"/>
        <v>8600</v>
      </c>
    </row>
    <row r="3163" spans="1:9" x14ac:dyDescent="0.2">
      <c r="A3163" s="33">
        <v>40717</v>
      </c>
      <c r="B3163" s="36">
        <v>8595</v>
      </c>
      <c r="C3163" s="7">
        <v>8605</v>
      </c>
      <c r="D3163" s="7">
        <v>8604</v>
      </c>
      <c r="E3163" s="7">
        <v>8595</v>
      </c>
      <c r="F3163" s="7">
        <v>8600</v>
      </c>
      <c r="G3163" s="34"/>
      <c r="H3163" s="35">
        <v>8</v>
      </c>
      <c r="I3163" s="38">
        <f t="shared" si="48"/>
        <v>8600</v>
      </c>
    </row>
    <row r="3164" spans="1:9" x14ac:dyDescent="0.2">
      <c r="A3164" s="33">
        <v>40716</v>
      </c>
      <c r="B3164" s="36">
        <v>8587</v>
      </c>
      <c r="C3164" s="7">
        <v>8592</v>
      </c>
      <c r="D3164" s="7">
        <v>8600</v>
      </c>
      <c r="E3164" s="7">
        <v>8585</v>
      </c>
      <c r="F3164" s="7">
        <v>8590</v>
      </c>
      <c r="G3164" s="34"/>
      <c r="H3164" s="35">
        <v>-8</v>
      </c>
      <c r="I3164" s="38">
        <f t="shared" si="48"/>
        <v>8589.5</v>
      </c>
    </row>
    <row r="3165" spans="1:9" x14ac:dyDescent="0.2">
      <c r="A3165" s="33">
        <v>40715</v>
      </c>
      <c r="B3165" s="36">
        <v>8595</v>
      </c>
      <c r="C3165" s="7">
        <v>8599</v>
      </c>
      <c r="D3165" s="7">
        <v>8603</v>
      </c>
      <c r="E3165" s="7">
        <v>8588</v>
      </c>
      <c r="F3165" s="7">
        <v>8588</v>
      </c>
      <c r="G3165" s="34"/>
      <c r="H3165" s="35">
        <v>-15</v>
      </c>
      <c r="I3165" s="38">
        <f t="shared" si="48"/>
        <v>8597</v>
      </c>
    </row>
    <row r="3166" spans="1:9" x14ac:dyDescent="0.2">
      <c r="A3166" s="33">
        <v>40714</v>
      </c>
      <c r="B3166" s="36">
        <v>8610</v>
      </c>
      <c r="C3166" s="7">
        <v>8620</v>
      </c>
      <c r="D3166" s="7">
        <v>8610</v>
      </c>
      <c r="E3166" s="7">
        <v>8570</v>
      </c>
      <c r="F3166" s="7">
        <v>8575</v>
      </c>
      <c r="G3166" s="34"/>
      <c r="H3166" s="35">
        <v>32</v>
      </c>
      <c r="I3166" s="38">
        <f t="shared" si="48"/>
        <v>8615</v>
      </c>
    </row>
    <row r="3167" spans="1:9" x14ac:dyDescent="0.2">
      <c r="A3167" s="33">
        <v>40711</v>
      </c>
      <c r="B3167" s="36">
        <v>8578</v>
      </c>
      <c r="C3167" s="7">
        <v>8588</v>
      </c>
      <c r="D3167" s="7">
        <v>8605</v>
      </c>
      <c r="E3167" s="7">
        <v>8578</v>
      </c>
      <c r="F3167" s="7">
        <v>8590</v>
      </c>
      <c r="G3167" s="34"/>
      <c r="H3167" s="35">
        <v>-5</v>
      </c>
      <c r="I3167" s="38">
        <f t="shared" si="48"/>
        <v>8583</v>
      </c>
    </row>
    <row r="3168" spans="1:9" x14ac:dyDescent="0.2">
      <c r="A3168" s="33">
        <v>40710</v>
      </c>
      <c r="B3168" s="36">
        <v>8583</v>
      </c>
      <c r="C3168" s="7">
        <v>8593</v>
      </c>
      <c r="D3168" s="7">
        <v>8597</v>
      </c>
      <c r="E3168" s="7">
        <v>8555</v>
      </c>
      <c r="F3168" s="7">
        <v>8555</v>
      </c>
      <c r="G3168" s="34"/>
      <c r="H3168" s="35">
        <v>38</v>
      </c>
      <c r="I3168" s="38">
        <f t="shared" ref="I3168:I3231" si="49">+(B3168+C3168)*0.5</f>
        <v>8588</v>
      </c>
    </row>
    <row r="3169" spans="1:9" x14ac:dyDescent="0.2">
      <c r="A3169" s="33">
        <v>40709</v>
      </c>
      <c r="B3169" s="36">
        <v>8545</v>
      </c>
      <c r="C3169" s="7">
        <v>8550</v>
      </c>
      <c r="D3169" s="7">
        <v>8550</v>
      </c>
      <c r="E3169" s="7">
        <v>8523</v>
      </c>
      <c r="F3169" s="7">
        <v>8530</v>
      </c>
      <c r="G3169" s="34"/>
      <c r="H3169" s="35">
        <v>12</v>
      </c>
      <c r="I3169" s="38">
        <f t="shared" si="49"/>
        <v>8547.5</v>
      </c>
    </row>
    <row r="3170" spans="1:9" x14ac:dyDescent="0.2">
      <c r="A3170" s="33">
        <v>40708</v>
      </c>
      <c r="B3170" s="36">
        <v>8533</v>
      </c>
      <c r="C3170" s="7">
        <v>8535</v>
      </c>
      <c r="D3170" s="7">
        <v>8540</v>
      </c>
      <c r="E3170" s="7">
        <v>8530</v>
      </c>
      <c r="F3170" s="7">
        <v>8535</v>
      </c>
      <c r="G3170" s="34"/>
      <c r="H3170" s="35">
        <v>-4</v>
      </c>
      <c r="I3170" s="38">
        <f t="shared" si="49"/>
        <v>8534</v>
      </c>
    </row>
    <row r="3171" spans="1:9" x14ac:dyDescent="0.2">
      <c r="A3171" s="33">
        <v>40707</v>
      </c>
      <c r="B3171" s="36">
        <v>8537</v>
      </c>
      <c r="C3171" s="7">
        <v>8542</v>
      </c>
      <c r="D3171" s="7">
        <v>8544</v>
      </c>
      <c r="E3171" s="7">
        <v>8524</v>
      </c>
      <c r="F3171" s="7">
        <v>8530</v>
      </c>
      <c r="G3171" s="34"/>
      <c r="H3171" s="35">
        <v>21</v>
      </c>
      <c r="I3171" s="38">
        <f t="shared" si="49"/>
        <v>8539.5</v>
      </c>
    </row>
    <row r="3172" spans="1:9" x14ac:dyDescent="0.2">
      <c r="A3172" s="33">
        <v>40704</v>
      </c>
      <c r="B3172" s="36">
        <v>8516</v>
      </c>
      <c r="C3172" s="7">
        <v>8519</v>
      </c>
      <c r="D3172" s="7">
        <v>8520</v>
      </c>
      <c r="E3172" s="7">
        <v>8510</v>
      </c>
      <c r="F3172" s="7">
        <v>8520</v>
      </c>
      <c r="G3172" s="34"/>
      <c r="H3172" s="35">
        <v>-2</v>
      </c>
      <c r="I3172" s="38">
        <f t="shared" si="49"/>
        <v>8517.5</v>
      </c>
    </row>
    <row r="3173" spans="1:9" x14ac:dyDescent="0.2">
      <c r="A3173" s="33">
        <v>40703</v>
      </c>
      <c r="B3173" s="36">
        <v>8518</v>
      </c>
      <c r="C3173" s="7">
        <v>8522</v>
      </c>
      <c r="D3173" s="7">
        <v>8526</v>
      </c>
      <c r="E3173" s="7">
        <v>8515</v>
      </c>
      <c r="F3173" s="7">
        <v>8515</v>
      </c>
      <c r="G3173" s="34"/>
      <c r="H3173" s="35">
        <v>4</v>
      </c>
      <c r="I3173" s="38">
        <f t="shared" si="49"/>
        <v>8520</v>
      </c>
    </row>
    <row r="3174" spans="1:9" x14ac:dyDescent="0.2">
      <c r="A3174" s="33">
        <v>40702</v>
      </c>
      <c r="B3174" s="36">
        <v>8514</v>
      </c>
      <c r="C3174" s="7">
        <v>8519</v>
      </c>
      <c r="D3174" s="7">
        <v>8522</v>
      </c>
      <c r="E3174" s="7">
        <v>8505</v>
      </c>
      <c r="F3174" s="7">
        <v>8514</v>
      </c>
      <c r="G3174" s="34"/>
      <c r="H3174" s="35">
        <v>1</v>
      </c>
      <c r="I3174" s="38">
        <f t="shared" si="49"/>
        <v>8516.5</v>
      </c>
    </row>
    <row r="3175" spans="1:9" x14ac:dyDescent="0.2">
      <c r="A3175" s="33">
        <v>40701</v>
      </c>
      <c r="B3175" s="36">
        <v>8513</v>
      </c>
      <c r="C3175" s="7">
        <v>8518</v>
      </c>
      <c r="D3175" s="7">
        <v>8530</v>
      </c>
      <c r="E3175" s="7">
        <v>8513</v>
      </c>
      <c r="F3175" s="7">
        <v>8515</v>
      </c>
      <c r="G3175" s="34"/>
      <c r="H3175" s="35">
        <v>8</v>
      </c>
      <c r="I3175" s="38">
        <f t="shared" si="49"/>
        <v>8515.5</v>
      </c>
    </row>
    <row r="3176" spans="1:9" x14ac:dyDescent="0.2">
      <c r="A3176" s="33">
        <v>40700</v>
      </c>
      <c r="B3176" s="36">
        <v>8505</v>
      </c>
      <c r="C3176" s="7">
        <v>8510</v>
      </c>
      <c r="D3176" s="7">
        <v>8510</v>
      </c>
      <c r="E3176" s="7">
        <v>8500</v>
      </c>
      <c r="F3176" s="7">
        <v>8507</v>
      </c>
      <c r="G3176" s="34"/>
      <c r="H3176" s="35">
        <v>-13</v>
      </c>
      <c r="I3176" s="38">
        <f t="shared" si="49"/>
        <v>8507.5</v>
      </c>
    </row>
    <row r="3177" spans="1:9" x14ac:dyDescent="0.2">
      <c r="A3177" s="33">
        <v>40697</v>
      </c>
      <c r="B3177" s="36">
        <v>8518</v>
      </c>
      <c r="C3177" s="7">
        <v>8523</v>
      </c>
      <c r="D3177" s="7">
        <v>8537</v>
      </c>
      <c r="E3177" s="7">
        <v>8518</v>
      </c>
      <c r="F3177" s="7">
        <v>8532</v>
      </c>
      <c r="G3177" s="34"/>
      <c r="H3177" s="35">
        <v>-22</v>
      </c>
      <c r="I3177" s="38">
        <f t="shared" si="49"/>
        <v>8520.5</v>
      </c>
    </row>
    <row r="3178" spans="1:9" x14ac:dyDescent="0.2">
      <c r="A3178" s="33">
        <v>40696</v>
      </c>
      <c r="B3178" s="36">
        <v>8540</v>
      </c>
      <c r="C3178" s="7">
        <v>8550</v>
      </c>
      <c r="D3178" s="7">
        <v>8540</v>
      </c>
      <c r="E3178" s="7">
        <v>8535</v>
      </c>
      <c r="F3178" s="7">
        <v>8535</v>
      </c>
      <c r="G3178" s="34"/>
      <c r="H3178" s="35">
        <v>8</v>
      </c>
      <c r="I3178" s="38">
        <f t="shared" si="49"/>
        <v>8545</v>
      </c>
    </row>
    <row r="3179" spans="1:9" x14ac:dyDescent="0.2">
      <c r="A3179" s="33">
        <v>40695</v>
      </c>
      <c r="B3179" s="36">
        <v>8532</v>
      </c>
      <c r="C3179" s="7">
        <v>8539</v>
      </c>
      <c r="D3179" s="7">
        <v>8540</v>
      </c>
      <c r="E3179" s="7">
        <v>8530</v>
      </c>
      <c r="F3179" s="7">
        <v>8535</v>
      </c>
      <c r="G3179" s="34"/>
      <c r="H3179" s="35">
        <v>0</v>
      </c>
      <c r="I3179" s="38">
        <f t="shared" si="49"/>
        <v>8535.5</v>
      </c>
    </row>
    <row r="3180" spans="1:9" x14ac:dyDescent="0.2">
      <c r="A3180" s="33">
        <v>40694</v>
      </c>
      <c r="B3180" s="36">
        <v>8532</v>
      </c>
      <c r="C3180" s="7">
        <v>8539</v>
      </c>
      <c r="D3180" s="7">
        <v>8538</v>
      </c>
      <c r="E3180" s="7">
        <v>8530</v>
      </c>
      <c r="F3180" s="7">
        <v>8530</v>
      </c>
      <c r="G3180" s="34"/>
      <c r="H3180" s="35">
        <v>-10</v>
      </c>
      <c r="I3180" s="38">
        <f t="shared" si="49"/>
        <v>8535.5</v>
      </c>
    </row>
    <row r="3181" spans="1:9" x14ac:dyDescent="0.2">
      <c r="A3181" s="33">
        <v>40693</v>
      </c>
      <c r="B3181" s="36">
        <v>8542</v>
      </c>
      <c r="C3181" s="7">
        <v>8547</v>
      </c>
      <c r="D3181" s="7">
        <v>8552</v>
      </c>
      <c r="E3181" s="7">
        <v>8542</v>
      </c>
      <c r="F3181" s="7">
        <v>8552</v>
      </c>
      <c r="G3181" s="34"/>
      <c r="H3181" s="35">
        <v>-13</v>
      </c>
      <c r="I3181" s="38">
        <f t="shared" si="49"/>
        <v>8544.5</v>
      </c>
    </row>
    <row r="3182" spans="1:9" x14ac:dyDescent="0.2">
      <c r="A3182" s="33">
        <v>40690</v>
      </c>
      <c r="B3182" s="36">
        <v>8555</v>
      </c>
      <c r="C3182" s="7">
        <v>8565</v>
      </c>
      <c r="D3182" s="7">
        <v>8572</v>
      </c>
      <c r="E3182" s="7">
        <v>8555</v>
      </c>
      <c r="F3182" s="7">
        <v>8570</v>
      </c>
      <c r="G3182" s="34"/>
      <c r="H3182" s="35">
        <v>-20</v>
      </c>
      <c r="I3182" s="38">
        <f t="shared" si="49"/>
        <v>8560</v>
      </c>
    </row>
    <row r="3183" spans="1:9" x14ac:dyDescent="0.2">
      <c r="A3183" s="33">
        <v>40689</v>
      </c>
      <c r="B3183" s="36">
        <v>8575</v>
      </c>
      <c r="C3183" s="7">
        <v>8579</v>
      </c>
      <c r="D3183" s="7">
        <v>8577</v>
      </c>
      <c r="E3183" s="7">
        <v>8570</v>
      </c>
      <c r="F3183" s="7">
        <v>8575</v>
      </c>
      <c r="G3183" s="34"/>
      <c r="H3183" s="35">
        <v>-12</v>
      </c>
      <c r="I3183" s="38">
        <f t="shared" si="49"/>
        <v>8577</v>
      </c>
    </row>
    <row r="3184" spans="1:9" x14ac:dyDescent="0.2">
      <c r="A3184" s="33">
        <v>40688</v>
      </c>
      <c r="B3184" s="36">
        <v>8587</v>
      </c>
      <c r="C3184" s="7">
        <v>8597</v>
      </c>
      <c r="D3184" s="7">
        <v>8605</v>
      </c>
      <c r="E3184" s="7">
        <v>8565</v>
      </c>
      <c r="F3184" s="7">
        <v>8565</v>
      </c>
      <c r="G3184" s="34"/>
      <c r="H3184" s="35">
        <v>22</v>
      </c>
      <c r="I3184" s="38">
        <f t="shared" si="49"/>
        <v>8592</v>
      </c>
    </row>
    <row r="3185" spans="1:9" x14ac:dyDescent="0.2">
      <c r="A3185" s="33">
        <v>40687</v>
      </c>
      <c r="B3185" s="36">
        <v>8565</v>
      </c>
      <c r="C3185" s="7">
        <v>8569</v>
      </c>
      <c r="D3185" s="7">
        <v>8572</v>
      </c>
      <c r="E3185" s="7">
        <v>8560</v>
      </c>
      <c r="F3185" s="7">
        <v>8570</v>
      </c>
      <c r="G3185" s="34"/>
      <c r="H3185" s="35">
        <v>-7</v>
      </c>
      <c r="I3185" s="38">
        <f t="shared" si="49"/>
        <v>8567</v>
      </c>
    </row>
    <row r="3186" spans="1:9" x14ac:dyDescent="0.2">
      <c r="A3186" s="33">
        <v>40686</v>
      </c>
      <c r="B3186" s="36">
        <v>8572</v>
      </c>
      <c r="C3186" s="7">
        <v>8577</v>
      </c>
      <c r="D3186" s="7">
        <v>8580</v>
      </c>
      <c r="E3186" s="7">
        <v>8555</v>
      </c>
      <c r="F3186" s="7">
        <v>8555</v>
      </c>
      <c r="G3186" s="34"/>
      <c r="H3186" s="35">
        <v>37</v>
      </c>
      <c r="I3186" s="38">
        <f t="shared" si="49"/>
        <v>8574.5</v>
      </c>
    </row>
    <row r="3187" spans="1:9" x14ac:dyDescent="0.2">
      <c r="A3187" s="33">
        <v>40683</v>
      </c>
      <c r="B3187" s="36">
        <v>8535</v>
      </c>
      <c r="C3187" s="7">
        <v>8540</v>
      </c>
      <c r="D3187" s="7">
        <v>8545</v>
      </c>
      <c r="E3187" s="7">
        <v>8527</v>
      </c>
      <c r="F3187" s="7">
        <v>8545</v>
      </c>
      <c r="G3187" s="34"/>
      <c r="H3187" s="35">
        <v>-15</v>
      </c>
      <c r="I3187" s="38">
        <f t="shared" si="49"/>
        <v>8537.5</v>
      </c>
    </row>
    <row r="3188" spans="1:9" x14ac:dyDescent="0.2">
      <c r="A3188" s="33">
        <v>40682</v>
      </c>
      <c r="B3188" s="36">
        <v>8550</v>
      </c>
      <c r="C3188" s="7">
        <v>8555</v>
      </c>
      <c r="D3188" s="7">
        <v>8552</v>
      </c>
      <c r="E3188" s="7">
        <v>8539</v>
      </c>
      <c r="F3188" s="7">
        <v>8545</v>
      </c>
      <c r="G3188" s="34"/>
      <c r="H3188" s="35">
        <v>-7</v>
      </c>
      <c r="I3188" s="38">
        <f t="shared" si="49"/>
        <v>8552.5</v>
      </c>
    </row>
    <row r="3189" spans="1:9" x14ac:dyDescent="0.2">
      <c r="A3189" s="33">
        <v>40681</v>
      </c>
      <c r="B3189" s="36">
        <v>8557</v>
      </c>
      <c r="C3189" s="7">
        <v>8562</v>
      </c>
      <c r="D3189" s="7">
        <v>8560</v>
      </c>
      <c r="E3189" s="7">
        <v>8545</v>
      </c>
      <c r="F3189" s="7">
        <v>8557</v>
      </c>
      <c r="G3189" s="34"/>
      <c r="H3189" s="35">
        <v>-13</v>
      </c>
      <c r="I3189" s="38">
        <f t="shared" si="49"/>
        <v>8559.5</v>
      </c>
    </row>
    <row r="3190" spans="1:9" x14ac:dyDescent="0.2">
      <c r="A3190" s="33">
        <v>40680</v>
      </c>
      <c r="B3190" s="36">
        <v>8570</v>
      </c>
      <c r="C3190" s="7">
        <v>8575</v>
      </c>
      <c r="D3190" s="7"/>
      <c r="E3190" s="7"/>
      <c r="F3190" s="7"/>
      <c r="G3190" s="34"/>
      <c r="H3190" s="35">
        <v>0</v>
      </c>
      <c r="I3190" s="38">
        <f t="shared" si="49"/>
        <v>8572.5</v>
      </c>
    </row>
    <row r="3191" spans="1:9" x14ac:dyDescent="0.2">
      <c r="A3191" s="33">
        <v>40679</v>
      </c>
      <c r="B3191" s="36">
        <v>8570</v>
      </c>
      <c r="C3191" s="7">
        <v>8575</v>
      </c>
      <c r="D3191" s="7">
        <v>8570</v>
      </c>
      <c r="E3191" s="7">
        <v>8560</v>
      </c>
      <c r="F3191" s="7">
        <v>8565</v>
      </c>
      <c r="G3191" s="34"/>
      <c r="H3191" s="35">
        <v>30</v>
      </c>
      <c r="I3191" s="38">
        <f t="shared" si="49"/>
        <v>8572.5</v>
      </c>
    </row>
    <row r="3192" spans="1:9" x14ac:dyDescent="0.2">
      <c r="A3192" s="33">
        <v>40676</v>
      </c>
      <c r="B3192" s="36">
        <v>8540</v>
      </c>
      <c r="C3192" s="7">
        <v>8545</v>
      </c>
      <c r="D3192" s="7">
        <v>8565</v>
      </c>
      <c r="E3192" s="7">
        <v>8537</v>
      </c>
      <c r="F3192" s="7">
        <v>8555</v>
      </c>
      <c r="G3192" s="34"/>
      <c r="H3192" s="35">
        <v>-25</v>
      </c>
      <c r="I3192" s="38">
        <f t="shared" si="49"/>
        <v>8542.5</v>
      </c>
    </row>
    <row r="3193" spans="1:9" x14ac:dyDescent="0.2">
      <c r="A3193" s="33">
        <v>40675</v>
      </c>
      <c r="B3193" s="36">
        <v>8565</v>
      </c>
      <c r="C3193" s="7">
        <v>8570</v>
      </c>
      <c r="D3193" s="7">
        <v>8565</v>
      </c>
      <c r="E3193" s="7">
        <v>8530</v>
      </c>
      <c r="F3193" s="7">
        <v>8530</v>
      </c>
      <c r="G3193" s="34"/>
      <c r="H3193" s="35">
        <v>41</v>
      </c>
      <c r="I3193" s="38">
        <f t="shared" si="49"/>
        <v>8567.5</v>
      </c>
    </row>
    <row r="3194" spans="1:9" x14ac:dyDescent="0.2">
      <c r="A3194" s="33">
        <v>40674</v>
      </c>
      <c r="B3194" s="36">
        <v>8524</v>
      </c>
      <c r="C3194" s="7">
        <v>8529</v>
      </c>
      <c r="D3194" s="7">
        <v>8547</v>
      </c>
      <c r="E3194" s="7">
        <v>8524</v>
      </c>
      <c r="F3194" s="7">
        <v>8547</v>
      </c>
      <c r="G3194" s="34"/>
      <c r="H3194" s="35">
        <v>-31</v>
      </c>
      <c r="I3194" s="38">
        <f t="shared" si="49"/>
        <v>8526.5</v>
      </c>
    </row>
    <row r="3195" spans="1:9" x14ac:dyDescent="0.2">
      <c r="A3195" s="33">
        <v>40673</v>
      </c>
      <c r="B3195" s="36">
        <v>8555</v>
      </c>
      <c r="C3195" s="7">
        <v>8560</v>
      </c>
      <c r="D3195" s="7">
        <v>8560</v>
      </c>
      <c r="E3195" s="7">
        <v>8547</v>
      </c>
      <c r="F3195" s="7">
        <v>8555</v>
      </c>
      <c r="G3195" s="34"/>
      <c r="H3195" s="35">
        <v>5</v>
      </c>
      <c r="I3195" s="38">
        <f t="shared" si="49"/>
        <v>8557.5</v>
      </c>
    </row>
    <row r="3196" spans="1:9" x14ac:dyDescent="0.2">
      <c r="A3196" s="33">
        <v>40672</v>
      </c>
      <c r="B3196" s="36">
        <v>8550</v>
      </c>
      <c r="C3196" s="7">
        <v>8557</v>
      </c>
      <c r="D3196" s="7">
        <v>8565</v>
      </c>
      <c r="E3196" s="7">
        <v>8540</v>
      </c>
      <c r="F3196" s="7">
        <v>8565</v>
      </c>
      <c r="G3196" s="34"/>
      <c r="H3196" s="35">
        <v>-25</v>
      </c>
      <c r="I3196" s="38">
        <f t="shared" si="49"/>
        <v>8553.5</v>
      </c>
    </row>
    <row r="3197" spans="1:9" x14ac:dyDescent="0.2">
      <c r="A3197" s="33">
        <v>40669</v>
      </c>
      <c r="B3197" s="36">
        <v>8575</v>
      </c>
      <c r="C3197" s="7">
        <v>8580</v>
      </c>
      <c r="D3197" s="7">
        <v>8590</v>
      </c>
      <c r="E3197" s="7">
        <v>8565</v>
      </c>
      <c r="F3197" s="7">
        <v>8570</v>
      </c>
      <c r="G3197" s="34"/>
      <c r="H3197" s="35">
        <v>10</v>
      </c>
      <c r="I3197" s="38">
        <f t="shared" si="49"/>
        <v>8577.5</v>
      </c>
    </row>
    <row r="3198" spans="1:9" x14ac:dyDescent="0.2">
      <c r="A3198" s="33">
        <v>40668</v>
      </c>
      <c r="B3198" s="36">
        <v>8565</v>
      </c>
      <c r="C3198" s="7">
        <v>8567</v>
      </c>
      <c r="D3198" s="7">
        <v>8567</v>
      </c>
      <c r="E3198" s="7">
        <v>8550</v>
      </c>
      <c r="F3198" s="7">
        <v>8565</v>
      </c>
      <c r="G3198" s="34"/>
      <c r="H3198" s="35">
        <v>16</v>
      </c>
      <c r="I3198" s="38">
        <f t="shared" si="49"/>
        <v>8566</v>
      </c>
    </row>
    <row r="3199" spans="1:9" x14ac:dyDescent="0.2">
      <c r="A3199" s="33">
        <v>40667</v>
      </c>
      <c r="B3199" s="36">
        <v>8549</v>
      </c>
      <c r="C3199" s="7">
        <v>8553</v>
      </c>
      <c r="D3199" s="7">
        <v>8560</v>
      </c>
      <c r="E3199" s="7">
        <v>8545</v>
      </c>
      <c r="F3199" s="7">
        <v>8545</v>
      </c>
      <c r="G3199" s="34"/>
      <c r="H3199" s="35">
        <v>9</v>
      </c>
      <c r="I3199" s="38">
        <f t="shared" si="49"/>
        <v>8551</v>
      </c>
    </row>
    <row r="3200" spans="1:9" x14ac:dyDescent="0.2">
      <c r="A3200" s="33">
        <v>40666</v>
      </c>
      <c r="B3200" s="36">
        <v>8540</v>
      </c>
      <c r="C3200" s="7">
        <v>8545</v>
      </c>
      <c r="D3200" s="7">
        <v>8558</v>
      </c>
      <c r="E3200" s="7">
        <v>8535</v>
      </c>
      <c r="F3200" s="7">
        <v>8550</v>
      </c>
      <c r="G3200" s="34"/>
      <c r="H3200" s="35">
        <v>-6</v>
      </c>
      <c r="I3200" s="38">
        <f t="shared" si="49"/>
        <v>8542.5</v>
      </c>
    </row>
    <row r="3201" spans="1:9" x14ac:dyDescent="0.2">
      <c r="A3201" s="33">
        <v>40665</v>
      </c>
      <c r="B3201" s="36">
        <v>8546</v>
      </c>
      <c r="C3201" s="7">
        <v>8549</v>
      </c>
      <c r="D3201" s="7">
        <v>8550</v>
      </c>
      <c r="E3201" s="7">
        <v>8540</v>
      </c>
      <c r="F3201" s="7">
        <v>8540</v>
      </c>
      <c r="G3201" s="34"/>
      <c r="H3201" s="35">
        <v>-17</v>
      </c>
      <c r="I3201" s="38">
        <f t="shared" si="49"/>
        <v>8547.5</v>
      </c>
    </row>
    <row r="3202" spans="1:9" x14ac:dyDescent="0.2">
      <c r="A3202" s="33">
        <v>40662</v>
      </c>
      <c r="B3202" s="36">
        <v>8563</v>
      </c>
      <c r="C3202" s="7">
        <v>8565</v>
      </c>
      <c r="D3202" s="7">
        <v>8590</v>
      </c>
      <c r="E3202" s="7">
        <v>8560</v>
      </c>
      <c r="F3202" s="7">
        <v>8580</v>
      </c>
      <c r="G3202" s="34"/>
      <c r="H3202" s="35">
        <v>-17</v>
      </c>
      <c r="I3202" s="38">
        <f t="shared" si="49"/>
        <v>8564</v>
      </c>
    </row>
    <row r="3203" spans="1:9" x14ac:dyDescent="0.2">
      <c r="A3203" s="33">
        <v>40661</v>
      </c>
      <c r="B3203" s="36">
        <v>8580</v>
      </c>
      <c r="C3203" s="7">
        <v>8585</v>
      </c>
      <c r="D3203" s="7">
        <v>8610</v>
      </c>
      <c r="E3203" s="7">
        <v>8570</v>
      </c>
      <c r="F3203" s="7">
        <v>8605</v>
      </c>
      <c r="G3203" s="34"/>
      <c r="H3203" s="35">
        <v>-45</v>
      </c>
      <c r="I3203" s="38">
        <f t="shared" si="49"/>
        <v>8582.5</v>
      </c>
    </row>
    <row r="3204" spans="1:9" x14ac:dyDescent="0.2">
      <c r="A3204" s="33">
        <v>40660</v>
      </c>
      <c r="B3204" s="36">
        <v>8625</v>
      </c>
      <c r="C3204" s="7">
        <v>8630</v>
      </c>
      <c r="D3204" s="7">
        <v>8630</v>
      </c>
      <c r="E3204" s="7">
        <v>8620</v>
      </c>
      <c r="F3204" s="7">
        <v>8625</v>
      </c>
      <c r="G3204" s="34"/>
      <c r="H3204" s="35">
        <v>-25</v>
      </c>
      <c r="I3204" s="38">
        <f t="shared" si="49"/>
        <v>8627.5</v>
      </c>
    </row>
    <row r="3205" spans="1:9" x14ac:dyDescent="0.2">
      <c r="A3205" s="33">
        <v>40659</v>
      </c>
      <c r="B3205" s="36">
        <v>8650</v>
      </c>
      <c r="C3205" s="7">
        <v>8655</v>
      </c>
      <c r="D3205" s="7">
        <v>8690</v>
      </c>
      <c r="E3205" s="7">
        <v>8620</v>
      </c>
      <c r="F3205" s="7">
        <v>8620</v>
      </c>
      <c r="G3205" s="34"/>
      <c r="H3205" s="35">
        <v>30</v>
      </c>
      <c r="I3205" s="38">
        <f t="shared" si="49"/>
        <v>8652.5</v>
      </c>
    </row>
    <row r="3206" spans="1:9" x14ac:dyDescent="0.2">
      <c r="A3206" s="33">
        <v>40658</v>
      </c>
      <c r="B3206" s="36">
        <v>8620</v>
      </c>
      <c r="C3206" s="7">
        <v>8625</v>
      </c>
      <c r="D3206" s="7">
        <v>8628</v>
      </c>
      <c r="E3206" s="7">
        <v>8600</v>
      </c>
      <c r="F3206" s="7">
        <v>8620</v>
      </c>
      <c r="G3206" s="34"/>
      <c r="H3206" s="35">
        <v>-5</v>
      </c>
      <c r="I3206" s="38">
        <f t="shared" si="49"/>
        <v>8622.5</v>
      </c>
    </row>
    <row r="3207" spans="1:9" x14ac:dyDescent="0.2">
      <c r="A3207" s="33">
        <v>40655</v>
      </c>
      <c r="B3207" s="36">
        <v>8625</v>
      </c>
      <c r="C3207" s="7">
        <v>8630</v>
      </c>
      <c r="D3207" s="7"/>
      <c r="E3207" s="7"/>
      <c r="F3207" s="7"/>
      <c r="G3207" s="34"/>
      <c r="H3207" s="35">
        <v>0</v>
      </c>
      <c r="I3207" s="38">
        <f t="shared" si="49"/>
        <v>8627.5</v>
      </c>
    </row>
    <row r="3208" spans="1:9" x14ac:dyDescent="0.2">
      <c r="A3208" s="33">
        <v>40654</v>
      </c>
      <c r="B3208" s="36">
        <v>8625</v>
      </c>
      <c r="C3208" s="7">
        <v>8630</v>
      </c>
      <c r="D3208" s="7">
        <v>8638</v>
      </c>
      <c r="E3208" s="7">
        <v>8610</v>
      </c>
      <c r="F3208" s="7">
        <v>8637</v>
      </c>
      <c r="G3208" s="34"/>
      <c r="H3208" s="35">
        <v>-23</v>
      </c>
      <c r="I3208" s="38">
        <f t="shared" si="49"/>
        <v>8627.5</v>
      </c>
    </row>
    <row r="3209" spans="1:9" x14ac:dyDescent="0.2">
      <c r="A3209" s="33">
        <v>40653</v>
      </c>
      <c r="B3209" s="36">
        <v>8648</v>
      </c>
      <c r="C3209" s="7">
        <v>8652</v>
      </c>
      <c r="D3209" s="7">
        <v>8663</v>
      </c>
      <c r="E3209" s="7">
        <v>8645</v>
      </c>
      <c r="F3209" s="7">
        <v>8663</v>
      </c>
      <c r="G3209" s="34"/>
      <c r="H3209" s="35">
        <v>-26</v>
      </c>
      <c r="I3209" s="38">
        <f t="shared" si="49"/>
        <v>8650</v>
      </c>
    </row>
    <row r="3210" spans="1:9" x14ac:dyDescent="0.2">
      <c r="A3210" s="33">
        <v>40652</v>
      </c>
      <c r="B3210" s="36">
        <v>8674</v>
      </c>
      <c r="C3210" s="7">
        <v>8678</v>
      </c>
      <c r="D3210" s="7">
        <v>8686</v>
      </c>
      <c r="E3210" s="7">
        <v>8674</v>
      </c>
      <c r="F3210" s="7">
        <v>8680</v>
      </c>
      <c r="G3210" s="34"/>
      <c r="H3210" s="35">
        <v>2</v>
      </c>
      <c r="I3210" s="38">
        <f t="shared" si="49"/>
        <v>8676</v>
      </c>
    </row>
    <row r="3211" spans="1:9" x14ac:dyDescent="0.2">
      <c r="A3211" s="33">
        <v>40651</v>
      </c>
      <c r="B3211" s="36">
        <v>8672</v>
      </c>
      <c r="C3211" s="7">
        <v>8675</v>
      </c>
      <c r="D3211" s="7">
        <v>8678</v>
      </c>
      <c r="E3211" s="7">
        <v>8659</v>
      </c>
      <c r="F3211" s="7">
        <v>8659</v>
      </c>
      <c r="G3211" s="34"/>
      <c r="H3211" s="35">
        <v>12</v>
      </c>
      <c r="I3211" s="38">
        <f t="shared" si="49"/>
        <v>8673.5</v>
      </c>
    </row>
    <row r="3212" spans="1:9" x14ac:dyDescent="0.2">
      <c r="A3212" s="33">
        <v>40648</v>
      </c>
      <c r="B3212" s="36">
        <v>8660</v>
      </c>
      <c r="C3212" s="7">
        <v>8665</v>
      </c>
      <c r="D3212" s="7">
        <v>8665</v>
      </c>
      <c r="E3212" s="7">
        <v>8650</v>
      </c>
      <c r="F3212" s="7">
        <v>8658</v>
      </c>
      <c r="G3212" s="34"/>
      <c r="H3212" s="35">
        <v>-3</v>
      </c>
      <c r="I3212" s="38">
        <f t="shared" si="49"/>
        <v>8662.5</v>
      </c>
    </row>
    <row r="3213" spans="1:9" x14ac:dyDescent="0.2">
      <c r="A3213" s="33">
        <v>40647</v>
      </c>
      <c r="B3213" s="36">
        <v>8663</v>
      </c>
      <c r="C3213" s="7">
        <v>8668</v>
      </c>
      <c r="D3213" s="7">
        <v>8665</v>
      </c>
      <c r="E3213" s="7">
        <v>8650</v>
      </c>
      <c r="F3213" s="7">
        <v>8655</v>
      </c>
      <c r="G3213" s="34"/>
      <c r="H3213" s="35">
        <v>9</v>
      </c>
      <c r="I3213" s="38">
        <f t="shared" si="49"/>
        <v>8665.5</v>
      </c>
    </row>
    <row r="3214" spans="1:9" x14ac:dyDescent="0.2">
      <c r="A3214" s="33">
        <v>40646</v>
      </c>
      <c r="B3214" s="36">
        <v>8654</v>
      </c>
      <c r="C3214" s="7">
        <v>8659</v>
      </c>
      <c r="D3214" s="7">
        <v>8671</v>
      </c>
      <c r="E3214" s="7">
        <v>8640</v>
      </c>
      <c r="F3214" s="7">
        <v>8655</v>
      </c>
      <c r="G3214" s="34"/>
      <c r="H3214" s="35">
        <v>-1</v>
      </c>
      <c r="I3214" s="38">
        <f t="shared" si="49"/>
        <v>8656.5</v>
      </c>
    </row>
    <row r="3215" spans="1:9" x14ac:dyDescent="0.2">
      <c r="A3215" s="33">
        <v>40645</v>
      </c>
      <c r="B3215" s="36">
        <v>8655</v>
      </c>
      <c r="C3215" s="7">
        <v>8660</v>
      </c>
      <c r="D3215" s="7">
        <v>8668</v>
      </c>
      <c r="E3215" s="7">
        <v>8650</v>
      </c>
      <c r="F3215" s="7">
        <v>8650</v>
      </c>
      <c r="G3215" s="34"/>
      <c r="H3215" s="35">
        <v>4</v>
      </c>
      <c r="I3215" s="38">
        <f t="shared" si="49"/>
        <v>8657.5</v>
      </c>
    </row>
    <row r="3216" spans="1:9" x14ac:dyDescent="0.2">
      <c r="A3216" s="33">
        <v>40644</v>
      </c>
      <c r="B3216" s="36">
        <v>8651</v>
      </c>
      <c r="C3216" s="7">
        <v>8656</v>
      </c>
      <c r="D3216" s="7">
        <v>8651</v>
      </c>
      <c r="E3216" s="7">
        <v>8635</v>
      </c>
      <c r="F3216" s="7">
        <v>8640</v>
      </c>
      <c r="G3216" s="34"/>
      <c r="H3216" s="35">
        <v>0</v>
      </c>
      <c r="I3216" s="38">
        <f t="shared" si="49"/>
        <v>8653.5</v>
      </c>
    </row>
    <row r="3217" spans="1:9" x14ac:dyDescent="0.2">
      <c r="A3217" s="33">
        <v>40641</v>
      </c>
      <c r="B3217" s="36">
        <v>8651</v>
      </c>
      <c r="C3217" s="7">
        <v>8657</v>
      </c>
      <c r="D3217" s="7">
        <v>8667</v>
      </c>
      <c r="E3217" s="7">
        <v>8643</v>
      </c>
      <c r="F3217" s="7">
        <v>8665</v>
      </c>
      <c r="G3217" s="34"/>
      <c r="H3217" s="35">
        <v>-24</v>
      </c>
      <c r="I3217" s="38">
        <f t="shared" si="49"/>
        <v>8654</v>
      </c>
    </row>
    <row r="3218" spans="1:9" x14ac:dyDescent="0.2">
      <c r="A3218" s="33">
        <v>40640</v>
      </c>
      <c r="B3218" s="36">
        <v>8675</v>
      </c>
      <c r="C3218" s="7">
        <v>8680</v>
      </c>
      <c r="D3218" s="7">
        <v>8675</v>
      </c>
      <c r="E3218" s="7">
        <v>8645</v>
      </c>
      <c r="F3218" s="7">
        <v>8645</v>
      </c>
      <c r="G3218" s="34"/>
      <c r="H3218" s="35">
        <v>23</v>
      </c>
      <c r="I3218" s="38">
        <f t="shared" si="49"/>
        <v>8677.5</v>
      </c>
    </row>
    <row r="3219" spans="1:9" x14ac:dyDescent="0.2">
      <c r="A3219" s="33">
        <v>40639</v>
      </c>
      <c r="B3219" s="36">
        <v>8652</v>
      </c>
      <c r="C3219" s="7">
        <v>8655</v>
      </c>
      <c r="D3219" s="7">
        <v>8652</v>
      </c>
      <c r="E3219" s="7">
        <v>8645</v>
      </c>
      <c r="F3219" s="7">
        <v>8650</v>
      </c>
      <c r="G3219" s="34"/>
      <c r="H3219" s="35">
        <v>-8</v>
      </c>
      <c r="I3219" s="38">
        <f t="shared" si="49"/>
        <v>8653.5</v>
      </c>
    </row>
    <row r="3220" spans="1:9" x14ac:dyDescent="0.2">
      <c r="A3220" s="33">
        <v>40638</v>
      </c>
      <c r="B3220" s="36">
        <v>8660</v>
      </c>
      <c r="C3220" s="7">
        <v>8665</v>
      </c>
      <c r="D3220" s="7">
        <v>8670</v>
      </c>
      <c r="E3220" s="7">
        <v>8658</v>
      </c>
      <c r="F3220" s="7">
        <v>8662</v>
      </c>
      <c r="G3220" s="34"/>
      <c r="H3220" s="35">
        <v>0</v>
      </c>
      <c r="I3220" s="38">
        <f t="shared" si="49"/>
        <v>8662.5</v>
      </c>
    </row>
    <row r="3221" spans="1:9" x14ac:dyDescent="0.2">
      <c r="A3221" s="33">
        <v>40637</v>
      </c>
      <c r="B3221" s="36">
        <v>8660</v>
      </c>
      <c r="C3221" s="7">
        <v>8665</v>
      </c>
      <c r="D3221" s="7">
        <v>8677</v>
      </c>
      <c r="E3221" s="7">
        <v>8658</v>
      </c>
      <c r="F3221" s="7">
        <v>8675</v>
      </c>
      <c r="G3221" s="34"/>
      <c r="H3221" s="35">
        <v>-37</v>
      </c>
      <c r="I3221" s="38">
        <f t="shared" si="49"/>
        <v>8662.5</v>
      </c>
    </row>
    <row r="3222" spans="1:9" x14ac:dyDescent="0.2">
      <c r="A3222" s="33">
        <v>40634</v>
      </c>
      <c r="B3222" s="36">
        <v>8697</v>
      </c>
      <c r="C3222" s="7">
        <v>8702</v>
      </c>
      <c r="D3222" s="7">
        <v>8701</v>
      </c>
      <c r="E3222" s="7">
        <v>8692</v>
      </c>
      <c r="F3222" s="7">
        <v>8698</v>
      </c>
      <c r="G3222" s="34"/>
      <c r="H3222" s="35">
        <v>-8</v>
      </c>
      <c r="I3222" s="38">
        <f t="shared" si="49"/>
        <v>8699.5</v>
      </c>
    </row>
    <row r="3223" spans="1:9" x14ac:dyDescent="0.2">
      <c r="A3223" s="33">
        <v>40633</v>
      </c>
      <c r="B3223" s="36">
        <v>8705</v>
      </c>
      <c r="C3223" s="7">
        <v>8710</v>
      </c>
      <c r="D3223" s="7">
        <v>8711</v>
      </c>
      <c r="E3223" s="7">
        <v>8700</v>
      </c>
      <c r="F3223" s="7">
        <v>8705</v>
      </c>
      <c r="G3223" s="34"/>
      <c r="H3223" s="35">
        <v>-11</v>
      </c>
      <c r="I3223" s="38">
        <f t="shared" si="49"/>
        <v>8707.5</v>
      </c>
    </row>
    <row r="3224" spans="1:9" x14ac:dyDescent="0.2">
      <c r="A3224" s="33">
        <v>40632</v>
      </c>
      <c r="B3224" s="36">
        <v>8716</v>
      </c>
      <c r="C3224" s="7">
        <v>8722</v>
      </c>
      <c r="D3224" s="7">
        <v>8716</v>
      </c>
      <c r="E3224" s="7">
        <v>8710</v>
      </c>
      <c r="F3224" s="7">
        <v>8710</v>
      </c>
      <c r="G3224" s="34"/>
      <c r="H3224" s="35">
        <v>-4</v>
      </c>
      <c r="I3224" s="38">
        <f t="shared" si="49"/>
        <v>8719</v>
      </c>
    </row>
    <row r="3225" spans="1:9" x14ac:dyDescent="0.2">
      <c r="A3225" s="33">
        <v>40631</v>
      </c>
      <c r="B3225" s="36">
        <v>8720</v>
      </c>
      <c r="C3225" s="7">
        <v>8725</v>
      </c>
      <c r="D3225" s="7">
        <v>8720</v>
      </c>
      <c r="E3225" s="7">
        <v>8705</v>
      </c>
      <c r="F3225" s="7">
        <v>8705</v>
      </c>
      <c r="G3225" s="34"/>
      <c r="H3225" s="35">
        <v>8</v>
      </c>
      <c r="I3225" s="38">
        <f t="shared" si="49"/>
        <v>8722.5</v>
      </c>
    </row>
    <row r="3226" spans="1:9" x14ac:dyDescent="0.2">
      <c r="A3226" s="33">
        <v>40630</v>
      </c>
      <c r="B3226" s="36">
        <v>8712</v>
      </c>
      <c r="C3226" s="7">
        <v>8717</v>
      </c>
      <c r="D3226" s="7">
        <v>8720</v>
      </c>
      <c r="E3226" s="7">
        <v>8708</v>
      </c>
      <c r="F3226" s="7">
        <v>8715</v>
      </c>
      <c r="G3226" s="34"/>
      <c r="H3226" s="35">
        <v>-1</v>
      </c>
      <c r="I3226" s="38">
        <f t="shared" si="49"/>
        <v>8714.5</v>
      </c>
    </row>
    <row r="3227" spans="1:9" x14ac:dyDescent="0.2">
      <c r="A3227" s="33">
        <v>40627</v>
      </c>
      <c r="B3227" s="36">
        <v>8713</v>
      </c>
      <c r="C3227" s="7">
        <v>8714</v>
      </c>
      <c r="D3227" s="7">
        <v>8714</v>
      </c>
      <c r="E3227" s="7">
        <v>8700</v>
      </c>
      <c r="F3227" s="7">
        <v>8705</v>
      </c>
      <c r="G3227" s="34"/>
      <c r="H3227" s="35">
        <v>-3</v>
      </c>
      <c r="I3227" s="38">
        <f t="shared" si="49"/>
        <v>8713.5</v>
      </c>
    </row>
    <row r="3228" spans="1:9" x14ac:dyDescent="0.2">
      <c r="A3228" s="33">
        <v>40626</v>
      </c>
      <c r="B3228" s="36">
        <v>8716</v>
      </c>
      <c r="C3228" s="7">
        <v>8718</v>
      </c>
      <c r="D3228" s="7">
        <v>8727</v>
      </c>
      <c r="E3228" s="7">
        <v>8715</v>
      </c>
      <c r="F3228" s="7">
        <v>8720</v>
      </c>
      <c r="G3228" s="34"/>
      <c r="H3228" s="35">
        <v>-3</v>
      </c>
      <c r="I3228" s="38">
        <f t="shared" si="49"/>
        <v>8717</v>
      </c>
    </row>
    <row r="3229" spans="1:9" x14ac:dyDescent="0.2">
      <c r="A3229" s="33">
        <v>40625</v>
      </c>
      <c r="B3229" s="36">
        <v>8719</v>
      </c>
      <c r="C3229" s="7">
        <v>8724</v>
      </c>
      <c r="D3229" s="7">
        <v>8725</v>
      </c>
      <c r="E3229" s="7">
        <v>8705</v>
      </c>
      <c r="F3229" s="7">
        <v>8720</v>
      </c>
      <c r="G3229" s="34"/>
      <c r="H3229" s="35">
        <v>-2</v>
      </c>
      <c r="I3229" s="38">
        <f t="shared" si="49"/>
        <v>8721.5</v>
      </c>
    </row>
    <row r="3230" spans="1:9" x14ac:dyDescent="0.2">
      <c r="A3230" s="33">
        <v>40624</v>
      </c>
      <c r="B3230" s="36">
        <v>8721</v>
      </c>
      <c r="C3230" s="7">
        <v>8726</v>
      </c>
      <c r="D3230" s="7">
        <v>8721</v>
      </c>
      <c r="E3230" s="7">
        <v>8703</v>
      </c>
      <c r="F3230" s="7">
        <v>8708</v>
      </c>
      <c r="G3230" s="34"/>
      <c r="H3230" s="35">
        <v>1</v>
      </c>
      <c r="I3230" s="38">
        <f t="shared" si="49"/>
        <v>8723.5</v>
      </c>
    </row>
    <row r="3231" spans="1:9" x14ac:dyDescent="0.2">
      <c r="A3231" s="33">
        <v>40623</v>
      </c>
      <c r="B3231" s="36">
        <v>8720</v>
      </c>
      <c r="C3231" s="7">
        <v>8727</v>
      </c>
      <c r="D3231" s="7">
        <v>8760</v>
      </c>
      <c r="E3231" s="7">
        <v>8720</v>
      </c>
      <c r="F3231" s="7">
        <v>8760</v>
      </c>
      <c r="G3231" s="34"/>
      <c r="H3231" s="35">
        <v>-45</v>
      </c>
      <c r="I3231" s="38">
        <f t="shared" si="49"/>
        <v>8723.5</v>
      </c>
    </row>
    <row r="3232" spans="1:9" x14ac:dyDescent="0.2">
      <c r="A3232" s="33">
        <v>40620</v>
      </c>
      <c r="B3232" s="36">
        <v>8765</v>
      </c>
      <c r="C3232" s="7">
        <v>8775</v>
      </c>
      <c r="D3232" s="7">
        <v>8775</v>
      </c>
      <c r="E3232" s="7">
        <v>8765</v>
      </c>
      <c r="F3232" s="7">
        <v>8775</v>
      </c>
      <c r="G3232" s="34"/>
      <c r="H3232" s="35">
        <v>-10</v>
      </c>
      <c r="I3232" s="38">
        <f t="shared" ref="I3232:I3295" si="50">+(B3232+C3232)*0.5</f>
        <v>8770</v>
      </c>
    </row>
    <row r="3233" spans="1:9" x14ac:dyDescent="0.2">
      <c r="A3233" s="33">
        <v>40619</v>
      </c>
      <c r="B3233" s="36">
        <v>8775</v>
      </c>
      <c r="C3233" s="7">
        <v>8785</v>
      </c>
      <c r="D3233" s="7">
        <v>8797</v>
      </c>
      <c r="E3233" s="7">
        <v>8775</v>
      </c>
      <c r="F3233" s="7">
        <v>8790</v>
      </c>
      <c r="G3233" s="34"/>
      <c r="H3233" s="35">
        <v>5</v>
      </c>
      <c r="I3233" s="38">
        <f t="shared" si="50"/>
        <v>8780</v>
      </c>
    </row>
    <row r="3234" spans="1:9" x14ac:dyDescent="0.2">
      <c r="A3234" s="33">
        <v>40618</v>
      </c>
      <c r="B3234" s="36">
        <v>8770</v>
      </c>
      <c r="C3234" s="7">
        <v>8780</v>
      </c>
      <c r="D3234" s="7">
        <v>8800</v>
      </c>
      <c r="E3234" s="7">
        <v>8770</v>
      </c>
      <c r="F3234" s="7">
        <v>8785</v>
      </c>
      <c r="G3234" s="34"/>
      <c r="H3234" s="35">
        <v>-2</v>
      </c>
      <c r="I3234" s="38">
        <f t="shared" si="50"/>
        <v>8775</v>
      </c>
    </row>
    <row r="3235" spans="1:9" x14ac:dyDescent="0.2">
      <c r="A3235" s="33">
        <v>40617</v>
      </c>
      <c r="B3235" s="36">
        <v>8772</v>
      </c>
      <c r="C3235" s="7">
        <v>8780</v>
      </c>
      <c r="D3235" s="7">
        <v>8785</v>
      </c>
      <c r="E3235" s="7">
        <v>8745</v>
      </c>
      <c r="F3235" s="7">
        <v>8745</v>
      </c>
      <c r="G3235" s="34"/>
      <c r="H3235" s="35">
        <v>12</v>
      </c>
      <c r="I3235" s="38">
        <f t="shared" si="50"/>
        <v>8776</v>
      </c>
    </row>
    <row r="3236" spans="1:9" x14ac:dyDescent="0.2">
      <c r="A3236" s="33">
        <v>40616</v>
      </c>
      <c r="B3236" s="36">
        <v>8760</v>
      </c>
      <c r="C3236" s="7">
        <v>8765</v>
      </c>
      <c r="D3236" s="7">
        <v>8773</v>
      </c>
      <c r="E3236" s="7">
        <v>8757</v>
      </c>
      <c r="F3236" s="7">
        <v>8772</v>
      </c>
      <c r="G3236" s="34"/>
      <c r="H3236" s="35">
        <v>-15</v>
      </c>
      <c r="I3236" s="38">
        <f t="shared" si="50"/>
        <v>8762.5</v>
      </c>
    </row>
    <row r="3237" spans="1:9" x14ac:dyDescent="0.2">
      <c r="A3237" s="33">
        <v>40613</v>
      </c>
      <c r="B3237" s="36">
        <v>8775</v>
      </c>
      <c r="C3237" s="7">
        <v>8779</v>
      </c>
      <c r="D3237" s="7">
        <v>8790</v>
      </c>
      <c r="E3237" s="7">
        <v>8775</v>
      </c>
      <c r="F3237" s="7">
        <v>8785</v>
      </c>
      <c r="G3237" s="34"/>
      <c r="H3237" s="35">
        <v>-6</v>
      </c>
      <c r="I3237" s="38">
        <f t="shared" si="50"/>
        <v>8777</v>
      </c>
    </row>
    <row r="3238" spans="1:9" x14ac:dyDescent="0.2">
      <c r="A3238" s="33">
        <v>40612</v>
      </c>
      <c r="B3238" s="36">
        <v>8781</v>
      </c>
      <c r="C3238" s="7">
        <v>8786</v>
      </c>
      <c r="D3238" s="7">
        <v>8785</v>
      </c>
      <c r="E3238" s="7">
        <v>8767</v>
      </c>
      <c r="F3238" s="7">
        <v>8770</v>
      </c>
      <c r="G3238" s="34"/>
      <c r="H3238" s="35">
        <v>1</v>
      </c>
      <c r="I3238" s="38">
        <f t="shared" si="50"/>
        <v>8783.5</v>
      </c>
    </row>
    <row r="3239" spans="1:9" x14ac:dyDescent="0.2">
      <c r="A3239" s="33">
        <v>40611</v>
      </c>
      <c r="B3239" s="36">
        <v>8780</v>
      </c>
      <c r="C3239" s="7">
        <v>8787</v>
      </c>
      <c r="D3239" s="7">
        <v>8790</v>
      </c>
      <c r="E3239" s="7">
        <v>8760</v>
      </c>
      <c r="F3239" s="7">
        <v>8785</v>
      </c>
      <c r="G3239" s="34"/>
      <c r="H3239" s="35">
        <v>-7</v>
      </c>
      <c r="I3239" s="38">
        <f t="shared" si="50"/>
        <v>8783.5</v>
      </c>
    </row>
    <row r="3240" spans="1:9" x14ac:dyDescent="0.2">
      <c r="A3240" s="33">
        <v>40610</v>
      </c>
      <c r="B3240" s="36">
        <v>8787</v>
      </c>
      <c r="C3240" s="7">
        <v>8789</v>
      </c>
      <c r="D3240" s="7">
        <v>8790</v>
      </c>
      <c r="E3240" s="7">
        <v>8780</v>
      </c>
      <c r="F3240" s="7">
        <v>8785</v>
      </c>
      <c r="G3240" s="34"/>
      <c r="H3240" s="35">
        <v>2</v>
      </c>
      <c r="I3240" s="38">
        <f t="shared" si="50"/>
        <v>8788</v>
      </c>
    </row>
    <row r="3241" spans="1:9" x14ac:dyDescent="0.2">
      <c r="A3241" s="33">
        <v>40609</v>
      </c>
      <c r="B3241" s="36">
        <v>8785</v>
      </c>
      <c r="C3241" s="7">
        <v>8787</v>
      </c>
      <c r="D3241" s="7">
        <v>8790</v>
      </c>
      <c r="E3241" s="7">
        <v>8780</v>
      </c>
      <c r="F3241" s="7">
        <v>8780</v>
      </c>
      <c r="G3241" s="34"/>
      <c r="H3241" s="35">
        <v>-5</v>
      </c>
      <c r="I3241" s="38">
        <f t="shared" si="50"/>
        <v>8786</v>
      </c>
    </row>
    <row r="3242" spans="1:9" x14ac:dyDescent="0.2">
      <c r="A3242" s="33">
        <v>40606</v>
      </c>
      <c r="B3242" s="36">
        <v>8790</v>
      </c>
      <c r="C3242" s="7">
        <v>8791</v>
      </c>
      <c r="D3242" s="7">
        <v>8794</v>
      </c>
      <c r="E3242" s="7">
        <v>8780</v>
      </c>
      <c r="F3242" s="7">
        <v>8790</v>
      </c>
      <c r="G3242" s="34"/>
      <c r="H3242" s="35">
        <v>-13</v>
      </c>
      <c r="I3242" s="38">
        <f t="shared" si="50"/>
        <v>8790.5</v>
      </c>
    </row>
    <row r="3243" spans="1:9" x14ac:dyDescent="0.2">
      <c r="A3243" s="33">
        <v>40605</v>
      </c>
      <c r="B3243" s="36">
        <v>8803</v>
      </c>
      <c r="C3243" s="7">
        <v>8808</v>
      </c>
      <c r="D3243" s="7">
        <v>8810</v>
      </c>
      <c r="E3243" s="7">
        <v>8800</v>
      </c>
      <c r="F3243" s="7">
        <v>8801</v>
      </c>
      <c r="G3243" s="34"/>
      <c r="H3243" s="35">
        <v>-7</v>
      </c>
      <c r="I3243" s="38">
        <f t="shared" si="50"/>
        <v>8805.5</v>
      </c>
    </row>
    <row r="3244" spans="1:9" x14ac:dyDescent="0.2">
      <c r="A3244" s="33">
        <v>40604</v>
      </c>
      <c r="B3244" s="36">
        <v>8810</v>
      </c>
      <c r="C3244" s="7">
        <v>8815</v>
      </c>
      <c r="D3244" s="7">
        <v>8825</v>
      </c>
      <c r="E3244" s="7">
        <v>8809</v>
      </c>
      <c r="F3244" s="7">
        <v>8810</v>
      </c>
      <c r="G3244" s="34"/>
      <c r="H3244" s="35">
        <v>0</v>
      </c>
      <c r="I3244" s="38">
        <f t="shared" si="50"/>
        <v>8812.5</v>
      </c>
    </row>
    <row r="3245" spans="1:9" x14ac:dyDescent="0.2">
      <c r="A3245" s="33">
        <v>40603</v>
      </c>
      <c r="B3245" s="36">
        <v>8810</v>
      </c>
      <c r="C3245" s="7">
        <v>8815</v>
      </c>
      <c r="D3245" s="7">
        <v>8820</v>
      </c>
      <c r="E3245" s="7">
        <v>8805</v>
      </c>
      <c r="F3245" s="7">
        <v>8805</v>
      </c>
      <c r="G3245" s="34"/>
      <c r="H3245" s="35">
        <v>-8</v>
      </c>
      <c r="I3245" s="38">
        <f t="shared" si="50"/>
        <v>8812.5</v>
      </c>
    </row>
    <row r="3246" spans="1:9" x14ac:dyDescent="0.2">
      <c r="A3246" s="33">
        <v>40602</v>
      </c>
      <c r="B3246" s="36">
        <v>8818</v>
      </c>
      <c r="C3246" s="7">
        <v>8825</v>
      </c>
      <c r="D3246" s="7">
        <v>8830</v>
      </c>
      <c r="E3246" s="7">
        <v>8800</v>
      </c>
      <c r="F3246" s="7">
        <v>8825</v>
      </c>
      <c r="G3246" s="34"/>
      <c r="H3246" s="35">
        <v>-20</v>
      </c>
      <c r="I3246" s="38">
        <f t="shared" si="50"/>
        <v>8821.5</v>
      </c>
    </row>
    <row r="3247" spans="1:9" x14ac:dyDescent="0.2">
      <c r="A3247" s="33">
        <v>40599</v>
      </c>
      <c r="B3247" s="36">
        <v>8838</v>
      </c>
      <c r="C3247" s="7">
        <v>8845</v>
      </c>
      <c r="D3247" s="7">
        <v>8862</v>
      </c>
      <c r="E3247" s="7">
        <v>8830</v>
      </c>
      <c r="F3247" s="7">
        <v>8855</v>
      </c>
      <c r="G3247" s="34"/>
      <c r="H3247" s="35">
        <v>-27</v>
      </c>
      <c r="I3247" s="38">
        <f t="shared" si="50"/>
        <v>8841.5</v>
      </c>
    </row>
    <row r="3248" spans="1:9" x14ac:dyDescent="0.2">
      <c r="A3248" s="33">
        <v>40598</v>
      </c>
      <c r="B3248" s="36">
        <v>8865</v>
      </c>
      <c r="C3248" s="7">
        <v>8875</v>
      </c>
      <c r="D3248" s="7">
        <v>8880</v>
      </c>
      <c r="E3248" s="7">
        <v>8852</v>
      </c>
      <c r="F3248" s="7">
        <v>8852</v>
      </c>
      <c r="G3248" s="34"/>
      <c r="H3248" s="35">
        <v>13</v>
      </c>
      <c r="I3248" s="38">
        <f t="shared" si="50"/>
        <v>8870</v>
      </c>
    </row>
    <row r="3249" spans="1:9" x14ac:dyDescent="0.2">
      <c r="A3249" s="33">
        <v>40597</v>
      </c>
      <c r="B3249" s="36">
        <v>8852</v>
      </c>
      <c r="C3249" s="7">
        <v>8857</v>
      </c>
      <c r="D3249" s="7">
        <v>8875</v>
      </c>
      <c r="E3249" s="7">
        <v>8850</v>
      </c>
      <c r="F3249" s="7">
        <v>8875</v>
      </c>
      <c r="G3249" s="34"/>
      <c r="H3249" s="35">
        <v>-20</v>
      </c>
      <c r="I3249" s="38">
        <f t="shared" si="50"/>
        <v>8854.5</v>
      </c>
    </row>
    <row r="3250" spans="1:9" x14ac:dyDescent="0.2">
      <c r="A3250" s="33">
        <v>40596</v>
      </c>
      <c r="B3250" s="36">
        <v>8872</v>
      </c>
      <c r="C3250" s="7">
        <v>8882</v>
      </c>
      <c r="D3250" s="7">
        <v>8882</v>
      </c>
      <c r="E3250" s="7">
        <v>8862</v>
      </c>
      <c r="F3250" s="7">
        <v>8865</v>
      </c>
      <c r="G3250" s="34"/>
      <c r="H3250" s="35">
        <v>17</v>
      </c>
      <c r="I3250" s="38">
        <f t="shared" si="50"/>
        <v>8877</v>
      </c>
    </row>
    <row r="3251" spans="1:9" x14ac:dyDescent="0.2">
      <c r="A3251" s="33">
        <v>40595</v>
      </c>
      <c r="B3251" s="36">
        <v>8855</v>
      </c>
      <c r="C3251" s="7">
        <v>8860</v>
      </c>
      <c r="D3251" s="7">
        <v>8855</v>
      </c>
      <c r="E3251" s="7">
        <v>8840</v>
      </c>
      <c r="F3251" s="7">
        <v>8850</v>
      </c>
      <c r="G3251" s="34"/>
      <c r="H3251" s="35">
        <v>0</v>
      </c>
      <c r="I3251" s="38">
        <f t="shared" si="50"/>
        <v>8857.5</v>
      </c>
    </row>
    <row r="3252" spans="1:9" x14ac:dyDescent="0.2">
      <c r="A3252" s="33">
        <v>40592</v>
      </c>
      <c r="B3252" s="36">
        <v>8855</v>
      </c>
      <c r="C3252" s="7">
        <v>8860</v>
      </c>
      <c r="D3252" s="7">
        <v>8875</v>
      </c>
      <c r="E3252" s="7">
        <v>8850</v>
      </c>
      <c r="F3252" s="7">
        <v>8875</v>
      </c>
      <c r="G3252" s="34"/>
      <c r="H3252" s="35">
        <v>-30</v>
      </c>
      <c r="I3252" s="38">
        <f t="shared" si="50"/>
        <v>8857.5</v>
      </c>
    </row>
    <row r="3253" spans="1:9" x14ac:dyDescent="0.2">
      <c r="A3253" s="33">
        <v>40591</v>
      </c>
      <c r="B3253" s="36">
        <v>8885</v>
      </c>
      <c r="C3253" s="7">
        <v>8890</v>
      </c>
      <c r="D3253" s="7">
        <v>8885</v>
      </c>
      <c r="E3253" s="7">
        <v>8873</v>
      </c>
      <c r="F3253" s="7">
        <v>8875</v>
      </c>
      <c r="G3253" s="34"/>
      <c r="H3253" s="35">
        <v>-7</v>
      </c>
      <c r="I3253" s="38">
        <f t="shared" si="50"/>
        <v>8887.5</v>
      </c>
    </row>
    <row r="3254" spans="1:9" x14ac:dyDescent="0.2">
      <c r="A3254" s="33">
        <v>40590</v>
      </c>
      <c r="B3254" s="36">
        <v>8892</v>
      </c>
      <c r="C3254" s="7">
        <v>8898</v>
      </c>
      <c r="D3254" s="7">
        <v>8906</v>
      </c>
      <c r="E3254" s="7">
        <v>8885</v>
      </c>
      <c r="F3254" s="7">
        <v>8905</v>
      </c>
      <c r="G3254" s="34"/>
      <c r="H3254" s="35">
        <v>-20</v>
      </c>
      <c r="I3254" s="38">
        <f t="shared" si="50"/>
        <v>8895</v>
      </c>
    </row>
    <row r="3255" spans="1:9" x14ac:dyDescent="0.2">
      <c r="A3255" s="33">
        <v>40589</v>
      </c>
      <c r="B3255" s="36">
        <v>8912</v>
      </c>
      <c r="C3255" s="7">
        <v>8917</v>
      </c>
      <c r="D3255" s="7"/>
      <c r="E3255" s="7"/>
      <c r="F3255" s="7"/>
      <c r="G3255" s="34"/>
      <c r="H3255" s="35">
        <v>0</v>
      </c>
      <c r="I3255" s="38">
        <f t="shared" si="50"/>
        <v>8914.5</v>
      </c>
    </row>
    <row r="3256" spans="1:9" x14ac:dyDescent="0.2">
      <c r="A3256" s="33">
        <v>40588</v>
      </c>
      <c r="B3256" s="36">
        <v>8912</v>
      </c>
      <c r="C3256" s="7">
        <v>8917</v>
      </c>
      <c r="D3256" s="7">
        <v>8925</v>
      </c>
      <c r="E3256" s="7">
        <v>8907</v>
      </c>
      <c r="F3256" s="7">
        <v>8925</v>
      </c>
      <c r="G3256" s="34"/>
      <c r="H3256" s="35">
        <v>-18</v>
      </c>
      <c r="I3256" s="38">
        <f t="shared" si="50"/>
        <v>8914.5</v>
      </c>
    </row>
    <row r="3257" spans="1:9" x14ac:dyDescent="0.2">
      <c r="A3257" s="33">
        <v>40585</v>
      </c>
      <c r="B3257" s="36">
        <v>8930</v>
      </c>
      <c r="C3257" s="7">
        <v>8937</v>
      </c>
      <c r="D3257" s="7">
        <v>8935</v>
      </c>
      <c r="E3257" s="7">
        <v>8920</v>
      </c>
      <c r="F3257" s="7">
        <v>8925</v>
      </c>
      <c r="G3257" s="34"/>
      <c r="H3257" s="35">
        <v>5</v>
      </c>
      <c r="I3257" s="38">
        <f t="shared" si="50"/>
        <v>8933.5</v>
      </c>
    </row>
    <row r="3258" spans="1:9" x14ac:dyDescent="0.2">
      <c r="A3258" s="33">
        <v>40584</v>
      </c>
      <c r="B3258" s="36">
        <v>8925</v>
      </c>
      <c r="C3258" s="7">
        <v>8930</v>
      </c>
      <c r="D3258" s="7">
        <v>8935</v>
      </c>
      <c r="E3258" s="7">
        <v>8920</v>
      </c>
      <c r="F3258" s="7">
        <v>8930</v>
      </c>
      <c r="G3258" s="34"/>
      <c r="H3258" s="35">
        <v>0</v>
      </c>
      <c r="I3258" s="38">
        <f t="shared" si="50"/>
        <v>8927.5</v>
      </c>
    </row>
    <row r="3259" spans="1:9" x14ac:dyDescent="0.2">
      <c r="A3259" s="33">
        <v>40583</v>
      </c>
      <c r="B3259" s="36">
        <v>8925</v>
      </c>
      <c r="C3259" s="7">
        <v>8935</v>
      </c>
      <c r="D3259" s="7">
        <v>8932</v>
      </c>
      <c r="E3259" s="7">
        <v>8912</v>
      </c>
      <c r="F3259" s="7">
        <v>8918</v>
      </c>
      <c r="G3259" s="34"/>
      <c r="H3259" s="35">
        <v>5</v>
      </c>
      <c r="I3259" s="38">
        <f t="shared" si="50"/>
        <v>8930</v>
      </c>
    </row>
    <row r="3260" spans="1:9" x14ac:dyDescent="0.2">
      <c r="A3260" s="33">
        <v>40582</v>
      </c>
      <c r="B3260" s="36">
        <v>8920</v>
      </c>
      <c r="C3260" s="7">
        <v>8930</v>
      </c>
      <c r="D3260" s="7">
        <v>8935</v>
      </c>
      <c r="E3260" s="7">
        <v>8910</v>
      </c>
      <c r="F3260" s="7">
        <v>8935</v>
      </c>
      <c r="G3260" s="34"/>
      <c r="H3260" s="35">
        <v>-30</v>
      </c>
      <c r="I3260" s="38">
        <f t="shared" si="50"/>
        <v>8925</v>
      </c>
    </row>
    <row r="3261" spans="1:9" x14ac:dyDescent="0.2">
      <c r="A3261" s="33">
        <v>40581</v>
      </c>
      <c r="B3261" s="36">
        <v>8950</v>
      </c>
      <c r="C3261" s="7">
        <v>8960</v>
      </c>
      <c r="D3261" s="7">
        <v>8983</v>
      </c>
      <c r="E3261" s="7">
        <v>8948</v>
      </c>
      <c r="F3261" s="7">
        <v>8978</v>
      </c>
      <c r="G3261" s="34"/>
      <c r="H3261" s="35">
        <v>-40</v>
      </c>
      <c r="I3261" s="38">
        <f t="shared" si="50"/>
        <v>8955</v>
      </c>
    </row>
    <row r="3262" spans="1:9" x14ac:dyDescent="0.2">
      <c r="A3262" s="33">
        <v>40578</v>
      </c>
      <c r="B3262" s="36">
        <v>8990</v>
      </c>
      <c r="C3262" s="7">
        <v>8995</v>
      </c>
      <c r="D3262" s="7">
        <v>9030</v>
      </c>
      <c r="E3262" s="7">
        <v>8990</v>
      </c>
      <c r="F3262" s="7">
        <v>9025</v>
      </c>
      <c r="G3262" s="34"/>
      <c r="H3262" s="35">
        <v>-30</v>
      </c>
      <c r="I3262" s="38">
        <f t="shared" si="50"/>
        <v>8992.5</v>
      </c>
    </row>
    <row r="3263" spans="1:9" x14ac:dyDescent="0.2">
      <c r="A3263" s="33">
        <v>40577</v>
      </c>
      <c r="B3263" s="36">
        <v>9020</v>
      </c>
      <c r="C3263" s="7">
        <v>9022</v>
      </c>
      <c r="D3263" s="7"/>
      <c r="E3263" s="7"/>
      <c r="F3263" s="7"/>
      <c r="G3263" s="34"/>
      <c r="H3263" s="35">
        <v>0</v>
      </c>
      <c r="I3263" s="38">
        <f t="shared" si="50"/>
        <v>9021</v>
      </c>
    </row>
    <row r="3264" spans="1:9" x14ac:dyDescent="0.2">
      <c r="A3264" s="33">
        <v>40576</v>
      </c>
      <c r="B3264" s="36">
        <v>9020</v>
      </c>
      <c r="C3264" s="7">
        <v>9022</v>
      </c>
      <c r="D3264" s="7">
        <v>9020</v>
      </c>
      <c r="E3264" s="7">
        <v>9000</v>
      </c>
      <c r="F3264" s="7">
        <v>9000</v>
      </c>
      <c r="G3264" s="34"/>
      <c r="H3264" s="35">
        <v>-15</v>
      </c>
      <c r="I3264" s="38">
        <f t="shared" si="50"/>
        <v>9021</v>
      </c>
    </row>
    <row r="3265" spans="1:9" x14ac:dyDescent="0.2">
      <c r="A3265" s="33">
        <v>40575</v>
      </c>
      <c r="B3265" s="36">
        <v>9035</v>
      </c>
      <c r="C3265" s="7">
        <v>9040</v>
      </c>
      <c r="D3265" s="7">
        <v>9042</v>
      </c>
      <c r="E3265" s="7">
        <v>9030</v>
      </c>
      <c r="F3265" s="7">
        <v>9030</v>
      </c>
      <c r="G3265" s="34"/>
      <c r="H3265" s="35">
        <v>-8</v>
      </c>
      <c r="I3265" s="38">
        <f t="shared" si="50"/>
        <v>9037.5</v>
      </c>
    </row>
    <row r="3266" spans="1:9" x14ac:dyDescent="0.2">
      <c r="A3266" s="33">
        <v>40574</v>
      </c>
      <c r="B3266" s="36">
        <v>9043</v>
      </c>
      <c r="C3266" s="7">
        <v>9053</v>
      </c>
      <c r="D3266" s="7">
        <v>9059</v>
      </c>
      <c r="E3266" s="7">
        <v>9040</v>
      </c>
      <c r="F3266" s="7">
        <v>9040</v>
      </c>
      <c r="G3266" s="34"/>
      <c r="H3266" s="35">
        <v>20</v>
      </c>
      <c r="I3266" s="38">
        <f t="shared" si="50"/>
        <v>9048</v>
      </c>
    </row>
    <row r="3267" spans="1:9" x14ac:dyDescent="0.2">
      <c r="A3267" s="33">
        <v>40571</v>
      </c>
      <c r="B3267" s="36">
        <v>9023</v>
      </c>
      <c r="C3267" s="7">
        <v>9033</v>
      </c>
      <c r="D3267" s="7">
        <v>9033</v>
      </c>
      <c r="E3267" s="7">
        <v>9015</v>
      </c>
      <c r="F3267" s="7">
        <v>9015</v>
      </c>
      <c r="G3267" s="34"/>
      <c r="H3267" s="35">
        <v>1</v>
      </c>
      <c r="I3267" s="38">
        <f t="shared" si="50"/>
        <v>9028</v>
      </c>
    </row>
    <row r="3268" spans="1:9" x14ac:dyDescent="0.2">
      <c r="A3268" s="33">
        <v>40570</v>
      </c>
      <c r="B3268" s="36">
        <v>9022</v>
      </c>
      <c r="C3268" s="7">
        <v>9032</v>
      </c>
      <c r="D3268" s="7">
        <v>9032</v>
      </c>
      <c r="E3268" s="7">
        <v>9015</v>
      </c>
      <c r="F3268" s="7">
        <v>9025</v>
      </c>
      <c r="G3268" s="34"/>
      <c r="H3268" s="35">
        <v>-6</v>
      </c>
      <c r="I3268" s="38">
        <f t="shared" si="50"/>
        <v>9027</v>
      </c>
    </row>
    <row r="3269" spans="1:9" x14ac:dyDescent="0.2">
      <c r="A3269" s="33">
        <v>40569</v>
      </c>
      <c r="B3269" s="36">
        <v>9028</v>
      </c>
      <c r="C3269" s="7">
        <v>9038</v>
      </c>
      <c r="D3269" s="7">
        <v>9041</v>
      </c>
      <c r="E3269" s="7">
        <v>9028</v>
      </c>
      <c r="F3269" s="7">
        <v>9040</v>
      </c>
      <c r="G3269" s="34"/>
      <c r="H3269" s="35">
        <v>-2</v>
      </c>
      <c r="I3269" s="38">
        <f t="shared" si="50"/>
        <v>9033</v>
      </c>
    </row>
    <row r="3270" spans="1:9" x14ac:dyDescent="0.2">
      <c r="A3270" s="33">
        <v>40568</v>
      </c>
      <c r="B3270" s="36">
        <v>9030</v>
      </c>
      <c r="C3270" s="7">
        <v>9043</v>
      </c>
      <c r="D3270" s="7">
        <v>9055</v>
      </c>
      <c r="E3270" s="7">
        <v>9030</v>
      </c>
      <c r="F3270" s="7">
        <v>9055</v>
      </c>
      <c r="G3270" s="34"/>
      <c r="H3270" s="35">
        <v>-28</v>
      </c>
      <c r="I3270" s="38">
        <f t="shared" si="50"/>
        <v>9036.5</v>
      </c>
    </row>
    <row r="3271" spans="1:9" x14ac:dyDescent="0.2">
      <c r="A3271" s="33">
        <v>40567</v>
      </c>
      <c r="B3271" s="36">
        <v>9058</v>
      </c>
      <c r="C3271" s="7">
        <v>9068</v>
      </c>
      <c r="D3271" s="7">
        <v>9060</v>
      </c>
      <c r="E3271" s="7">
        <v>9050</v>
      </c>
      <c r="F3271" s="7">
        <v>9050</v>
      </c>
      <c r="G3271" s="34"/>
      <c r="H3271" s="35">
        <v>1</v>
      </c>
      <c r="I3271" s="38">
        <f t="shared" si="50"/>
        <v>9063</v>
      </c>
    </row>
    <row r="3272" spans="1:9" x14ac:dyDescent="0.2">
      <c r="A3272" s="33">
        <v>40564</v>
      </c>
      <c r="B3272" s="36">
        <v>9057</v>
      </c>
      <c r="C3272" s="7">
        <v>9067</v>
      </c>
      <c r="D3272" s="7">
        <v>9070</v>
      </c>
      <c r="E3272" s="7">
        <v>9057</v>
      </c>
      <c r="F3272" s="7">
        <v>9070</v>
      </c>
      <c r="G3272" s="34"/>
      <c r="H3272" s="35">
        <v>2</v>
      </c>
      <c r="I3272" s="38">
        <f t="shared" si="50"/>
        <v>9062</v>
      </c>
    </row>
    <row r="3273" spans="1:9" x14ac:dyDescent="0.2">
      <c r="A3273" s="33">
        <v>40563</v>
      </c>
      <c r="B3273" s="36">
        <v>9055</v>
      </c>
      <c r="C3273" s="7">
        <v>9065</v>
      </c>
      <c r="D3273" s="7">
        <v>9069</v>
      </c>
      <c r="E3273" s="7">
        <v>9055</v>
      </c>
      <c r="F3273" s="7">
        <v>9060</v>
      </c>
      <c r="G3273" s="34"/>
      <c r="H3273" s="35">
        <v>10</v>
      </c>
      <c r="I3273" s="38">
        <f t="shared" si="50"/>
        <v>9060</v>
      </c>
    </row>
    <row r="3274" spans="1:9" x14ac:dyDescent="0.2">
      <c r="A3274" s="33">
        <v>40562</v>
      </c>
      <c r="B3274" s="36">
        <v>9045</v>
      </c>
      <c r="C3274" s="7">
        <v>9055</v>
      </c>
      <c r="D3274" s="7">
        <v>9050</v>
      </c>
      <c r="E3274" s="7">
        <v>9035</v>
      </c>
      <c r="F3274" s="7">
        <v>9045</v>
      </c>
      <c r="G3274" s="34"/>
      <c r="H3274" s="35">
        <v>-4</v>
      </c>
      <c r="I3274" s="38">
        <f t="shared" si="50"/>
        <v>9050</v>
      </c>
    </row>
    <row r="3275" spans="1:9" x14ac:dyDescent="0.2">
      <c r="A3275" s="33">
        <v>40561</v>
      </c>
      <c r="B3275" s="36">
        <v>9049</v>
      </c>
      <c r="C3275" s="7">
        <v>9059</v>
      </c>
      <c r="D3275" s="7">
        <v>9069</v>
      </c>
      <c r="E3275" s="7">
        <v>9049</v>
      </c>
      <c r="F3275" s="7">
        <v>9060</v>
      </c>
      <c r="G3275" s="34"/>
      <c r="H3275" s="35">
        <v>-6</v>
      </c>
      <c r="I3275" s="38">
        <f t="shared" si="50"/>
        <v>9054</v>
      </c>
    </row>
    <row r="3276" spans="1:9" x14ac:dyDescent="0.2">
      <c r="A3276" s="33">
        <v>40560</v>
      </c>
      <c r="B3276" s="36">
        <v>9055</v>
      </c>
      <c r="C3276" s="7">
        <v>9065</v>
      </c>
      <c r="D3276" s="7">
        <v>9065</v>
      </c>
      <c r="E3276" s="7">
        <v>9055</v>
      </c>
      <c r="F3276" s="7">
        <v>9060</v>
      </c>
      <c r="G3276" s="34"/>
      <c r="H3276" s="35">
        <v>8</v>
      </c>
      <c r="I3276" s="38">
        <f t="shared" si="50"/>
        <v>9060</v>
      </c>
    </row>
    <row r="3277" spans="1:9" x14ac:dyDescent="0.2">
      <c r="A3277" s="33">
        <v>40557</v>
      </c>
      <c r="B3277" s="36">
        <v>9047</v>
      </c>
      <c r="C3277" s="7">
        <v>9057</v>
      </c>
      <c r="D3277" s="7">
        <v>9064</v>
      </c>
      <c r="E3277" s="7">
        <v>9047</v>
      </c>
      <c r="F3277" s="7">
        <v>9060</v>
      </c>
      <c r="G3277" s="34"/>
      <c r="H3277" s="35">
        <v>2</v>
      </c>
      <c r="I3277" s="38">
        <f t="shared" si="50"/>
        <v>9052</v>
      </c>
    </row>
    <row r="3278" spans="1:9" x14ac:dyDescent="0.2">
      <c r="A3278" s="33">
        <v>40556</v>
      </c>
      <c r="B3278" s="36">
        <v>9045</v>
      </c>
      <c r="C3278" s="7">
        <v>9055</v>
      </c>
      <c r="D3278" s="7">
        <v>9045</v>
      </c>
      <c r="E3278" s="7">
        <v>9020</v>
      </c>
      <c r="F3278" s="7">
        <v>9020</v>
      </c>
      <c r="G3278" s="34"/>
      <c r="H3278" s="35">
        <v>20</v>
      </c>
      <c r="I3278" s="38">
        <f t="shared" si="50"/>
        <v>9050</v>
      </c>
    </row>
    <row r="3279" spans="1:9" x14ac:dyDescent="0.2">
      <c r="A3279" s="33">
        <v>40555</v>
      </c>
      <c r="B3279" s="36">
        <v>9025</v>
      </c>
      <c r="C3279" s="7">
        <v>9035</v>
      </c>
      <c r="D3279" s="7">
        <v>9055</v>
      </c>
      <c r="E3279" s="7">
        <v>9025</v>
      </c>
      <c r="F3279" s="7">
        <v>9050</v>
      </c>
      <c r="G3279" s="34"/>
      <c r="H3279" s="35">
        <v>-14</v>
      </c>
      <c r="I3279" s="38">
        <f t="shared" si="50"/>
        <v>9030</v>
      </c>
    </row>
    <row r="3280" spans="1:9" x14ac:dyDescent="0.2">
      <c r="A3280" s="33">
        <v>40554</v>
      </c>
      <c r="B3280" s="36">
        <v>9039</v>
      </c>
      <c r="C3280" s="7">
        <v>9049</v>
      </c>
      <c r="D3280" s="7">
        <v>9088</v>
      </c>
      <c r="E3280" s="7">
        <v>9039</v>
      </c>
      <c r="F3280" s="7">
        <v>9070</v>
      </c>
      <c r="G3280" s="34"/>
      <c r="H3280" s="35">
        <v>-7</v>
      </c>
      <c r="I3280" s="38">
        <f t="shared" si="50"/>
        <v>9044</v>
      </c>
    </row>
    <row r="3281" spans="1:9" x14ac:dyDescent="0.2">
      <c r="A3281" s="33">
        <v>40553</v>
      </c>
      <c r="B3281" s="36">
        <v>9046</v>
      </c>
      <c r="C3281" s="7">
        <v>9056</v>
      </c>
      <c r="D3281" s="7">
        <v>9057</v>
      </c>
      <c r="E3281" s="7">
        <v>9020</v>
      </c>
      <c r="F3281" s="7">
        <v>9020</v>
      </c>
      <c r="G3281" s="34"/>
      <c r="H3281" s="35">
        <v>21</v>
      </c>
      <c r="I3281" s="38">
        <f t="shared" si="50"/>
        <v>9051</v>
      </c>
    </row>
    <row r="3282" spans="1:9" x14ac:dyDescent="0.2">
      <c r="A3282" s="33">
        <v>40550</v>
      </c>
      <c r="B3282" s="36">
        <v>9025</v>
      </c>
      <c r="C3282" s="7">
        <v>9030</v>
      </c>
      <c r="D3282" s="7">
        <v>9025</v>
      </c>
      <c r="E3282" s="7">
        <v>8995</v>
      </c>
      <c r="F3282" s="7">
        <v>9000</v>
      </c>
      <c r="G3282" s="34"/>
      <c r="H3282" s="35">
        <v>30</v>
      </c>
      <c r="I3282" s="38">
        <f t="shared" si="50"/>
        <v>9027.5</v>
      </c>
    </row>
    <row r="3283" spans="1:9" x14ac:dyDescent="0.2">
      <c r="A3283" s="33">
        <v>40549</v>
      </c>
      <c r="B3283" s="36">
        <v>8995</v>
      </c>
      <c r="C3283" s="7">
        <v>9000</v>
      </c>
      <c r="D3283" s="7">
        <v>8996</v>
      </c>
      <c r="E3283" s="7">
        <v>8982</v>
      </c>
      <c r="F3283" s="7">
        <v>8985</v>
      </c>
      <c r="G3283" s="34"/>
      <c r="H3283" s="35">
        <v>14</v>
      </c>
      <c r="I3283" s="38">
        <f t="shared" si="50"/>
        <v>8997.5</v>
      </c>
    </row>
    <row r="3284" spans="1:9" x14ac:dyDescent="0.2">
      <c r="A3284" s="33">
        <v>40548</v>
      </c>
      <c r="B3284" s="36">
        <v>8981</v>
      </c>
      <c r="C3284" s="7">
        <v>8987</v>
      </c>
      <c r="D3284" s="7">
        <v>8990</v>
      </c>
      <c r="E3284" s="7">
        <v>8975</v>
      </c>
      <c r="F3284" s="7">
        <v>8977</v>
      </c>
      <c r="G3284" s="34"/>
      <c r="H3284" s="35">
        <v>-1</v>
      </c>
      <c r="I3284" s="38">
        <f t="shared" si="50"/>
        <v>8984</v>
      </c>
    </row>
    <row r="3285" spans="1:9" x14ac:dyDescent="0.2">
      <c r="A3285" s="33">
        <v>40547</v>
      </c>
      <c r="B3285" s="36">
        <v>8982</v>
      </c>
      <c r="C3285" s="7">
        <v>8990</v>
      </c>
      <c r="D3285" s="7">
        <v>8982</v>
      </c>
      <c r="E3285" s="7">
        <v>8970</v>
      </c>
      <c r="F3285" s="7">
        <v>8975</v>
      </c>
      <c r="G3285" s="34"/>
      <c r="H3285" s="35">
        <v>-3</v>
      </c>
      <c r="I3285" s="38">
        <f t="shared" si="50"/>
        <v>8986</v>
      </c>
    </row>
    <row r="3286" spans="1:9" x14ac:dyDescent="0.2">
      <c r="A3286" s="33">
        <v>40546</v>
      </c>
      <c r="B3286" s="36">
        <v>8985</v>
      </c>
      <c r="C3286" s="7">
        <v>8995</v>
      </c>
      <c r="D3286" s="7">
        <v>8985</v>
      </c>
      <c r="E3286" s="7">
        <v>8955</v>
      </c>
      <c r="F3286" s="7">
        <v>8980</v>
      </c>
      <c r="G3286" s="34"/>
      <c r="H3286" s="35">
        <v>-20</v>
      </c>
      <c r="I3286" s="38">
        <f t="shared" si="50"/>
        <v>8990</v>
      </c>
    </row>
    <row r="3287" spans="1:9" x14ac:dyDescent="0.2">
      <c r="A3287" s="33">
        <v>40543</v>
      </c>
      <c r="B3287" s="36">
        <v>9005</v>
      </c>
      <c r="C3287" s="7">
        <v>9015</v>
      </c>
      <c r="D3287" s="7">
        <v>9005</v>
      </c>
      <c r="E3287" s="7">
        <v>8990</v>
      </c>
      <c r="F3287" s="7">
        <v>8992</v>
      </c>
      <c r="G3287" s="34"/>
      <c r="H3287" s="35">
        <v>15</v>
      </c>
      <c r="I3287" s="38">
        <f t="shared" si="50"/>
        <v>9010</v>
      </c>
    </row>
    <row r="3288" spans="1:9" x14ac:dyDescent="0.2">
      <c r="A3288" s="33">
        <v>40542</v>
      </c>
      <c r="B3288" s="36">
        <v>8990</v>
      </c>
      <c r="C3288" s="7">
        <v>9000</v>
      </c>
      <c r="D3288" s="7">
        <v>8990</v>
      </c>
      <c r="E3288" s="7">
        <v>8970</v>
      </c>
      <c r="F3288" s="7">
        <v>8980</v>
      </c>
      <c r="G3288" s="34"/>
      <c r="H3288" s="35">
        <v>-10</v>
      </c>
      <c r="I3288" s="38">
        <f t="shared" si="50"/>
        <v>8995</v>
      </c>
    </row>
    <row r="3289" spans="1:9" x14ac:dyDescent="0.2">
      <c r="A3289" s="33">
        <v>40541</v>
      </c>
      <c r="B3289" s="36">
        <v>9000</v>
      </c>
      <c r="C3289" s="7">
        <v>9003</v>
      </c>
      <c r="D3289" s="7">
        <v>9020</v>
      </c>
      <c r="E3289" s="7">
        <v>8995</v>
      </c>
      <c r="F3289" s="7">
        <v>9015</v>
      </c>
      <c r="G3289" s="34"/>
      <c r="H3289" s="35">
        <v>-15</v>
      </c>
      <c r="I3289" s="38">
        <f t="shared" si="50"/>
        <v>9001.5</v>
      </c>
    </row>
    <row r="3290" spans="1:9" x14ac:dyDescent="0.2">
      <c r="A3290" s="33">
        <v>40540</v>
      </c>
      <c r="B3290" s="36">
        <v>9015</v>
      </c>
      <c r="C3290" s="7">
        <v>9020</v>
      </c>
      <c r="D3290" s="7">
        <v>9035</v>
      </c>
      <c r="E3290" s="7">
        <v>9015</v>
      </c>
      <c r="F3290" s="7">
        <v>9033</v>
      </c>
      <c r="G3290" s="34"/>
      <c r="H3290" s="35">
        <v>-20</v>
      </c>
      <c r="I3290" s="38">
        <f t="shared" si="50"/>
        <v>9017.5</v>
      </c>
    </row>
    <row r="3291" spans="1:9" x14ac:dyDescent="0.2">
      <c r="A3291" s="33">
        <v>40539</v>
      </c>
      <c r="B3291" s="36">
        <v>9035</v>
      </c>
      <c r="C3291" s="7">
        <v>9041</v>
      </c>
      <c r="D3291" s="7">
        <v>9040</v>
      </c>
      <c r="E3291" s="7">
        <v>9030</v>
      </c>
      <c r="F3291" s="7">
        <v>9030</v>
      </c>
      <c r="G3291" s="34"/>
      <c r="H3291" s="35">
        <v>-2</v>
      </c>
      <c r="I3291" s="38">
        <f t="shared" si="50"/>
        <v>9038</v>
      </c>
    </row>
    <row r="3292" spans="1:9" x14ac:dyDescent="0.2">
      <c r="A3292" s="33">
        <v>40536</v>
      </c>
      <c r="B3292" s="36">
        <v>9037</v>
      </c>
      <c r="C3292" s="7">
        <v>9047</v>
      </c>
      <c r="D3292" s="7"/>
      <c r="E3292" s="7"/>
      <c r="F3292" s="7"/>
      <c r="G3292" s="34"/>
      <c r="H3292" s="35">
        <v>0</v>
      </c>
      <c r="I3292" s="38">
        <f t="shared" si="50"/>
        <v>9042</v>
      </c>
    </row>
    <row r="3293" spans="1:9" x14ac:dyDescent="0.2">
      <c r="A3293" s="33">
        <v>40535</v>
      </c>
      <c r="B3293" s="36">
        <v>9037</v>
      </c>
      <c r="C3293" s="7">
        <v>9047</v>
      </c>
      <c r="D3293" s="7">
        <v>9048</v>
      </c>
      <c r="E3293" s="7">
        <v>9037</v>
      </c>
      <c r="F3293" s="7">
        <v>9043</v>
      </c>
      <c r="G3293" s="34"/>
      <c r="H3293" s="35">
        <v>0</v>
      </c>
      <c r="I3293" s="38">
        <f t="shared" si="50"/>
        <v>9042</v>
      </c>
    </row>
    <row r="3294" spans="1:9" x14ac:dyDescent="0.2">
      <c r="A3294" s="33">
        <v>40534</v>
      </c>
      <c r="B3294" s="36">
        <v>9037</v>
      </c>
      <c r="C3294" s="7">
        <v>9047</v>
      </c>
      <c r="D3294" s="7">
        <v>9050</v>
      </c>
      <c r="E3294" s="7">
        <v>9037</v>
      </c>
      <c r="F3294" s="7">
        <v>9042</v>
      </c>
      <c r="G3294" s="34"/>
      <c r="H3294" s="35">
        <v>0</v>
      </c>
      <c r="I3294" s="38">
        <f t="shared" si="50"/>
        <v>9042</v>
      </c>
    </row>
    <row r="3295" spans="1:9" x14ac:dyDescent="0.2">
      <c r="A3295" s="33">
        <v>40533</v>
      </c>
      <c r="B3295" s="36">
        <v>9037</v>
      </c>
      <c r="C3295" s="7">
        <v>9047</v>
      </c>
      <c r="D3295" s="7">
        <v>9044</v>
      </c>
      <c r="E3295" s="7">
        <v>9037</v>
      </c>
      <c r="F3295" s="7">
        <v>9040</v>
      </c>
      <c r="G3295" s="34"/>
      <c r="H3295" s="35">
        <v>-1</v>
      </c>
      <c r="I3295" s="38">
        <f t="shared" si="50"/>
        <v>9042</v>
      </c>
    </row>
    <row r="3296" spans="1:9" x14ac:dyDescent="0.2">
      <c r="A3296" s="33">
        <v>40532</v>
      </c>
      <c r="B3296" s="36">
        <v>9038</v>
      </c>
      <c r="C3296" s="7">
        <v>9048</v>
      </c>
      <c r="D3296" s="7">
        <v>9048</v>
      </c>
      <c r="E3296" s="7">
        <v>9038</v>
      </c>
      <c r="F3296" s="7">
        <v>9042</v>
      </c>
      <c r="G3296" s="34"/>
      <c r="H3296" s="35">
        <v>6</v>
      </c>
      <c r="I3296" s="38">
        <f t="shared" ref="I3296:I3359" si="51">+(B3296+C3296)*0.5</f>
        <v>9043</v>
      </c>
    </row>
    <row r="3297" spans="1:9" x14ac:dyDescent="0.2">
      <c r="A3297" s="33">
        <v>40529</v>
      </c>
      <c r="B3297" s="36">
        <v>9032</v>
      </c>
      <c r="C3297" s="7">
        <v>9037</v>
      </c>
      <c r="D3297" s="7">
        <v>9035</v>
      </c>
      <c r="E3297" s="7">
        <v>9025</v>
      </c>
      <c r="F3297" s="7">
        <v>9035</v>
      </c>
      <c r="G3297" s="34"/>
      <c r="H3297" s="35">
        <v>0</v>
      </c>
      <c r="I3297" s="38">
        <f t="shared" si="51"/>
        <v>9034.5</v>
      </c>
    </row>
    <row r="3298" spans="1:9" x14ac:dyDescent="0.2">
      <c r="A3298" s="33">
        <v>40528</v>
      </c>
      <c r="B3298" s="36">
        <v>9032</v>
      </c>
      <c r="C3298" s="7">
        <v>9037</v>
      </c>
      <c r="D3298" s="7">
        <v>9038</v>
      </c>
      <c r="E3298" s="7">
        <v>9025</v>
      </c>
      <c r="F3298" s="7">
        <v>9025</v>
      </c>
      <c r="G3298" s="34"/>
      <c r="H3298" s="35">
        <v>12</v>
      </c>
      <c r="I3298" s="38">
        <f t="shared" si="51"/>
        <v>9034.5</v>
      </c>
    </row>
    <row r="3299" spans="1:9" x14ac:dyDescent="0.2">
      <c r="A3299" s="33">
        <v>40527</v>
      </c>
      <c r="B3299" s="36">
        <v>9020</v>
      </c>
      <c r="C3299" s="7">
        <v>9025</v>
      </c>
      <c r="D3299" s="7">
        <v>9023</v>
      </c>
      <c r="E3299" s="7">
        <v>9010</v>
      </c>
      <c r="F3299" s="7">
        <v>9012</v>
      </c>
      <c r="G3299" s="34"/>
      <c r="H3299" s="35">
        <v>12</v>
      </c>
      <c r="I3299" s="38">
        <f t="shared" si="51"/>
        <v>9022.5</v>
      </c>
    </row>
    <row r="3300" spans="1:9" x14ac:dyDescent="0.2">
      <c r="A3300" s="33">
        <v>40526</v>
      </c>
      <c r="B3300" s="36">
        <v>9008</v>
      </c>
      <c r="C3300" s="7">
        <v>9011</v>
      </c>
      <c r="D3300" s="7">
        <v>9010</v>
      </c>
      <c r="E3300" s="7">
        <v>9005</v>
      </c>
      <c r="F3300" s="7">
        <v>9010</v>
      </c>
      <c r="G3300" s="34"/>
      <c r="H3300" s="35">
        <v>-7</v>
      </c>
      <c r="I3300" s="38">
        <f t="shared" si="51"/>
        <v>9009.5</v>
      </c>
    </row>
    <row r="3301" spans="1:9" x14ac:dyDescent="0.2">
      <c r="A3301" s="33">
        <v>40525</v>
      </c>
      <c r="B3301" s="36">
        <v>9015</v>
      </c>
      <c r="C3301" s="7">
        <v>9018</v>
      </c>
      <c r="D3301" s="7">
        <v>9021</v>
      </c>
      <c r="E3301" s="7">
        <v>9014</v>
      </c>
      <c r="F3301" s="7">
        <v>9015</v>
      </c>
      <c r="G3301" s="34"/>
      <c r="H3301" s="35">
        <v>-5</v>
      </c>
      <c r="I3301" s="38">
        <f t="shared" si="51"/>
        <v>9016.5</v>
      </c>
    </row>
    <row r="3302" spans="1:9" x14ac:dyDescent="0.2">
      <c r="A3302" s="33">
        <v>40522</v>
      </c>
      <c r="B3302" s="36">
        <v>9020</v>
      </c>
      <c r="C3302" s="7">
        <v>9024</v>
      </c>
      <c r="D3302" s="7">
        <v>9022</v>
      </c>
      <c r="E3302" s="7">
        <v>9010</v>
      </c>
      <c r="F3302" s="7">
        <v>9013</v>
      </c>
      <c r="G3302" s="34"/>
      <c r="H3302" s="35">
        <v>6</v>
      </c>
      <c r="I3302" s="38">
        <f t="shared" si="51"/>
        <v>9022</v>
      </c>
    </row>
    <row r="3303" spans="1:9" x14ac:dyDescent="0.2">
      <c r="A3303" s="33">
        <v>40521</v>
      </c>
      <c r="B3303" s="36">
        <v>9014</v>
      </c>
      <c r="C3303" s="7">
        <v>9017</v>
      </c>
      <c r="D3303" s="7">
        <v>9015</v>
      </c>
      <c r="E3303" s="7">
        <v>9001</v>
      </c>
      <c r="F3303" s="7">
        <v>9010</v>
      </c>
      <c r="G3303" s="34"/>
      <c r="H3303" s="35">
        <v>-4</v>
      </c>
      <c r="I3303" s="38">
        <f t="shared" si="51"/>
        <v>9015.5</v>
      </c>
    </row>
    <row r="3304" spans="1:9" x14ac:dyDescent="0.2">
      <c r="A3304" s="33">
        <v>40520</v>
      </c>
      <c r="B3304" s="36">
        <v>9018</v>
      </c>
      <c r="C3304" s="7">
        <v>9022</v>
      </c>
      <c r="D3304" s="7">
        <v>9022</v>
      </c>
      <c r="E3304" s="7">
        <v>9010</v>
      </c>
      <c r="F3304" s="7">
        <v>9010</v>
      </c>
      <c r="G3304" s="34"/>
      <c r="H3304" s="35">
        <v>13</v>
      </c>
      <c r="I3304" s="38">
        <f t="shared" si="51"/>
        <v>9020</v>
      </c>
    </row>
    <row r="3305" spans="1:9" x14ac:dyDescent="0.2">
      <c r="A3305" s="33">
        <v>40519</v>
      </c>
      <c r="B3305" s="36">
        <v>9005</v>
      </c>
      <c r="C3305" s="7">
        <v>9015</v>
      </c>
      <c r="D3305" s="7"/>
      <c r="E3305" s="7"/>
      <c r="F3305" s="7"/>
      <c r="G3305" s="34"/>
      <c r="H3305" s="35">
        <v>0</v>
      </c>
      <c r="I3305" s="38">
        <f t="shared" si="51"/>
        <v>9010</v>
      </c>
    </row>
    <row r="3306" spans="1:9" x14ac:dyDescent="0.2">
      <c r="A3306" s="33">
        <v>40518</v>
      </c>
      <c r="B3306" s="36">
        <v>9005</v>
      </c>
      <c r="C3306" s="7">
        <v>9015</v>
      </c>
      <c r="D3306" s="7">
        <v>9010</v>
      </c>
      <c r="E3306" s="7">
        <v>8990</v>
      </c>
      <c r="F3306" s="7">
        <v>8990</v>
      </c>
      <c r="G3306" s="34"/>
      <c r="H3306" s="35">
        <v>-10</v>
      </c>
      <c r="I3306" s="38">
        <f t="shared" si="51"/>
        <v>9010</v>
      </c>
    </row>
    <row r="3307" spans="1:9" x14ac:dyDescent="0.2">
      <c r="A3307" s="33">
        <v>40515</v>
      </c>
      <c r="B3307" s="36">
        <v>9015</v>
      </c>
      <c r="C3307" s="7">
        <v>9020</v>
      </c>
      <c r="D3307" s="7">
        <v>9018</v>
      </c>
      <c r="E3307" s="7">
        <v>9000</v>
      </c>
      <c r="F3307" s="7">
        <v>9000</v>
      </c>
      <c r="G3307" s="34"/>
      <c r="H3307" s="35">
        <v>2</v>
      </c>
      <c r="I3307" s="38">
        <f t="shared" si="51"/>
        <v>9017.5</v>
      </c>
    </row>
    <row r="3308" spans="1:9" x14ac:dyDescent="0.2">
      <c r="A3308" s="33">
        <v>40514</v>
      </c>
      <c r="B3308" s="36">
        <v>9013</v>
      </c>
      <c r="C3308" s="7">
        <v>9018</v>
      </c>
      <c r="D3308" s="7">
        <v>9022</v>
      </c>
      <c r="E3308" s="7">
        <v>9000</v>
      </c>
      <c r="F3308" s="7">
        <v>9000</v>
      </c>
      <c r="G3308" s="34"/>
      <c r="H3308" s="35">
        <v>-4</v>
      </c>
      <c r="I3308" s="38">
        <f t="shared" si="51"/>
        <v>9015.5</v>
      </c>
    </row>
    <row r="3309" spans="1:9" x14ac:dyDescent="0.2">
      <c r="A3309" s="33">
        <v>40513</v>
      </c>
      <c r="B3309" s="36">
        <v>9017</v>
      </c>
      <c r="C3309" s="7">
        <v>9020</v>
      </c>
      <c r="D3309" s="7">
        <v>9040</v>
      </c>
      <c r="E3309" s="7">
        <v>9015</v>
      </c>
      <c r="F3309" s="7">
        <v>9035</v>
      </c>
      <c r="G3309" s="34"/>
      <c r="H3309" s="35">
        <v>-12</v>
      </c>
      <c r="I3309" s="38">
        <f t="shared" si="51"/>
        <v>9018.5</v>
      </c>
    </row>
    <row r="3310" spans="1:9" x14ac:dyDescent="0.2">
      <c r="A3310" s="33">
        <v>40512</v>
      </c>
      <c r="B3310" s="36">
        <v>9029</v>
      </c>
      <c r="C3310" s="7">
        <v>9039</v>
      </c>
      <c r="D3310" s="7">
        <v>9036</v>
      </c>
      <c r="E3310" s="7">
        <v>9010</v>
      </c>
      <c r="F3310" s="7">
        <v>9010</v>
      </c>
      <c r="G3310" s="34"/>
      <c r="H3310" s="35">
        <v>16</v>
      </c>
      <c r="I3310" s="38">
        <f t="shared" si="51"/>
        <v>9034</v>
      </c>
    </row>
    <row r="3311" spans="1:9" x14ac:dyDescent="0.2">
      <c r="A3311" s="33">
        <v>40511</v>
      </c>
      <c r="B3311" s="36">
        <v>9013</v>
      </c>
      <c r="C3311" s="7">
        <v>9018</v>
      </c>
      <c r="D3311" s="7">
        <v>9038</v>
      </c>
      <c r="E3311" s="7">
        <v>9000</v>
      </c>
      <c r="F3311" s="7">
        <v>9010</v>
      </c>
      <c r="G3311" s="34"/>
      <c r="H3311" s="35">
        <v>13</v>
      </c>
      <c r="I3311" s="38">
        <f t="shared" si="51"/>
        <v>9015.5</v>
      </c>
    </row>
    <row r="3312" spans="1:9" x14ac:dyDescent="0.2">
      <c r="A3312" s="33">
        <v>40508</v>
      </c>
      <c r="B3312" s="36">
        <v>9000</v>
      </c>
      <c r="C3312" s="7">
        <v>9010</v>
      </c>
      <c r="D3312" s="7">
        <v>9000</v>
      </c>
      <c r="E3312" s="7">
        <v>8960</v>
      </c>
      <c r="F3312" s="7">
        <v>8960</v>
      </c>
      <c r="G3312" s="34"/>
      <c r="H3312" s="35">
        <v>35</v>
      </c>
      <c r="I3312" s="38">
        <f t="shared" si="51"/>
        <v>9005</v>
      </c>
    </row>
    <row r="3313" spans="1:9" x14ac:dyDescent="0.2">
      <c r="A3313" s="33">
        <v>40507</v>
      </c>
      <c r="B3313" s="36">
        <v>8965</v>
      </c>
      <c r="C3313" s="7">
        <v>8970</v>
      </c>
      <c r="D3313" s="7">
        <v>8965</v>
      </c>
      <c r="E3313" s="7">
        <v>8953</v>
      </c>
      <c r="F3313" s="7">
        <v>8960</v>
      </c>
      <c r="G3313" s="34"/>
      <c r="H3313" s="35">
        <v>5</v>
      </c>
      <c r="I3313" s="38">
        <f t="shared" si="51"/>
        <v>8967.5</v>
      </c>
    </row>
    <row r="3314" spans="1:9" x14ac:dyDescent="0.2">
      <c r="A3314" s="33">
        <v>40506</v>
      </c>
      <c r="B3314" s="36">
        <v>8960</v>
      </c>
      <c r="C3314" s="7">
        <v>8965</v>
      </c>
      <c r="D3314" s="7">
        <v>8985</v>
      </c>
      <c r="E3314" s="7">
        <v>8940</v>
      </c>
      <c r="F3314" s="7">
        <v>8985</v>
      </c>
      <c r="G3314" s="34"/>
      <c r="H3314" s="35">
        <v>-10</v>
      </c>
      <c r="I3314" s="38">
        <f t="shared" si="51"/>
        <v>8962.5</v>
      </c>
    </row>
    <row r="3315" spans="1:9" x14ac:dyDescent="0.2">
      <c r="A3315" s="33">
        <v>40505</v>
      </c>
      <c r="B3315" s="36">
        <v>8970</v>
      </c>
      <c r="C3315" s="7">
        <v>8975</v>
      </c>
      <c r="D3315" s="7">
        <v>8975</v>
      </c>
      <c r="E3315" s="7">
        <v>8930</v>
      </c>
      <c r="F3315" s="7">
        <v>8930</v>
      </c>
      <c r="G3315" s="34"/>
      <c r="H3315" s="35">
        <v>42</v>
      </c>
      <c r="I3315" s="38">
        <f t="shared" si="51"/>
        <v>8972.5</v>
      </c>
    </row>
    <row r="3316" spans="1:9" x14ac:dyDescent="0.2">
      <c r="A3316" s="33">
        <v>40504</v>
      </c>
      <c r="B3316" s="36">
        <v>8928</v>
      </c>
      <c r="C3316" s="7">
        <v>8931</v>
      </c>
      <c r="D3316" s="7">
        <v>8931</v>
      </c>
      <c r="E3316" s="7">
        <v>8920</v>
      </c>
      <c r="F3316" s="7">
        <v>8920</v>
      </c>
      <c r="G3316" s="34"/>
      <c r="H3316" s="35">
        <v>-2</v>
      </c>
      <c r="I3316" s="38">
        <f t="shared" si="51"/>
        <v>8929.5</v>
      </c>
    </row>
    <row r="3317" spans="1:9" x14ac:dyDescent="0.2">
      <c r="A3317" s="33">
        <v>40501</v>
      </c>
      <c r="B3317" s="36">
        <v>8930</v>
      </c>
      <c r="C3317" s="7">
        <v>8933</v>
      </c>
      <c r="D3317" s="7">
        <v>8936</v>
      </c>
      <c r="E3317" s="7">
        <v>8923</v>
      </c>
      <c r="F3317" s="7">
        <v>8933</v>
      </c>
      <c r="G3317" s="34"/>
      <c r="H3317" s="35">
        <v>-10</v>
      </c>
      <c r="I3317" s="38">
        <f t="shared" si="51"/>
        <v>8931.5</v>
      </c>
    </row>
    <row r="3318" spans="1:9" x14ac:dyDescent="0.2">
      <c r="A3318" s="33">
        <v>40500</v>
      </c>
      <c r="B3318" s="36">
        <v>8940</v>
      </c>
      <c r="C3318" s="7">
        <v>8945</v>
      </c>
      <c r="D3318" s="7">
        <v>8958</v>
      </c>
      <c r="E3318" s="7">
        <v>8940</v>
      </c>
      <c r="F3318" s="7">
        <v>8955</v>
      </c>
      <c r="G3318" s="34"/>
      <c r="H3318" s="35">
        <v>-3</v>
      </c>
      <c r="I3318" s="38">
        <f t="shared" si="51"/>
        <v>8942.5</v>
      </c>
    </row>
    <row r="3319" spans="1:9" x14ac:dyDescent="0.2">
      <c r="A3319" s="33">
        <v>40499</v>
      </c>
      <c r="B3319" s="36">
        <v>8943</v>
      </c>
      <c r="C3319" s="7">
        <v>8948</v>
      </c>
      <c r="D3319" s="7"/>
      <c r="E3319" s="7"/>
      <c r="F3319" s="7"/>
      <c r="G3319" s="34"/>
      <c r="H3319" s="35">
        <v>0</v>
      </c>
      <c r="I3319" s="38">
        <f t="shared" si="51"/>
        <v>8945.5</v>
      </c>
    </row>
    <row r="3320" spans="1:9" x14ac:dyDescent="0.2">
      <c r="A3320" s="33">
        <v>40498</v>
      </c>
      <c r="B3320" s="36">
        <v>8943</v>
      </c>
      <c r="C3320" s="7">
        <v>8948</v>
      </c>
      <c r="D3320" s="7">
        <v>8970</v>
      </c>
      <c r="E3320" s="7">
        <v>8940</v>
      </c>
      <c r="F3320" s="7">
        <v>8968</v>
      </c>
      <c r="G3320" s="34"/>
      <c r="H3320" s="35">
        <v>-22</v>
      </c>
      <c r="I3320" s="38">
        <f t="shared" si="51"/>
        <v>8945.5</v>
      </c>
    </row>
    <row r="3321" spans="1:9" x14ac:dyDescent="0.2">
      <c r="A3321" s="33">
        <v>40497</v>
      </c>
      <c r="B3321" s="36">
        <v>8965</v>
      </c>
      <c r="C3321" s="7">
        <v>8970</v>
      </c>
      <c r="D3321" s="7">
        <v>8965</v>
      </c>
      <c r="E3321" s="7">
        <v>8925</v>
      </c>
      <c r="F3321" s="7">
        <v>8925</v>
      </c>
      <c r="G3321" s="34"/>
      <c r="H3321" s="35">
        <v>43</v>
      </c>
      <c r="I3321" s="38">
        <f t="shared" si="51"/>
        <v>8967.5</v>
      </c>
    </row>
    <row r="3322" spans="1:9" x14ac:dyDescent="0.2">
      <c r="A3322" s="33">
        <v>40494</v>
      </c>
      <c r="B3322" s="36">
        <v>8922</v>
      </c>
      <c r="C3322" s="7">
        <v>8927</v>
      </c>
      <c r="D3322" s="7">
        <v>8927</v>
      </c>
      <c r="E3322" s="7">
        <v>8900</v>
      </c>
      <c r="F3322" s="7">
        <v>8900</v>
      </c>
      <c r="G3322" s="34"/>
      <c r="H3322" s="35">
        <v>27</v>
      </c>
      <c r="I3322" s="38">
        <f t="shared" si="51"/>
        <v>8924.5</v>
      </c>
    </row>
    <row r="3323" spans="1:9" x14ac:dyDescent="0.2">
      <c r="A3323" s="33">
        <v>40493</v>
      </c>
      <c r="B3323" s="36">
        <v>8895</v>
      </c>
      <c r="C3323" s="7">
        <v>8900</v>
      </c>
      <c r="D3323" s="7">
        <v>8897</v>
      </c>
      <c r="E3323" s="7">
        <v>8880</v>
      </c>
      <c r="F3323" s="7">
        <v>8880</v>
      </c>
      <c r="G3323" s="34"/>
      <c r="H3323" s="35">
        <v>7</v>
      </c>
      <c r="I3323" s="38">
        <f t="shared" si="51"/>
        <v>8897.5</v>
      </c>
    </row>
    <row r="3324" spans="1:9" x14ac:dyDescent="0.2">
      <c r="A3324" s="33">
        <v>40492</v>
      </c>
      <c r="B3324" s="36">
        <v>8888</v>
      </c>
      <c r="C3324" s="7">
        <v>8890</v>
      </c>
      <c r="D3324" s="7">
        <v>8910</v>
      </c>
      <c r="E3324" s="7">
        <v>8880</v>
      </c>
      <c r="F3324" s="7">
        <v>8905</v>
      </c>
      <c r="G3324" s="34"/>
      <c r="H3324" s="35">
        <v>-14</v>
      </c>
      <c r="I3324" s="38">
        <f t="shared" si="51"/>
        <v>8889</v>
      </c>
    </row>
    <row r="3325" spans="1:9" x14ac:dyDescent="0.2">
      <c r="A3325" s="33">
        <v>40491</v>
      </c>
      <c r="B3325" s="36">
        <v>8902</v>
      </c>
      <c r="C3325" s="7">
        <v>8905</v>
      </c>
      <c r="D3325" s="7">
        <v>8912</v>
      </c>
      <c r="E3325" s="7">
        <v>8899</v>
      </c>
      <c r="F3325" s="7">
        <v>8908</v>
      </c>
      <c r="G3325" s="34"/>
      <c r="H3325" s="35">
        <v>0</v>
      </c>
      <c r="I3325" s="38">
        <f t="shared" si="51"/>
        <v>8903.5</v>
      </c>
    </row>
    <row r="3326" spans="1:9" x14ac:dyDescent="0.2">
      <c r="A3326" s="33">
        <v>40490</v>
      </c>
      <c r="B3326" s="36">
        <v>8902</v>
      </c>
      <c r="C3326" s="7">
        <v>8907</v>
      </c>
      <c r="D3326" s="7">
        <v>8913</v>
      </c>
      <c r="E3326" s="7">
        <v>8895</v>
      </c>
      <c r="F3326" s="7">
        <v>8895</v>
      </c>
      <c r="G3326" s="34"/>
      <c r="H3326" s="35">
        <v>2</v>
      </c>
      <c r="I3326" s="38">
        <f t="shared" si="51"/>
        <v>8904.5</v>
      </c>
    </row>
    <row r="3327" spans="1:9" x14ac:dyDescent="0.2">
      <c r="A3327" s="33">
        <v>40487</v>
      </c>
      <c r="B3327" s="36">
        <v>8900</v>
      </c>
      <c r="C3327" s="7">
        <v>8910</v>
      </c>
      <c r="D3327" s="7">
        <v>8900</v>
      </c>
      <c r="E3327" s="7">
        <v>8895</v>
      </c>
      <c r="F3327" s="7">
        <v>8895</v>
      </c>
      <c r="G3327" s="34"/>
      <c r="H3327" s="35">
        <v>-5</v>
      </c>
      <c r="I3327" s="38">
        <f t="shared" si="51"/>
        <v>8905</v>
      </c>
    </row>
    <row r="3328" spans="1:9" x14ac:dyDescent="0.2">
      <c r="A3328" s="33">
        <v>40486</v>
      </c>
      <c r="B3328" s="36">
        <v>8905</v>
      </c>
      <c r="C3328" s="7">
        <v>8915</v>
      </c>
      <c r="D3328" s="7">
        <v>8912</v>
      </c>
      <c r="E3328" s="7">
        <v>8895</v>
      </c>
      <c r="F3328" s="7">
        <v>8905</v>
      </c>
      <c r="G3328" s="34"/>
      <c r="H3328" s="35">
        <v>-16</v>
      </c>
      <c r="I3328" s="38">
        <f t="shared" si="51"/>
        <v>8910</v>
      </c>
    </row>
    <row r="3329" spans="1:9" x14ac:dyDescent="0.2">
      <c r="A3329" s="33">
        <v>40485</v>
      </c>
      <c r="B3329" s="36">
        <v>8921</v>
      </c>
      <c r="C3329" s="7">
        <v>8923</v>
      </c>
      <c r="D3329" s="7">
        <v>8923</v>
      </c>
      <c r="E3329" s="7">
        <v>8915</v>
      </c>
      <c r="F3329" s="7">
        <v>8920</v>
      </c>
      <c r="G3329" s="34"/>
      <c r="H3329" s="35">
        <v>-2</v>
      </c>
      <c r="I3329" s="38">
        <f t="shared" si="51"/>
        <v>8922</v>
      </c>
    </row>
    <row r="3330" spans="1:9" x14ac:dyDescent="0.2">
      <c r="A3330" s="33">
        <v>40484</v>
      </c>
      <c r="B3330" s="36">
        <v>8923</v>
      </c>
      <c r="C3330" s="7">
        <v>8925</v>
      </c>
      <c r="D3330" s="7">
        <v>8928</v>
      </c>
      <c r="E3330" s="7">
        <v>8919</v>
      </c>
      <c r="F3330" s="7">
        <v>8925</v>
      </c>
      <c r="G3330" s="34"/>
      <c r="H3330" s="35">
        <v>2</v>
      </c>
      <c r="I3330" s="38">
        <f t="shared" si="51"/>
        <v>8924</v>
      </c>
    </row>
    <row r="3331" spans="1:9" x14ac:dyDescent="0.2">
      <c r="A3331" s="33">
        <v>40483</v>
      </c>
      <c r="B3331" s="36">
        <v>8921</v>
      </c>
      <c r="C3331" s="7">
        <v>8925</v>
      </c>
      <c r="D3331" s="7">
        <v>8925</v>
      </c>
      <c r="E3331" s="7">
        <v>8918</v>
      </c>
      <c r="F3331" s="7">
        <v>8925</v>
      </c>
      <c r="G3331" s="34"/>
      <c r="H3331" s="35">
        <v>-14</v>
      </c>
      <c r="I3331" s="38">
        <f t="shared" si="51"/>
        <v>8923</v>
      </c>
    </row>
    <row r="3332" spans="1:9" x14ac:dyDescent="0.2">
      <c r="A3332" s="33">
        <v>40480</v>
      </c>
      <c r="B3332" s="36">
        <v>8935</v>
      </c>
      <c r="C3332" s="7">
        <v>8940</v>
      </c>
      <c r="D3332" s="7">
        <v>8935</v>
      </c>
      <c r="E3332" s="7">
        <v>8925</v>
      </c>
      <c r="F3332" s="7">
        <v>8927</v>
      </c>
      <c r="G3332" s="34"/>
      <c r="H3332" s="35">
        <v>2</v>
      </c>
      <c r="I3332" s="38">
        <f t="shared" si="51"/>
        <v>8937.5</v>
      </c>
    </row>
    <row r="3333" spans="1:9" x14ac:dyDescent="0.2">
      <c r="A3333" s="33">
        <v>40479</v>
      </c>
      <c r="B3333" s="36">
        <v>8933</v>
      </c>
      <c r="C3333" s="7">
        <v>8935</v>
      </c>
      <c r="D3333" s="7">
        <v>8940</v>
      </c>
      <c r="E3333" s="7">
        <v>8928</v>
      </c>
      <c r="F3333" s="7">
        <v>8935</v>
      </c>
      <c r="G3333" s="34"/>
      <c r="H3333" s="35">
        <v>-5</v>
      </c>
      <c r="I3333" s="38">
        <f t="shared" si="51"/>
        <v>8934</v>
      </c>
    </row>
    <row r="3334" spans="1:9" x14ac:dyDescent="0.2">
      <c r="A3334" s="33">
        <v>40478</v>
      </c>
      <c r="B3334" s="36">
        <v>8938</v>
      </c>
      <c r="C3334" s="7">
        <v>8948</v>
      </c>
      <c r="D3334" s="7">
        <v>8942</v>
      </c>
      <c r="E3334" s="7">
        <v>8920</v>
      </c>
      <c r="F3334" s="7">
        <v>8920</v>
      </c>
      <c r="G3334" s="34"/>
      <c r="H3334" s="35">
        <v>26</v>
      </c>
      <c r="I3334" s="38">
        <f t="shared" si="51"/>
        <v>8943</v>
      </c>
    </row>
    <row r="3335" spans="1:9" x14ac:dyDescent="0.2">
      <c r="A3335" s="33">
        <v>40477</v>
      </c>
      <c r="B3335" s="36">
        <v>8912</v>
      </c>
      <c r="C3335" s="7">
        <v>8915</v>
      </c>
      <c r="D3335" s="7">
        <v>8915</v>
      </c>
      <c r="E3335" s="7">
        <v>8905</v>
      </c>
      <c r="F3335" s="7">
        <v>8905</v>
      </c>
      <c r="G3335" s="34"/>
      <c r="H3335" s="35">
        <v>7</v>
      </c>
      <c r="I3335" s="38">
        <f t="shared" si="51"/>
        <v>8913.5</v>
      </c>
    </row>
    <row r="3336" spans="1:9" x14ac:dyDescent="0.2">
      <c r="A3336" s="33">
        <v>40476</v>
      </c>
      <c r="B3336" s="36">
        <v>8905</v>
      </c>
      <c r="C3336" s="7">
        <v>8910</v>
      </c>
      <c r="D3336" s="7">
        <v>8929</v>
      </c>
      <c r="E3336" s="7">
        <v>8900</v>
      </c>
      <c r="F3336" s="7">
        <v>8925</v>
      </c>
      <c r="G3336" s="34"/>
      <c r="H3336" s="35">
        <v>-30</v>
      </c>
      <c r="I3336" s="38">
        <f t="shared" si="51"/>
        <v>8907.5</v>
      </c>
    </row>
    <row r="3337" spans="1:9" x14ac:dyDescent="0.2">
      <c r="A3337" s="33">
        <v>40473</v>
      </c>
      <c r="B3337" s="36">
        <v>8935</v>
      </c>
      <c r="C3337" s="7">
        <v>8939</v>
      </c>
      <c r="D3337" s="7">
        <v>8937</v>
      </c>
      <c r="E3337" s="7">
        <v>8928</v>
      </c>
      <c r="F3337" s="7">
        <v>8930</v>
      </c>
      <c r="G3337" s="34"/>
      <c r="H3337" s="35">
        <v>7</v>
      </c>
      <c r="I3337" s="38">
        <f t="shared" si="51"/>
        <v>8937</v>
      </c>
    </row>
    <row r="3338" spans="1:9" x14ac:dyDescent="0.2">
      <c r="A3338" s="33">
        <v>40472</v>
      </c>
      <c r="B3338" s="36">
        <v>8928</v>
      </c>
      <c r="C3338" s="7">
        <v>8930</v>
      </c>
      <c r="D3338" s="7">
        <v>8935</v>
      </c>
      <c r="E3338" s="7">
        <v>8925</v>
      </c>
      <c r="F3338" s="7">
        <v>8925</v>
      </c>
      <c r="G3338" s="34"/>
      <c r="H3338" s="35">
        <v>-4</v>
      </c>
      <c r="I3338" s="38">
        <f t="shared" si="51"/>
        <v>8929</v>
      </c>
    </row>
    <row r="3339" spans="1:9" x14ac:dyDescent="0.2">
      <c r="A3339" s="33">
        <v>40471</v>
      </c>
      <c r="B3339" s="36">
        <v>8932</v>
      </c>
      <c r="C3339" s="7">
        <v>8933</v>
      </c>
      <c r="D3339" s="7">
        <v>8940</v>
      </c>
      <c r="E3339" s="7">
        <v>8925</v>
      </c>
      <c r="F3339" s="7">
        <v>8925</v>
      </c>
      <c r="G3339" s="34"/>
      <c r="H3339" s="35">
        <v>7</v>
      </c>
      <c r="I3339" s="38">
        <f t="shared" si="51"/>
        <v>8932.5</v>
      </c>
    </row>
    <row r="3340" spans="1:9" x14ac:dyDescent="0.2">
      <c r="A3340" s="33">
        <v>40470</v>
      </c>
      <c r="B3340" s="36">
        <v>8925</v>
      </c>
      <c r="C3340" s="7">
        <v>8927</v>
      </c>
      <c r="D3340" s="7">
        <v>8928</v>
      </c>
      <c r="E3340" s="7">
        <v>8920</v>
      </c>
      <c r="F3340" s="7">
        <v>8922</v>
      </c>
      <c r="G3340" s="34"/>
      <c r="H3340" s="35">
        <v>-6</v>
      </c>
      <c r="I3340" s="38">
        <f t="shared" si="51"/>
        <v>8926</v>
      </c>
    </row>
    <row r="3341" spans="1:9" x14ac:dyDescent="0.2">
      <c r="A3341" s="33">
        <v>40469</v>
      </c>
      <c r="B3341" s="36">
        <v>8931</v>
      </c>
      <c r="C3341" s="7">
        <v>8935</v>
      </c>
      <c r="D3341" s="7">
        <v>8932</v>
      </c>
      <c r="E3341" s="7">
        <v>8920</v>
      </c>
      <c r="F3341" s="7">
        <v>8920</v>
      </c>
      <c r="G3341" s="34"/>
      <c r="H3341" s="35">
        <v>11</v>
      </c>
      <c r="I3341" s="38">
        <f t="shared" si="51"/>
        <v>8933</v>
      </c>
    </row>
    <row r="3342" spans="1:9" x14ac:dyDescent="0.2">
      <c r="A3342" s="33">
        <v>40466</v>
      </c>
      <c r="B3342" s="36">
        <v>8920</v>
      </c>
      <c r="C3342" s="7">
        <v>8925</v>
      </c>
      <c r="D3342" s="7">
        <v>8925</v>
      </c>
      <c r="E3342" s="7">
        <v>8914</v>
      </c>
      <c r="F3342" s="7">
        <v>8919</v>
      </c>
      <c r="G3342" s="34"/>
      <c r="H3342" s="35">
        <v>0</v>
      </c>
      <c r="I3342" s="38">
        <f t="shared" si="51"/>
        <v>8922.5</v>
      </c>
    </row>
    <row r="3343" spans="1:9" x14ac:dyDescent="0.2">
      <c r="A3343" s="33">
        <v>40465</v>
      </c>
      <c r="B3343" s="36">
        <v>8920</v>
      </c>
      <c r="C3343" s="7">
        <v>8925</v>
      </c>
      <c r="D3343" s="7">
        <v>8920</v>
      </c>
      <c r="E3343" s="7">
        <v>8920</v>
      </c>
      <c r="F3343" s="7">
        <v>8920</v>
      </c>
      <c r="G3343" s="34"/>
      <c r="H3343" s="35">
        <v>-2</v>
      </c>
      <c r="I3343" s="38">
        <f t="shared" si="51"/>
        <v>8922.5</v>
      </c>
    </row>
    <row r="3344" spans="1:9" x14ac:dyDescent="0.2">
      <c r="A3344" s="33">
        <v>40464</v>
      </c>
      <c r="B3344" s="36">
        <v>8922</v>
      </c>
      <c r="C3344" s="7">
        <v>8924</v>
      </c>
      <c r="D3344" s="7">
        <v>8928</v>
      </c>
      <c r="E3344" s="7">
        <v>8922</v>
      </c>
      <c r="F3344" s="7">
        <v>8927</v>
      </c>
      <c r="G3344" s="34"/>
      <c r="H3344" s="35">
        <v>-15</v>
      </c>
      <c r="I3344" s="38">
        <f t="shared" si="51"/>
        <v>8923</v>
      </c>
    </row>
    <row r="3345" spans="1:9" x14ac:dyDescent="0.2">
      <c r="A3345" s="33">
        <v>40463</v>
      </c>
      <c r="B3345" s="36">
        <v>8937</v>
      </c>
      <c r="C3345" s="7">
        <v>8943</v>
      </c>
      <c r="D3345" s="7">
        <v>8937</v>
      </c>
      <c r="E3345" s="7">
        <v>8920</v>
      </c>
      <c r="F3345" s="7">
        <v>8925</v>
      </c>
      <c r="G3345" s="34"/>
      <c r="H3345" s="35">
        <v>17</v>
      </c>
      <c r="I3345" s="38">
        <f t="shared" si="51"/>
        <v>8940</v>
      </c>
    </row>
    <row r="3346" spans="1:9" x14ac:dyDescent="0.2">
      <c r="A3346" s="33">
        <v>40462</v>
      </c>
      <c r="B3346" s="36">
        <v>8920</v>
      </c>
      <c r="C3346" s="7">
        <v>8925</v>
      </c>
      <c r="D3346" s="7">
        <v>8921</v>
      </c>
      <c r="E3346" s="7">
        <v>8917</v>
      </c>
      <c r="F3346" s="7">
        <v>8920</v>
      </c>
      <c r="G3346" s="34"/>
      <c r="H3346" s="35">
        <v>-10</v>
      </c>
      <c r="I3346" s="38">
        <f t="shared" si="51"/>
        <v>8922.5</v>
      </c>
    </row>
    <row r="3347" spans="1:9" x14ac:dyDescent="0.2">
      <c r="A3347" s="33">
        <v>40459</v>
      </c>
      <c r="B3347" s="36">
        <v>8930</v>
      </c>
      <c r="C3347" s="7">
        <v>8935</v>
      </c>
      <c r="D3347" s="7">
        <v>8930</v>
      </c>
      <c r="E3347" s="7">
        <v>8919</v>
      </c>
      <c r="F3347" s="7">
        <v>8920</v>
      </c>
      <c r="G3347" s="34"/>
      <c r="H3347" s="35">
        <v>10</v>
      </c>
      <c r="I3347" s="38">
        <f t="shared" si="51"/>
        <v>8932.5</v>
      </c>
    </row>
    <row r="3348" spans="1:9" x14ac:dyDescent="0.2">
      <c r="A3348" s="33">
        <v>40458</v>
      </c>
      <c r="B3348" s="36">
        <v>8920</v>
      </c>
      <c r="C3348" s="7">
        <v>8925</v>
      </c>
      <c r="D3348" s="7">
        <v>8925</v>
      </c>
      <c r="E3348" s="7">
        <v>8920</v>
      </c>
      <c r="F3348" s="7">
        <v>8920</v>
      </c>
      <c r="G3348" s="34"/>
      <c r="H3348" s="35">
        <v>0</v>
      </c>
      <c r="I3348" s="38">
        <f t="shared" si="51"/>
        <v>8922.5</v>
      </c>
    </row>
    <row r="3349" spans="1:9" x14ac:dyDescent="0.2">
      <c r="A3349" s="33">
        <v>40457</v>
      </c>
      <c r="B3349" s="36">
        <v>8920</v>
      </c>
      <c r="C3349" s="7">
        <v>8926</v>
      </c>
      <c r="D3349" s="7">
        <v>8922</v>
      </c>
      <c r="E3349" s="7">
        <v>8918</v>
      </c>
      <c r="F3349" s="7">
        <v>8920</v>
      </c>
      <c r="G3349" s="34"/>
      <c r="H3349" s="35">
        <v>-11</v>
      </c>
      <c r="I3349" s="38">
        <f t="shared" si="51"/>
        <v>8923</v>
      </c>
    </row>
    <row r="3350" spans="1:9" x14ac:dyDescent="0.2">
      <c r="A3350" s="33">
        <v>40456</v>
      </c>
      <c r="B3350" s="36">
        <v>8931</v>
      </c>
      <c r="C3350" s="7">
        <v>8938</v>
      </c>
      <c r="D3350" s="7">
        <v>8950</v>
      </c>
      <c r="E3350" s="7">
        <v>8925</v>
      </c>
      <c r="F3350" s="7">
        <v>8925</v>
      </c>
      <c r="G3350" s="34"/>
      <c r="H3350" s="35">
        <v>6</v>
      </c>
      <c r="I3350" s="38">
        <f t="shared" si="51"/>
        <v>8934.5</v>
      </c>
    </row>
    <row r="3351" spans="1:9" x14ac:dyDescent="0.2">
      <c r="A3351" s="33">
        <v>40455</v>
      </c>
      <c r="B3351" s="36">
        <v>8925</v>
      </c>
      <c r="C3351" s="7">
        <v>8928</v>
      </c>
      <c r="D3351" s="7">
        <v>8927</v>
      </c>
      <c r="E3351" s="7">
        <v>8920</v>
      </c>
      <c r="F3351" s="7">
        <v>8920</v>
      </c>
      <c r="G3351" s="34"/>
      <c r="H3351" s="35">
        <v>5</v>
      </c>
      <c r="I3351" s="38">
        <f t="shared" si="51"/>
        <v>8926.5</v>
      </c>
    </row>
    <row r="3352" spans="1:9" x14ac:dyDescent="0.2">
      <c r="A3352" s="33">
        <v>40452</v>
      </c>
      <c r="B3352" s="36">
        <v>8920</v>
      </c>
      <c r="C3352" s="7">
        <v>8925</v>
      </c>
      <c r="D3352" s="7">
        <v>8920</v>
      </c>
      <c r="E3352" s="7">
        <v>8918</v>
      </c>
      <c r="F3352" s="7">
        <v>8918</v>
      </c>
      <c r="G3352" s="34"/>
      <c r="H3352" s="35">
        <v>0</v>
      </c>
      <c r="I3352" s="38">
        <f t="shared" si="51"/>
        <v>8922.5</v>
      </c>
    </row>
    <row r="3353" spans="1:9" x14ac:dyDescent="0.2">
      <c r="A3353" s="33">
        <v>40451</v>
      </c>
      <c r="B3353" s="36">
        <v>8920</v>
      </c>
      <c r="C3353" s="7">
        <v>8930</v>
      </c>
      <c r="D3353" s="7">
        <v>8925</v>
      </c>
      <c r="E3353" s="7">
        <v>8910</v>
      </c>
      <c r="F3353" s="7">
        <v>8920</v>
      </c>
      <c r="G3353" s="34"/>
      <c r="H3353" s="35">
        <v>-12</v>
      </c>
      <c r="I3353" s="38">
        <f t="shared" si="51"/>
        <v>8925</v>
      </c>
    </row>
    <row r="3354" spans="1:9" x14ac:dyDescent="0.2">
      <c r="A3354" s="33">
        <v>40450</v>
      </c>
      <c r="B3354" s="36">
        <v>8932</v>
      </c>
      <c r="C3354" s="7">
        <v>8937</v>
      </c>
      <c r="D3354" s="7">
        <v>8950</v>
      </c>
      <c r="E3354" s="7">
        <v>8926</v>
      </c>
      <c r="F3354" s="7">
        <v>8950</v>
      </c>
      <c r="G3354" s="34"/>
      <c r="H3354" s="35">
        <v>-19</v>
      </c>
      <c r="I3354" s="38">
        <f t="shared" si="51"/>
        <v>8934.5</v>
      </c>
    </row>
    <row r="3355" spans="1:9" x14ac:dyDescent="0.2">
      <c r="A3355" s="33">
        <v>40449</v>
      </c>
      <c r="B3355" s="36">
        <v>8951</v>
      </c>
      <c r="C3355" s="7">
        <v>8956</v>
      </c>
      <c r="D3355" s="7">
        <v>8955</v>
      </c>
      <c r="E3355" s="7">
        <v>8950</v>
      </c>
      <c r="F3355" s="7">
        <v>8950</v>
      </c>
      <c r="G3355" s="34"/>
      <c r="H3355" s="35">
        <v>4</v>
      </c>
      <c r="I3355" s="38">
        <f t="shared" si="51"/>
        <v>8953.5</v>
      </c>
    </row>
    <row r="3356" spans="1:9" x14ac:dyDescent="0.2">
      <c r="A3356" s="33">
        <v>40448</v>
      </c>
      <c r="B3356" s="36">
        <v>8947</v>
      </c>
      <c r="C3356" s="7">
        <v>8952</v>
      </c>
      <c r="D3356" s="7">
        <v>8952</v>
      </c>
      <c r="E3356" s="7">
        <v>8946</v>
      </c>
      <c r="F3356" s="7">
        <v>8950</v>
      </c>
      <c r="G3356" s="34"/>
      <c r="H3356" s="35">
        <v>-6</v>
      </c>
      <c r="I3356" s="38">
        <f t="shared" si="51"/>
        <v>8949.5</v>
      </c>
    </row>
    <row r="3357" spans="1:9" x14ac:dyDescent="0.2">
      <c r="A3357" s="33">
        <v>40445</v>
      </c>
      <c r="B3357" s="36">
        <v>8953</v>
      </c>
      <c r="C3357" s="7">
        <v>8954</v>
      </c>
      <c r="D3357" s="7">
        <v>8959</v>
      </c>
      <c r="E3357" s="7">
        <v>8950</v>
      </c>
      <c r="F3357" s="7">
        <v>8959</v>
      </c>
      <c r="G3357" s="34"/>
      <c r="H3357" s="35">
        <v>-5</v>
      </c>
      <c r="I3357" s="38">
        <f t="shared" si="51"/>
        <v>8953.5</v>
      </c>
    </row>
    <row r="3358" spans="1:9" x14ac:dyDescent="0.2">
      <c r="A3358" s="33">
        <v>40444</v>
      </c>
      <c r="B3358" s="36">
        <v>8958</v>
      </c>
      <c r="C3358" s="7">
        <v>8960</v>
      </c>
      <c r="D3358" s="7">
        <v>8958</v>
      </c>
      <c r="E3358" s="7">
        <v>8948</v>
      </c>
      <c r="F3358" s="7">
        <v>8950</v>
      </c>
      <c r="G3358" s="34"/>
      <c r="H3358" s="35">
        <v>3</v>
      </c>
      <c r="I3358" s="38">
        <f t="shared" si="51"/>
        <v>8959</v>
      </c>
    </row>
    <row r="3359" spans="1:9" x14ac:dyDescent="0.2">
      <c r="A3359" s="33">
        <v>40443</v>
      </c>
      <c r="B3359" s="36">
        <v>8955</v>
      </c>
      <c r="C3359" s="7">
        <v>8960</v>
      </c>
      <c r="D3359" s="7">
        <v>8955</v>
      </c>
      <c r="E3359" s="7">
        <v>8947</v>
      </c>
      <c r="F3359" s="7">
        <v>8950</v>
      </c>
      <c r="G3359" s="34"/>
      <c r="H3359" s="35">
        <v>-10</v>
      </c>
      <c r="I3359" s="38">
        <f t="shared" si="51"/>
        <v>8957.5</v>
      </c>
    </row>
    <row r="3360" spans="1:9" x14ac:dyDescent="0.2">
      <c r="A3360" s="33">
        <v>40442</v>
      </c>
      <c r="B3360" s="36">
        <v>8965</v>
      </c>
      <c r="C3360" s="7">
        <v>8971</v>
      </c>
      <c r="D3360" s="7">
        <v>8977</v>
      </c>
      <c r="E3360" s="7">
        <v>8960</v>
      </c>
      <c r="F3360" s="7">
        <v>8965</v>
      </c>
      <c r="G3360" s="34"/>
      <c r="H3360" s="35">
        <v>-11</v>
      </c>
      <c r="I3360" s="38">
        <f t="shared" ref="I3360:I3423" si="52">+(B3360+C3360)*0.5</f>
        <v>8968</v>
      </c>
    </row>
    <row r="3361" spans="1:9" x14ac:dyDescent="0.2">
      <c r="A3361" s="33">
        <v>40441</v>
      </c>
      <c r="B3361" s="36">
        <v>8976</v>
      </c>
      <c r="C3361" s="7">
        <v>8980</v>
      </c>
      <c r="D3361" s="7">
        <v>8980</v>
      </c>
      <c r="E3361" s="7">
        <v>8972</v>
      </c>
      <c r="F3361" s="7">
        <v>8977</v>
      </c>
      <c r="G3361" s="34"/>
      <c r="H3361" s="35">
        <v>-6</v>
      </c>
      <c r="I3361" s="38">
        <f t="shared" si="52"/>
        <v>8978</v>
      </c>
    </row>
    <row r="3362" spans="1:9" x14ac:dyDescent="0.2">
      <c r="A3362" s="33">
        <v>40438</v>
      </c>
      <c r="B3362" s="36">
        <v>8982</v>
      </c>
      <c r="C3362" s="7">
        <v>8992</v>
      </c>
      <c r="D3362" s="7">
        <v>8985</v>
      </c>
      <c r="E3362" s="7">
        <v>8973</v>
      </c>
      <c r="F3362" s="7">
        <v>8975</v>
      </c>
      <c r="G3362" s="34"/>
      <c r="H3362" s="35">
        <v>9</v>
      </c>
      <c r="I3362" s="38">
        <f t="shared" si="52"/>
        <v>8987</v>
      </c>
    </row>
    <row r="3363" spans="1:9" x14ac:dyDescent="0.2">
      <c r="A3363" s="33">
        <v>40437</v>
      </c>
      <c r="B3363" s="36">
        <v>8973</v>
      </c>
      <c r="C3363" s="7">
        <v>8983</v>
      </c>
      <c r="D3363" s="7">
        <v>8987</v>
      </c>
      <c r="E3363" s="7">
        <v>8972</v>
      </c>
      <c r="F3363" s="7">
        <v>8975</v>
      </c>
      <c r="G3363" s="34"/>
      <c r="H3363" s="35">
        <v>-12</v>
      </c>
      <c r="I3363" s="38">
        <f t="shared" si="52"/>
        <v>8978</v>
      </c>
    </row>
    <row r="3364" spans="1:9" x14ac:dyDescent="0.2">
      <c r="A3364" s="33">
        <v>40436</v>
      </c>
      <c r="B3364" s="36">
        <v>8985</v>
      </c>
      <c r="C3364" s="7">
        <v>8991</v>
      </c>
      <c r="D3364" s="7">
        <v>8995</v>
      </c>
      <c r="E3364" s="7">
        <v>8950</v>
      </c>
      <c r="F3364" s="7">
        <v>8950</v>
      </c>
      <c r="G3364" s="34"/>
      <c r="H3364" s="35">
        <v>13</v>
      </c>
      <c r="I3364" s="38">
        <f t="shared" si="52"/>
        <v>8988</v>
      </c>
    </row>
    <row r="3365" spans="1:9" x14ac:dyDescent="0.2">
      <c r="A3365" s="33">
        <v>40435</v>
      </c>
      <c r="B3365" s="36">
        <v>8972</v>
      </c>
      <c r="C3365" s="7">
        <v>8980</v>
      </c>
      <c r="D3365" s="7">
        <v>8985</v>
      </c>
      <c r="E3365" s="7">
        <v>8944</v>
      </c>
      <c r="F3365" s="7">
        <v>8985</v>
      </c>
      <c r="G3365" s="34"/>
      <c r="H3365" s="35">
        <v>-23</v>
      </c>
      <c r="I3365" s="38">
        <f t="shared" si="52"/>
        <v>8976</v>
      </c>
    </row>
    <row r="3366" spans="1:9" x14ac:dyDescent="0.2">
      <c r="A3366" s="33">
        <v>40434</v>
      </c>
      <c r="B3366" s="36">
        <v>8995</v>
      </c>
      <c r="C3366" s="7">
        <v>9005</v>
      </c>
      <c r="D3366" s="7"/>
      <c r="E3366" s="7"/>
      <c r="F3366" s="7"/>
      <c r="G3366" s="34"/>
      <c r="H3366" s="35">
        <v>0</v>
      </c>
      <c r="I3366" s="38">
        <f t="shared" si="52"/>
        <v>9000</v>
      </c>
    </row>
    <row r="3367" spans="1:9" x14ac:dyDescent="0.2">
      <c r="A3367" s="33">
        <v>40431</v>
      </c>
      <c r="B3367" s="36">
        <v>8995</v>
      </c>
      <c r="C3367" s="7">
        <v>9005</v>
      </c>
      <c r="D3367" s="7"/>
      <c r="E3367" s="7"/>
      <c r="F3367" s="7"/>
      <c r="G3367" s="34"/>
      <c r="H3367" s="35">
        <v>0</v>
      </c>
      <c r="I3367" s="38">
        <f t="shared" si="52"/>
        <v>9000</v>
      </c>
    </row>
    <row r="3368" spans="1:9" x14ac:dyDescent="0.2">
      <c r="A3368" s="33">
        <v>40430</v>
      </c>
      <c r="B3368" s="36">
        <v>8995</v>
      </c>
      <c r="C3368" s="7">
        <v>9005</v>
      </c>
      <c r="D3368" s="7"/>
      <c r="E3368" s="7"/>
      <c r="F3368" s="7"/>
      <c r="G3368" s="34"/>
      <c r="H3368" s="35">
        <v>0</v>
      </c>
      <c r="I3368" s="38">
        <f t="shared" si="52"/>
        <v>9000</v>
      </c>
    </row>
    <row r="3369" spans="1:9" x14ac:dyDescent="0.2">
      <c r="A3369" s="33">
        <v>40429</v>
      </c>
      <c r="B3369" s="36">
        <v>8995</v>
      </c>
      <c r="C3369" s="7">
        <v>9005</v>
      </c>
      <c r="D3369" s="7">
        <v>9018</v>
      </c>
      <c r="E3369" s="7">
        <v>8989</v>
      </c>
      <c r="F3369" s="7">
        <v>9015</v>
      </c>
      <c r="G3369" s="34"/>
      <c r="H3369" s="35">
        <v>-20</v>
      </c>
      <c r="I3369" s="38">
        <f t="shared" si="52"/>
        <v>9000</v>
      </c>
    </row>
    <row r="3370" spans="1:9" x14ac:dyDescent="0.2">
      <c r="A3370" s="33">
        <v>40428</v>
      </c>
      <c r="B3370" s="36">
        <v>9015</v>
      </c>
      <c r="C3370" s="7">
        <v>9019</v>
      </c>
      <c r="D3370" s="7">
        <v>9020</v>
      </c>
      <c r="E3370" s="7">
        <v>8999</v>
      </c>
      <c r="F3370" s="7">
        <v>9000</v>
      </c>
      <c r="G3370" s="34"/>
      <c r="H3370" s="35">
        <v>17</v>
      </c>
      <c r="I3370" s="38">
        <f t="shared" si="52"/>
        <v>9017</v>
      </c>
    </row>
    <row r="3371" spans="1:9" x14ac:dyDescent="0.2">
      <c r="A3371" s="33">
        <v>40427</v>
      </c>
      <c r="B3371" s="36">
        <v>8998</v>
      </c>
      <c r="C3371" s="7">
        <v>9006</v>
      </c>
      <c r="D3371" s="7">
        <v>8998</v>
      </c>
      <c r="E3371" s="7">
        <v>8975</v>
      </c>
      <c r="F3371" s="7">
        <v>8985</v>
      </c>
      <c r="G3371" s="34"/>
      <c r="H3371" s="35">
        <v>-4</v>
      </c>
      <c r="I3371" s="38">
        <f t="shared" si="52"/>
        <v>9002</v>
      </c>
    </row>
    <row r="3372" spans="1:9" x14ac:dyDescent="0.2">
      <c r="A3372" s="33">
        <v>40424</v>
      </c>
      <c r="B3372" s="36">
        <v>9002</v>
      </c>
      <c r="C3372" s="7">
        <v>9006</v>
      </c>
      <c r="D3372" s="7">
        <v>9015</v>
      </c>
      <c r="E3372" s="7">
        <v>8990</v>
      </c>
      <c r="F3372" s="7">
        <v>9005</v>
      </c>
      <c r="G3372" s="34"/>
      <c r="H3372" s="35">
        <v>-6</v>
      </c>
      <c r="I3372" s="38">
        <f t="shared" si="52"/>
        <v>9004</v>
      </c>
    </row>
    <row r="3373" spans="1:9" x14ac:dyDescent="0.2">
      <c r="A3373" s="33">
        <v>40423</v>
      </c>
      <c r="B3373" s="36">
        <v>9008</v>
      </c>
      <c r="C3373" s="7">
        <v>9013</v>
      </c>
      <c r="D3373" s="7">
        <v>9010</v>
      </c>
      <c r="E3373" s="7">
        <v>8988</v>
      </c>
      <c r="F3373" s="7">
        <v>8995</v>
      </c>
      <c r="G3373" s="34"/>
      <c r="H3373" s="35">
        <v>-2</v>
      </c>
      <c r="I3373" s="38">
        <f t="shared" si="52"/>
        <v>9010.5</v>
      </c>
    </row>
    <row r="3374" spans="1:9" x14ac:dyDescent="0.2">
      <c r="A3374" s="33">
        <v>40422</v>
      </c>
      <c r="B3374" s="36">
        <v>9010</v>
      </c>
      <c r="C3374" s="7">
        <v>9015</v>
      </c>
      <c r="D3374" s="7">
        <v>9036</v>
      </c>
      <c r="E3374" s="7">
        <v>8994</v>
      </c>
      <c r="F3374" s="7">
        <v>9035</v>
      </c>
      <c r="G3374" s="34"/>
      <c r="H3374" s="35">
        <v>-20</v>
      </c>
      <c r="I3374" s="38">
        <f t="shared" si="52"/>
        <v>9012.5</v>
      </c>
    </row>
    <row r="3375" spans="1:9" x14ac:dyDescent="0.2">
      <c r="A3375" s="33">
        <v>40421</v>
      </c>
      <c r="B3375" s="36">
        <v>9030</v>
      </c>
      <c r="C3375" s="7">
        <v>9040</v>
      </c>
      <c r="D3375" s="7">
        <v>9045</v>
      </c>
      <c r="E3375" s="7">
        <v>9015</v>
      </c>
      <c r="F3375" s="7">
        <v>9020</v>
      </c>
      <c r="G3375" s="34"/>
      <c r="H3375" s="35">
        <v>18</v>
      </c>
      <c r="I3375" s="38">
        <f t="shared" si="52"/>
        <v>9035</v>
      </c>
    </row>
    <row r="3376" spans="1:9" x14ac:dyDescent="0.2">
      <c r="A3376" s="33">
        <v>40420</v>
      </c>
      <c r="B3376" s="36">
        <v>9012</v>
      </c>
      <c r="C3376" s="7">
        <v>9017</v>
      </c>
      <c r="D3376" s="7">
        <v>9020</v>
      </c>
      <c r="E3376" s="7">
        <v>8999</v>
      </c>
      <c r="F3376" s="7">
        <v>9010</v>
      </c>
      <c r="G3376" s="34"/>
      <c r="H3376" s="35">
        <v>2</v>
      </c>
      <c r="I3376" s="38">
        <f t="shared" si="52"/>
        <v>9014.5</v>
      </c>
    </row>
    <row r="3377" spans="1:9" x14ac:dyDescent="0.2">
      <c r="A3377" s="33">
        <v>40417</v>
      </c>
      <c r="B3377" s="36">
        <v>9010</v>
      </c>
      <c r="C3377" s="7">
        <v>9020</v>
      </c>
      <c r="D3377" s="7">
        <v>9025</v>
      </c>
      <c r="E3377" s="7">
        <v>8982</v>
      </c>
      <c r="F3377" s="7">
        <v>8982</v>
      </c>
      <c r="G3377" s="34"/>
      <c r="H3377" s="35">
        <v>25</v>
      </c>
      <c r="I3377" s="38">
        <f t="shared" si="52"/>
        <v>9015</v>
      </c>
    </row>
    <row r="3378" spans="1:9" x14ac:dyDescent="0.2">
      <c r="A3378" s="33">
        <v>40416</v>
      </c>
      <c r="B3378" s="36">
        <v>8985</v>
      </c>
      <c r="C3378" s="7">
        <v>8990</v>
      </c>
      <c r="D3378" s="7">
        <v>8990</v>
      </c>
      <c r="E3378" s="7">
        <v>8970</v>
      </c>
      <c r="F3378" s="7">
        <v>8975</v>
      </c>
      <c r="G3378" s="34"/>
      <c r="H3378" s="35">
        <v>13</v>
      </c>
      <c r="I3378" s="38">
        <f t="shared" si="52"/>
        <v>8987.5</v>
      </c>
    </row>
    <row r="3379" spans="1:9" x14ac:dyDescent="0.2">
      <c r="A3379" s="33">
        <v>40415</v>
      </c>
      <c r="B3379" s="36">
        <v>8972</v>
      </c>
      <c r="C3379" s="7">
        <v>8980</v>
      </c>
      <c r="D3379" s="7">
        <v>8977</v>
      </c>
      <c r="E3379" s="7">
        <v>8967</v>
      </c>
      <c r="F3379" s="7">
        <v>8970</v>
      </c>
      <c r="G3379" s="34"/>
      <c r="H3379" s="35">
        <v>-3</v>
      </c>
      <c r="I3379" s="38">
        <f t="shared" si="52"/>
        <v>8976</v>
      </c>
    </row>
    <row r="3380" spans="1:9" x14ac:dyDescent="0.2">
      <c r="A3380" s="33">
        <v>40414</v>
      </c>
      <c r="B3380" s="36">
        <v>8975</v>
      </c>
      <c r="C3380" s="7">
        <v>8980</v>
      </c>
      <c r="D3380" s="7">
        <v>8980</v>
      </c>
      <c r="E3380" s="7">
        <v>8965</v>
      </c>
      <c r="F3380" s="7">
        <v>8970</v>
      </c>
      <c r="G3380" s="34"/>
      <c r="H3380" s="35">
        <v>10</v>
      </c>
      <c r="I3380" s="38">
        <f t="shared" si="52"/>
        <v>8977.5</v>
      </c>
    </row>
    <row r="3381" spans="1:9" x14ac:dyDescent="0.2">
      <c r="A3381" s="33">
        <v>40413</v>
      </c>
      <c r="B3381" s="36">
        <v>8965</v>
      </c>
      <c r="C3381" s="7">
        <v>8969</v>
      </c>
      <c r="D3381" s="7">
        <v>8985</v>
      </c>
      <c r="E3381" s="7">
        <v>8965</v>
      </c>
      <c r="F3381" s="7">
        <v>8975</v>
      </c>
      <c r="G3381" s="34"/>
      <c r="H3381" s="35">
        <v>-5</v>
      </c>
      <c r="I3381" s="38">
        <f t="shared" si="52"/>
        <v>8967</v>
      </c>
    </row>
    <row r="3382" spans="1:9" x14ac:dyDescent="0.2">
      <c r="A3382" s="33">
        <v>40410</v>
      </c>
      <c r="B3382" s="36">
        <v>8970</v>
      </c>
      <c r="C3382" s="7">
        <v>8975</v>
      </c>
      <c r="D3382" s="7">
        <v>8971</v>
      </c>
      <c r="E3382" s="7">
        <v>8956</v>
      </c>
      <c r="F3382" s="7">
        <v>8965</v>
      </c>
      <c r="G3382" s="34"/>
      <c r="H3382" s="35">
        <v>10</v>
      </c>
      <c r="I3382" s="38">
        <f t="shared" si="52"/>
        <v>8972.5</v>
      </c>
    </row>
    <row r="3383" spans="1:9" x14ac:dyDescent="0.2">
      <c r="A3383" s="33">
        <v>40409</v>
      </c>
      <c r="B3383" s="36">
        <v>8960</v>
      </c>
      <c r="C3383" s="7">
        <v>8965</v>
      </c>
      <c r="D3383" s="7">
        <v>8970</v>
      </c>
      <c r="E3383" s="7">
        <v>8935</v>
      </c>
      <c r="F3383" s="7">
        <v>8960</v>
      </c>
      <c r="G3383" s="34"/>
      <c r="H3383" s="35">
        <v>-10</v>
      </c>
      <c r="I3383" s="38">
        <f t="shared" si="52"/>
        <v>8962.5</v>
      </c>
    </row>
    <row r="3384" spans="1:9" x14ac:dyDescent="0.2">
      <c r="A3384" s="33">
        <v>40408</v>
      </c>
      <c r="B3384" s="36">
        <v>8970</v>
      </c>
      <c r="C3384" s="7">
        <v>8971</v>
      </c>
      <c r="D3384" s="7">
        <v>8972</v>
      </c>
      <c r="E3384" s="7">
        <v>8950</v>
      </c>
      <c r="F3384" s="7">
        <v>8950</v>
      </c>
      <c r="G3384" s="34"/>
      <c r="H3384" s="35">
        <v>-5</v>
      </c>
      <c r="I3384" s="38">
        <f t="shared" si="52"/>
        <v>8970.5</v>
      </c>
    </row>
    <row r="3385" spans="1:9" x14ac:dyDescent="0.2">
      <c r="A3385" s="33">
        <v>40407</v>
      </c>
      <c r="B3385" s="36">
        <v>8975</v>
      </c>
      <c r="C3385" s="7">
        <v>8985</v>
      </c>
      <c r="D3385" s="7"/>
      <c r="E3385" s="7"/>
      <c r="F3385" s="7"/>
      <c r="G3385" s="34"/>
      <c r="H3385" s="35">
        <v>0</v>
      </c>
      <c r="I3385" s="38">
        <f t="shared" si="52"/>
        <v>8980</v>
      </c>
    </row>
    <row r="3386" spans="1:9" x14ac:dyDescent="0.2">
      <c r="A3386" s="33">
        <v>40406</v>
      </c>
      <c r="B3386" s="36">
        <v>8975</v>
      </c>
      <c r="C3386" s="7">
        <v>8985</v>
      </c>
      <c r="D3386" s="7">
        <v>8992</v>
      </c>
      <c r="E3386" s="7">
        <v>8972</v>
      </c>
      <c r="F3386" s="7">
        <v>8980</v>
      </c>
      <c r="G3386" s="34"/>
      <c r="H3386" s="35">
        <v>10</v>
      </c>
      <c r="I3386" s="38">
        <f t="shared" si="52"/>
        <v>8980</v>
      </c>
    </row>
    <row r="3387" spans="1:9" x14ac:dyDescent="0.2">
      <c r="A3387" s="33">
        <v>40403</v>
      </c>
      <c r="B3387" s="36">
        <v>8965</v>
      </c>
      <c r="C3387" s="7">
        <v>8975</v>
      </c>
      <c r="D3387" s="7">
        <v>9005</v>
      </c>
      <c r="E3387" s="7">
        <v>8960</v>
      </c>
      <c r="F3387" s="7">
        <v>9000</v>
      </c>
      <c r="G3387" s="34"/>
      <c r="H3387" s="35">
        <v>-40</v>
      </c>
      <c r="I3387" s="38">
        <f t="shared" si="52"/>
        <v>8970</v>
      </c>
    </row>
    <row r="3388" spans="1:9" x14ac:dyDescent="0.2">
      <c r="A3388" s="33">
        <v>40402</v>
      </c>
      <c r="B3388" s="36">
        <v>9005</v>
      </c>
      <c r="C3388" s="7">
        <v>9015</v>
      </c>
      <c r="D3388" s="7">
        <v>9015</v>
      </c>
      <c r="E3388" s="7">
        <v>8955</v>
      </c>
      <c r="F3388" s="7">
        <v>8955</v>
      </c>
      <c r="G3388" s="34"/>
      <c r="H3388" s="35">
        <v>37</v>
      </c>
      <c r="I3388" s="38">
        <f t="shared" si="52"/>
        <v>9010</v>
      </c>
    </row>
    <row r="3389" spans="1:9" x14ac:dyDescent="0.2">
      <c r="A3389" s="33">
        <v>40401</v>
      </c>
      <c r="B3389" s="36">
        <v>8968</v>
      </c>
      <c r="C3389" s="7">
        <v>8978</v>
      </c>
      <c r="D3389" s="7">
        <v>8980</v>
      </c>
      <c r="E3389" s="7">
        <v>8940</v>
      </c>
      <c r="F3389" s="7">
        <v>8955</v>
      </c>
      <c r="G3389" s="34"/>
      <c r="H3389" s="35">
        <v>18</v>
      </c>
      <c r="I3389" s="38">
        <f t="shared" si="52"/>
        <v>8973</v>
      </c>
    </row>
    <row r="3390" spans="1:9" x14ac:dyDescent="0.2">
      <c r="A3390" s="33">
        <v>40400</v>
      </c>
      <c r="B3390" s="36">
        <v>8950</v>
      </c>
      <c r="C3390" s="7">
        <v>8960</v>
      </c>
      <c r="D3390" s="7">
        <v>8957</v>
      </c>
      <c r="E3390" s="7">
        <v>8935</v>
      </c>
      <c r="F3390" s="7">
        <v>8935</v>
      </c>
      <c r="G3390" s="34"/>
      <c r="H3390" s="35">
        <v>18</v>
      </c>
      <c r="I3390" s="38">
        <f t="shared" si="52"/>
        <v>8955</v>
      </c>
    </row>
    <row r="3391" spans="1:9" x14ac:dyDescent="0.2">
      <c r="A3391" s="33">
        <v>40399</v>
      </c>
      <c r="B3391" s="36">
        <v>8932</v>
      </c>
      <c r="C3391" s="7">
        <v>8935</v>
      </c>
      <c r="D3391" s="7">
        <v>8936</v>
      </c>
      <c r="E3391" s="7">
        <v>8922</v>
      </c>
      <c r="F3391" s="7">
        <v>8925</v>
      </c>
      <c r="G3391" s="34"/>
      <c r="H3391" s="35">
        <v>-4</v>
      </c>
      <c r="I3391" s="38">
        <f t="shared" si="52"/>
        <v>8933.5</v>
      </c>
    </row>
    <row r="3392" spans="1:9" x14ac:dyDescent="0.2">
      <c r="A3392" s="33">
        <v>40396</v>
      </c>
      <c r="B3392" s="36">
        <v>8936</v>
      </c>
      <c r="C3392" s="7">
        <v>8940</v>
      </c>
      <c r="D3392" s="7">
        <v>8940</v>
      </c>
      <c r="E3392" s="7">
        <v>8925</v>
      </c>
      <c r="F3392" s="7">
        <v>8935</v>
      </c>
      <c r="G3392" s="34"/>
      <c r="H3392" s="35">
        <v>1</v>
      </c>
      <c r="I3392" s="38">
        <f t="shared" si="52"/>
        <v>8938</v>
      </c>
    </row>
    <row r="3393" spans="1:9" x14ac:dyDescent="0.2">
      <c r="A3393" s="33">
        <v>40395</v>
      </c>
      <c r="B3393" s="36">
        <v>8935</v>
      </c>
      <c r="C3393" s="7">
        <v>8940</v>
      </c>
      <c r="D3393" s="7">
        <v>8964</v>
      </c>
      <c r="E3393" s="7">
        <v>8922</v>
      </c>
      <c r="F3393" s="7">
        <v>8945</v>
      </c>
      <c r="G3393" s="34"/>
      <c r="H3393" s="35">
        <v>-7</v>
      </c>
      <c r="I3393" s="38">
        <f t="shared" si="52"/>
        <v>8937.5</v>
      </c>
    </row>
    <row r="3394" spans="1:9" x14ac:dyDescent="0.2">
      <c r="A3394" s="33">
        <v>40394</v>
      </c>
      <c r="B3394" s="36">
        <v>8942</v>
      </c>
      <c r="C3394" s="7">
        <v>8948</v>
      </c>
      <c r="D3394" s="7">
        <v>8960</v>
      </c>
      <c r="E3394" s="7">
        <v>8933</v>
      </c>
      <c r="F3394" s="7">
        <v>8935</v>
      </c>
      <c r="G3394" s="34"/>
      <c r="H3394" s="35">
        <v>6</v>
      </c>
      <c r="I3394" s="38">
        <f t="shared" si="52"/>
        <v>8945</v>
      </c>
    </row>
    <row r="3395" spans="1:9" x14ac:dyDescent="0.2">
      <c r="A3395" s="33">
        <v>40393</v>
      </c>
      <c r="B3395" s="36">
        <v>8936</v>
      </c>
      <c r="C3395" s="7">
        <v>8941</v>
      </c>
      <c r="D3395" s="7">
        <v>8947</v>
      </c>
      <c r="E3395" s="7">
        <v>8930</v>
      </c>
      <c r="F3395" s="7">
        <v>8930</v>
      </c>
      <c r="G3395" s="34"/>
      <c r="H3395" s="35">
        <v>-4</v>
      </c>
      <c r="I3395" s="38">
        <f t="shared" si="52"/>
        <v>8938.5</v>
      </c>
    </row>
    <row r="3396" spans="1:9" x14ac:dyDescent="0.2">
      <c r="A3396" s="33">
        <v>40392</v>
      </c>
      <c r="B3396" s="36">
        <v>8940</v>
      </c>
      <c r="C3396" s="7">
        <v>8950</v>
      </c>
      <c r="D3396" s="7">
        <v>8949</v>
      </c>
      <c r="E3396" s="7">
        <v>8930</v>
      </c>
      <c r="F3396" s="7">
        <v>8940</v>
      </c>
      <c r="G3396" s="34"/>
      <c r="H3396" s="35">
        <v>5</v>
      </c>
      <c r="I3396" s="38">
        <f t="shared" si="52"/>
        <v>8945</v>
      </c>
    </row>
    <row r="3397" spans="1:9" x14ac:dyDescent="0.2">
      <c r="A3397" s="33">
        <v>40389</v>
      </c>
      <c r="B3397" s="36">
        <v>8935</v>
      </c>
      <c r="C3397" s="7">
        <v>8945</v>
      </c>
      <c r="D3397" s="7">
        <v>8962</v>
      </c>
      <c r="E3397" s="7">
        <v>8933</v>
      </c>
      <c r="F3397" s="7">
        <v>8950</v>
      </c>
      <c r="G3397" s="34"/>
      <c r="H3397" s="35">
        <v>-40</v>
      </c>
      <c r="I3397" s="38">
        <f t="shared" si="52"/>
        <v>8940</v>
      </c>
    </row>
    <row r="3398" spans="1:9" x14ac:dyDescent="0.2">
      <c r="A3398" s="33">
        <v>40388</v>
      </c>
      <c r="B3398" s="36">
        <v>8975</v>
      </c>
      <c r="C3398" s="7">
        <v>8980</v>
      </c>
      <c r="D3398" s="7">
        <v>9022</v>
      </c>
      <c r="E3398" s="7">
        <v>8970</v>
      </c>
      <c r="F3398" s="7">
        <v>9007</v>
      </c>
      <c r="G3398" s="34"/>
      <c r="H3398" s="35">
        <v>-25</v>
      </c>
      <c r="I3398" s="38">
        <f t="shared" si="52"/>
        <v>8977.5</v>
      </c>
    </row>
    <row r="3399" spans="1:9" x14ac:dyDescent="0.2">
      <c r="A3399" s="33">
        <v>40387</v>
      </c>
      <c r="B3399" s="36">
        <v>9000</v>
      </c>
      <c r="C3399" s="7">
        <v>9008</v>
      </c>
      <c r="D3399" s="7">
        <v>9026</v>
      </c>
      <c r="E3399" s="7">
        <v>8990</v>
      </c>
      <c r="F3399" s="7">
        <v>9020</v>
      </c>
      <c r="G3399" s="34"/>
      <c r="H3399" s="35">
        <v>-12</v>
      </c>
      <c r="I3399" s="38">
        <f t="shared" si="52"/>
        <v>9004</v>
      </c>
    </row>
    <row r="3400" spans="1:9" x14ac:dyDescent="0.2">
      <c r="A3400" s="33">
        <v>40386</v>
      </c>
      <c r="B3400" s="36">
        <v>9012</v>
      </c>
      <c r="C3400" s="7">
        <v>9018</v>
      </c>
      <c r="D3400" s="7">
        <v>9025</v>
      </c>
      <c r="E3400" s="7">
        <v>9003</v>
      </c>
      <c r="F3400" s="7">
        <v>9020</v>
      </c>
      <c r="G3400" s="34"/>
      <c r="H3400" s="35">
        <v>-13</v>
      </c>
      <c r="I3400" s="38">
        <f t="shared" si="52"/>
        <v>9015</v>
      </c>
    </row>
    <row r="3401" spans="1:9" x14ac:dyDescent="0.2">
      <c r="A3401" s="33">
        <v>40385</v>
      </c>
      <c r="B3401" s="36">
        <v>9025</v>
      </c>
      <c r="C3401" s="7">
        <v>9035</v>
      </c>
      <c r="D3401" s="7">
        <v>9043</v>
      </c>
      <c r="E3401" s="7">
        <v>9010</v>
      </c>
      <c r="F3401" s="7">
        <v>9043</v>
      </c>
      <c r="G3401" s="34"/>
      <c r="H3401" s="35">
        <v>-5</v>
      </c>
      <c r="I3401" s="38">
        <f t="shared" si="52"/>
        <v>9030</v>
      </c>
    </row>
    <row r="3402" spans="1:9" x14ac:dyDescent="0.2">
      <c r="A3402" s="33">
        <v>40382</v>
      </c>
      <c r="B3402" s="36">
        <v>9030</v>
      </c>
      <c r="C3402" s="7">
        <v>9050</v>
      </c>
      <c r="D3402" s="7">
        <v>9058</v>
      </c>
      <c r="E3402" s="7">
        <v>9030</v>
      </c>
      <c r="F3402" s="7">
        <v>9044</v>
      </c>
      <c r="G3402" s="34"/>
      <c r="H3402" s="35">
        <v>-15</v>
      </c>
      <c r="I3402" s="38">
        <f t="shared" si="52"/>
        <v>9040</v>
      </c>
    </row>
    <row r="3403" spans="1:9" x14ac:dyDescent="0.2">
      <c r="A3403" s="33">
        <v>40381</v>
      </c>
      <c r="B3403" s="36">
        <v>9045</v>
      </c>
      <c r="C3403" s="7">
        <v>9055</v>
      </c>
      <c r="D3403" s="7">
        <v>9070</v>
      </c>
      <c r="E3403" s="7">
        <v>9040</v>
      </c>
      <c r="F3403" s="7">
        <v>9060</v>
      </c>
      <c r="G3403" s="34"/>
      <c r="H3403" s="35">
        <v>-20</v>
      </c>
      <c r="I3403" s="38">
        <f t="shared" si="52"/>
        <v>9050</v>
      </c>
    </row>
    <row r="3404" spans="1:9" x14ac:dyDescent="0.2">
      <c r="A3404" s="33">
        <v>40380</v>
      </c>
      <c r="B3404" s="36">
        <v>9065</v>
      </c>
      <c r="C3404" s="7">
        <v>9075</v>
      </c>
      <c r="D3404" s="7">
        <v>9070</v>
      </c>
      <c r="E3404" s="7">
        <v>9034</v>
      </c>
      <c r="F3404" s="7">
        <v>9045</v>
      </c>
      <c r="G3404" s="34"/>
      <c r="H3404" s="35">
        <v>25</v>
      </c>
      <c r="I3404" s="38">
        <f t="shared" si="52"/>
        <v>9070</v>
      </c>
    </row>
    <row r="3405" spans="1:9" x14ac:dyDescent="0.2">
      <c r="A3405" s="33">
        <v>40379</v>
      </c>
      <c r="B3405" s="36">
        <v>9040</v>
      </c>
      <c r="C3405" s="7">
        <v>9050</v>
      </c>
      <c r="D3405" s="7">
        <v>9061</v>
      </c>
      <c r="E3405" s="7">
        <v>9039</v>
      </c>
      <c r="F3405" s="7">
        <v>9060</v>
      </c>
      <c r="G3405" s="34"/>
      <c r="H3405" s="35">
        <v>-15</v>
      </c>
      <c r="I3405" s="38">
        <f t="shared" si="52"/>
        <v>9045</v>
      </c>
    </row>
    <row r="3406" spans="1:9" x14ac:dyDescent="0.2">
      <c r="A3406" s="33">
        <v>40378</v>
      </c>
      <c r="B3406" s="36">
        <v>9055</v>
      </c>
      <c r="C3406" s="7">
        <v>9065</v>
      </c>
      <c r="D3406" s="7">
        <v>9073</v>
      </c>
      <c r="E3406" s="7">
        <v>9035</v>
      </c>
      <c r="F3406" s="7">
        <v>9035</v>
      </c>
      <c r="G3406" s="34"/>
      <c r="H3406" s="35">
        <v>23</v>
      </c>
      <c r="I3406" s="38">
        <f t="shared" si="52"/>
        <v>9060</v>
      </c>
    </row>
    <row r="3407" spans="1:9" x14ac:dyDescent="0.2">
      <c r="A3407" s="33">
        <v>40375</v>
      </c>
      <c r="B3407" s="36">
        <v>9032</v>
      </c>
      <c r="C3407" s="7">
        <v>9052</v>
      </c>
      <c r="D3407" s="7">
        <v>9055</v>
      </c>
      <c r="E3407" s="7">
        <v>9025</v>
      </c>
      <c r="F3407" s="7">
        <v>9030</v>
      </c>
      <c r="G3407" s="34"/>
      <c r="H3407" s="35">
        <v>-18</v>
      </c>
      <c r="I3407" s="38">
        <f t="shared" si="52"/>
        <v>9042</v>
      </c>
    </row>
    <row r="3408" spans="1:9" x14ac:dyDescent="0.2">
      <c r="A3408" s="33">
        <v>40374</v>
      </c>
      <c r="B3408" s="36">
        <v>9050</v>
      </c>
      <c r="C3408" s="7">
        <v>9055</v>
      </c>
      <c r="D3408" s="7">
        <v>9051</v>
      </c>
      <c r="E3408" s="7">
        <v>9035</v>
      </c>
      <c r="F3408" s="7">
        <v>9040</v>
      </c>
      <c r="G3408" s="34"/>
      <c r="H3408" s="35">
        <v>7</v>
      </c>
      <c r="I3408" s="38">
        <f t="shared" si="52"/>
        <v>9052.5</v>
      </c>
    </row>
    <row r="3409" spans="1:9" x14ac:dyDescent="0.2">
      <c r="A3409" s="33">
        <v>40373</v>
      </c>
      <c r="B3409" s="36">
        <v>9043</v>
      </c>
      <c r="C3409" s="7">
        <v>9053</v>
      </c>
      <c r="D3409" s="7">
        <v>9055</v>
      </c>
      <c r="E3409" s="7">
        <v>9036</v>
      </c>
      <c r="F3409" s="7">
        <v>9040</v>
      </c>
      <c r="G3409" s="34"/>
      <c r="H3409" s="35">
        <v>-2</v>
      </c>
      <c r="I3409" s="38">
        <f t="shared" si="52"/>
        <v>9048</v>
      </c>
    </row>
    <row r="3410" spans="1:9" x14ac:dyDescent="0.2">
      <c r="A3410" s="33">
        <v>40372</v>
      </c>
      <c r="B3410" s="36">
        <v>9045</v>
      </c>
      <c r="C3410" s="7">
        <v>9055</v>
      </c>
      <c r="D3410" s="7">
        <v>9063</v>
      </c>
      <c r="E3410" s="7">
        <v>9035</v>
      </c>
      <c r="F3410" s="7">
        <v>9040</v>
      </c>
      <c r="G3410" s="34"/>
      <c r="H3410" s="35">
        <v>8</v>
      </c>
      <c r="I3410" s="38">
        <f t="shared" si="52"/>
        <v>9050</v>
      </c>
    </row>
    <row r="3411" spans="1:9" x14ac:dyDescent="0.2">
      <c r="A3411" s="33">
        <v>40371</v>
      </c>
      <c r="B3411" s="36">
        <v>9037</v>
      </c>
      <c r="C3411" s="7">
        <v>9057</v>
      </c>
      <c r="D3411" s="7">
        <v>9055</v>
      </c>
      <c r="E3411" s="7">
        <v>9035</v>
      </c>
      <c r="F3411" s="7">
        <v>9035</v>
      </c>
      <c r="G3411" s="34"/>
      <c r="H3411" s="35">
        <v>-3</v>
      </c>
      <c r="I3411" s="38">
        <f t="shared" si="52"/>
        <v>9047</v>
      </c>
    </row>
    <row r="3412" spans="1:9" x14ac:dyDescent="0.2">
      <c r="A3412" s="33">
        <v>40368</v>
      </c>
      <c r="B3412" s="36">
        <v>9040</v>
      </c>
      <c r="C3412" s="7">
        <v>9050</v>
      </c>
      <c r="D3412" s="7">
        <v>9067</v>
      </c>
      <c r="E3412" s="7">
        <v>9035</v>
      </c>
      <c r="F3412" s="7">
        <v>9060</v>
      </c>
      <c r="G3412" s="34"/>
      <c r="H3412" s="35">
        <v>-15</v>
      </c>
      <c r="I3412" s="38">
        <f t="shared" si="52"/>
        <v>9045</v>
      </c>
    </row>
    <row r="3413" spans="1:9" x14ac:dyDescent="0.2">
      <c r="A3413" s="33">
        <v>40367</v>
      </c>
      <c r="B3413" s="36">
        <v>9055</v>
      </c>
      <c r="C3413" s="7">
        <v>9075</v>
      </c>
      <c r="D3413" s="7">
        <v>9073</v>
      </c>
      <c r="E3413" s="7">
        <v>9055</v>
      </c>
      <c r="F3413" s="7">
        <v>9055</v>
      </c>
      <c r="G3413" s="34"/>
      <c r="H3413" s="35">
        <v>0</v>
      </c>
      <c r="I3413" s="38">
        <f t="shared" si="52"/>
        <v>9065</v>
      </c>
    </row>
    <row r="3414" spans="1:9" x14ac:dyDescent="0.2">
      <c r="A3414" s="33">
        <v>40366</v>
      </c>
      <c r="B3414" s="36">
        <v>9055</v>
      </c>
      <c r="C3414" s="7">
        <v>9085</v>
      </c>
      <c r="D3414" s="7">
        <v>9080</v>
      </c>
      <c r="E3414" s="7">
        <v>9055</v>
      </c>
      <c r="F3414" s="7">
        <v>9065</v>
      </c>
      <c r="G3414" s="34"/>
      <c r="H3414" s="35">
        <v>5</v>
      </c>
      <c r="I3414" s="38">
        <f t="shared" si="52"/>
        <v>9070</v>
      </c>
    </row>
    <row r="3415" spans="1:9" x14ac:dyDescent="0.2">
      <c r="A3415" s="33">
        <v>40365</v>
      </c>
      <c r="B3415" s="36">
        <v>9050</v>
      </c>
      <c r="C3415" s="7">
        <v>9070</v>
      </c>
      <c r="D3415" s="7">
        <v>9088</v>
      </c>
      <c r="E3415" s="7">
        <v>9050</v>
      </c>
      <c r="F3415" s="7">
        <v>9075</v>
      </c>
      <c r="G3415" s="34"/>
      <c r="H3415" s="35">
        <v>-5</v>
      </c>
      <c r="I3415" s="38">
        <f t="shared" si="52"/>
        <v>9060</v>
      </c>
    </row>
    <row r="3416" spans="1:9" x14ac:dyDescent="0.2">
      <c r="A3416" s="33">
        <v>40364</v>
      </c>
      <c r="B3416" s="36">
        <v>9055</v>
      </c>
      <c r="C3416" s="7">
        <v>9065</v>
      </c>
      <c r="D3416" s="7">
        <v>9070</v>
      </c>
      <c r="E3416" s="7">
        <v>9035</v>
      </c>
      <c r="F3416" s="7">
        <v>9035</v>
      </c>
      <c r="G3416" s="34"/>
      <c r="H3416" s="35">
        <v>5</v>
      </c>
      <c r="I3416" s="38">
        <f t="shared" si="52"/>
        <v>9060</v>
      </c>
    </row>
    <row r="3417" spans="1:9" x14ac:dyDescent="0.2">
      <c r="A3417" s="33">
        <v>40361</v>
      </c>
      <c r="B3417" s="36">
        <v>9050</v>
      </c>
      <c r="C3417" s="7">
        <v>9060</v>
      </c>
      <c r="D3417" s="7">
        <v>9065</v>
      </c>
      <c r="E3417" s="7">
        <v>9027</v>
      </c>
      <c r="F3417" s="7">
        <v>9047</v>
      </c>
      <c r="G3417" s="34"/>
      <c r="H3417" s="35">
        <v>-17</v>
      </c>
      <c r="I3417" s="38">
        <f t="shared" si="52"/>
        <v>9055</v>
      </c>
    </row>
    <row r="3418" spans="1:9" x14ac:dyDescent="0.2">
      <c r="A3418" s="33">
        <v>40360</v>
      </c>
      <c r="B3418" s="36">
        <v>9067</v>
      </c>
      <c r="C3418" s="7">
        <v>9077</v>
      </c>
      <c r="D3418" s="7">
        <v>9099</v>
      </c>
      <c r="E3418" s="7">
        <v>9055</v>
      </c>
      <c r="F3418" s="7">
        <v>9075</v>
      </c>
      <c r="G3418" s="34"/>
      <c r="H3418" s="35">
        <v>12</v>
      </c>
      <c r="I3418" s="38">
        <f t="shared" si="52"/>
        <v>9072</v>
      </c>
    </row>
    <row r="3419" spans="1:9" x14ac:dyDescent="0.2">
      <c r="A3419" s="33">
        <v>40359</v>
      </c>
      <c r="B3419" s="36">
        <v>9055</v>
      </c>
      <c r="C3419" s="7">
        <v>9065</v>
      </c>
      <c r="D3419" s="7">
        <v>9087</v>
      </c>
      <c r="E3419" s="7">
        <v>9055</v>
      </c>
      <c r="F3419" s="7">
        <v>9060</v>
      </c>
      <c r="G3419" s="34"/>
      <c r="H3419" s="35">
        <v>5</v>
      </c>
      <c r="I3419" s="38">
        <f t="shared" si="52"/>
        <v>9060</v>
      </c>
    </row>
    <row r="3420" spans="1:9" x14ac:dyDescent="0.2">
      <c r="A3420" s="33">
        <v>40358</v>
      </c>
      <c r="B3420" s="36">
        <v>9050</v>
      </c>
      <c r="C3420" s="7">
        <v>9060</v>
      </c>
      <c r="D3420" s="7">
        <v>9065</v>
      </c>
      <c r="E3420" s="7">
        <v>9020</v>
      </c>
      <c r="F3420" s="7">
        <v>9030</v>
      </c>
      <c r="G3420" s="34"/>
      <c r="H3420" s="35">
        <v>35</v>
      </c>
      <c r="I3420" s="38">
        <f t="shared" si="52"/>
        <v>9055</v>
      </c>
    </row>
    <row r="3421" spans="1:9" x14ac:dyDescent="0.2">
      <c r="A3421" s="33">
        <v>40357</v>
      </c>
      <c r="B3421" s="36">
        <v>9015</v>
      </c>
      <c r="C3421" s="7">
        <v>9025</v>
      </c>
      <c r="D3421" s="7">
        <v>9060</v>
      </c>
      <c r="E3421" s="7">
        <v>9015</v>
      </c>
      <c r="F3421" s="7">
        <v>9060</v>
      </c>
      <c r="G3421" s="34"/>
      <c r="H3421" s="35">
        <v>-35</v>
      </c>
      <c r="I3421" s="38">
        <f t="shared" si="52"/>
        <v>9020</v>
      </c>
    </row>
    <row r="3422" spans="1:9" x14ac:dyDescent="0.2">
      <c r="A3422" s="33">
        <v>40354</v>
      </c>
      <c r="B3422" s="36">
        <v>9050</v>
      </c>
      <c r="C3422" s="7">
        <v>9060</v>
      </c>
      <c r="D3422" s="7">
        <v>9070</v>
      </c>
      <c r="E3422" s="7">
        <v>9025</v>
      </c>
      <c r="F3422" s="7">
        <v>9025</v>
      </c>
      <c r="G3422" s="34"/>
      <c r="H3422" s="35">
        <v>10</v>
      </c>
      <c r="I3422" s="38">
        <f t="shared" si="52"/>
        <v>9055</v>
      </c>
    </row>
    <row r="3423" spans="1:9" x14ac:dyDescent="0.2">
      <c r="A3423" s="33">
        <v>40353</v>
      </c>
      <c r="B3423" s="36">
        <v>9040</v>
      </c>
      <c r="C3423" s="7">
        <v>9055</v>
      </c>
      <c r="D3423" s="7">
        <v>9064</v>
      </c>
      <c r="E3423" s="7">
        <v>9030</v>
      </c>
      <c r="F3423" s="7">
        <v>9040</v>
      </c>
      <c r="G3423" s="34"/>
      <c r="H3423" s="35">
        <v>15</v>
      </c>
      <c r="I3423" s="38">
        <f t="shared" si="52"/>
        <v>9047.5</v>
      </c>
    </row>
    <row r="3424" spans="1:9" x14ac:dyDescent="0.2">
      <c r="A3424" s="33">
        <v>40352</v>
      </c>
      <c r="B3424" s="36">
        <v>9025</v>
      </c>
      <c r="C3424" s="7">
        <v>9035</v>
      </c>
      <c r="D3424" s="7">
        <v>9065</v>
      </c>
      <c r="E3424" s="7">
        <v>9005</v>
      </c>
      <c r="F3424" s="7">
        <v>9025</v>
      </c>
      <c r="G3424" s="34"/>
      <c r="H3424" s="35">
        <v>10</v>
      </c>
      <c r="I3424" s="38">
        <f t="shared" ref="I3424:I3487" si="53">+(B3424+C3424)*0.5</f>
        <v>9030</v>
      </c>
    </row>
    <row r="3425" spans="1:9" x14ac:dyDescent="0.2">
      <c r="A3425" s="33">
        <v>40351</v>
      </c>
      <c r="B3425" s="36">
        <v>9015</v>
      </c>
      <c r="C3425" s="7">
        <v>9030</v>
      </c>
      <c r="D3425" s="7">
        <v>9035</v>
      </c>
      <c r="E3425" s="7">
        <v>8995</v>
      </c>
      <c r="F3425" s="7">
        <v>9025</v>
      </c>
      <c r="G3425" s="34"/>
      <c r="H3425" s="35">
        <v>5</v>
      </c>
      <c r="I3425" s="38">
        <f t="shared" si="53"/>
        <v>9022.5</v>
      </c>
    </row>
    <row r="3426" spans="1:9" x14ac:dyDescent="0.2">
      <c r="A3426" s="33">
        <v>40350</v>
      </c>
      <c r="B3426" s="36">
        <v>9010</v>
      </c>
      <c r="C3426" s="7">
        <v>9020</v>
      </c>
      <c r="D3426" s="7">
        <v>9075</v>
      </c>
      <c r="E3426" s="7">
        <v>8995</v>
      </c>
      <c r="F3426" s="7">
        <v>9075</v>
      </c>
      <c r="G3426" s="34"/>
      <c r="H3426" s="35">
        <v>-77</v>
      </c>
      <c r="I3426" s="38">
        <f t="shared" si="53"/>
        <v>9015</v>
      </c>
    </row>
    <row r="3427" spans="1:9" x14ac:dyDescent="0.2">
      <c r="A3427" s="33">
        <v>40347</v>
      </c>
      <c r="B3427" s="36">
        <v>9087</v>
      </c>
      <c r="C3427" s="7">
        <v>9095</v>
      </c>
      <c r="D3427" s="7">
        <v>9140</v>
      </c>
      <c r="E3427" s="7">
        <v>9085</v>
      </c>
      <c r="F3427" s="7">
        <v>9140</v>
      </c>
      <c r="G3427" s="34"/>
      <c r="H3427" s="35">
        <v>-61</v>
      </c>
      <c r="I3427" s="38">
        <f t="shared" si="53"/>
        <v>9091</v>
      </c>
    </row>
    <row r="3428" spans="1:9" x14ac:dyDescent="0.2">
      <c r="A3428" s="33">
        <v>40346</v>
      </c>
      <c r="B3428" s="36">
        <v>9148</v>
      </c>
      <c r="C3428" s="7">
        <v>9158</v>
      </c>
      <c r="D3428" s="7">
        <v>9175</v>
      </c>
      <c r="E3428" s="7">
        <v>9147</v>
      </c>
      <c r="F3428" s="7">
        <v>9165</v>
      </c>
      <c r="G3428" s="34"/>
      <c r="H3428" s="35">
        <v>1</v>
      </c>
      <c r="I3428" s="38">
        <f t="shared" si="53"/>
        <v>9153</v>
      </c>
    </row>
    <row r="3429" spans="1:9" x14ac:dyDescent="0.2">
      <c r="A3429" s="33">
        <v>40345</v>
      </c>
      <c r="B3429" s="36">
        <v>9147</v>
      </c>
      <c r="C3429" s="7">
        <v>9157</v>
      </c>
      <c r="D3429" s="7">
        <v>9165</v>
      </c>
      <c r="E3429" s="7">
        <v>9127</v>
      </c>
      <c r="F3429" s="7">
        <v>9140</v>
      </c>
      <c r="G3429" s="34"/>
      <c r="H3429" s="35">
        <v>-23</v>
      </c>
      <c r="I3429" s="38">
        <f t="shared" si="53"/>
        <v>9152</v>
      </c>
    </row>
    <row r="3430" spans="1:9" x14ac:dyDescent="0.2">
      <c r="A3430" s="33">
        <v>40344</v>
      </c>
      <c r="B3430" s="36">
        <v>9170</v>
      </c>
      <c r="C3430" s="7">
        <v>9175</v>
      </c>
      <c r="D3430" s="7">
        <v>9185</v>
      </c>
      <c r="E3430" s="7">
        <v>9165</v>
      </c>
      <c r="F3430" s="7">
        <v>9165</v>
      </c>
      <c r="G3430" s="34"/>
      <c r="H3430" s="35">
        <v>10</v>
      </c>
      <c r="I3430" s="38">
        <f t="shared" si="53"/>
        <v>9172.5</v>
      </c>
    </row>
    <row r="3431" spans="1:9" x14ac:dyDescent="0.2">
      <c r="A3431" s="33">
        <v>40343</v>
      </c>
      <c r="B3431" s="36">
        <v>9160</v>
      </c>
      <c r="C3431" s="7">
        <v>9170</v>
      </c>
      <c r="D3431" s="7">
        <v>9184</v>
      </c>
      <c r="E3431" s="7">
        <v>9160</v>
      </c>
      <c r="F3431" s="7">
        <v>9175</v>
      </c>
      <c r="G3431" s="34"/>
      <c r="H3431" s="35">
        <v>-30</v>
      </c>
      <c r="I3431" s="38">
        <f t="shared" si="53"/>
        <v>9165</v>
      </c>
    </row>
    <row r="3432" spans="1:9" x14ac:dyDescent="0.2">
      <c r="A3432" s="33">
        <v>40340</v>
      </c>
      <c r="B3432" s="36">
        <v>9190</v>
      </c>
      <c r="C3432" s="7">
        <v>9210</v>
      </c>
      <c r="D3432" s="7">
        <v>9205</v>
      </c>
      <c r="E3432" s="7">
        <v>9185</v>
      </c>
      <c r="F3432" s="7">
        <v>9200</v>
      </c>
      <c r="G3432" s="34"/>
      <c r="H3432" s="35">
        <v>-32</v>
      </c>
      <c r="I3432" s="38">
        <f t="shared" si="53"/>
        <v>9200</v>
      </c>
    </row>
    <row r="3433" spans="1:9" x14ac:dyDescent="0.2">
      <c r="A3433" s="33">
        <v>40339</v>
      </c>
      <c r="B3433" s="36">
        <v>9222</v>
      </c>
      <c r="C3433" s="7">
        <v>9233</v>
      </c>
      <c r="D3433" s="7">
        <v>9259</v>
      </c>
      <c r="E3433" s="7">
        <v>9220</v>
      </c>
      <c r="F3433" s="7">
        <v>9250</v>
      </c>
      <c r="G3433" s="34"/>
      <c r="H3433" s="35">
        <v>-23</v>
      </c>
      <c r="I3433" s="38">
        <f t="shared" si="53"/>
        <v>9227.5</v>
      </c>
    </row>
    <row r="3434" spans="1:9" x14ac:dyDescent="0.2">
      <c r="A3434" s="33">
        <v>40338</v>
      </c>
      <c r="B3434" s="36">
        <v>9245</v>
      </c>
      <c r="C3434" s="7">
        <v>9255</v>
      </c>
      <c r="D3434" s="7">
        <v>9253</v>
      </c>
      <c r="E3434" s="7">
        <v>9210</v>
      </c>
      <c r="F3434" s="7">
        <v>9230</v>
      </c>
      <c r="G3434" s="34"/>
      <c r="H3434" s="35">
        <v>5</v>
      </c>
      <c r="I3434" s="38">
        <f t="shared" si="53"/>
        <v>9250</v>
      </c>
    </row>
    <row r="3435" spans="1:9" x14ac:dyDescent="0.2">
      <c r="A3435" s="33">
        <v>40337</v>
      </c>
      <c r="B3435" s="36">
        <v>9240</v>
      </c>
      <c r="C3435" s="7">
        <v>9260</v>
      </c>
      <c r="D3435" s="7">
        <v>9267</v>
      </c>
      <c r="E3435" s="7">
        <v>9230</v>
      </c>
      <c r="F3435" s="7">
        <v>9250</v>
      </c>
      <c r="G3435" s="34"/>
      <c r="H3435" s="35">
        <v>0</v>
      </c>
      <c r="I3435" s="38">
        <f t="shared" si="53"/>
        <v>9250</v>
      </c>
    </row>
    <row r="3436" spans="1:9" x14ac:dyDescent="0.2">
      <c r="A3436" s="33">
        <v>40336</v>
      </c>
      <c r="B3436" s="36">
        <v>9240</v>
      </c>
      <c r="C3436" s="7">
        <v>9260</v>
      </c>
      <c r="D3436" s="7">
        <v>9295</v>
      </c>
      <c r="E3436" s="7">
        <v>9200</v>
      </c>
      <c r="F3436" s="7">
        <v>9200</v>
      </c>
      <c r="G3436" s="34"/>
      <c r="H3436" s="35">
        <v>65</v>
      </c>
      <c r="I3436" s="38">
        <f t="shared" si="53"/>
        <v>9250</v>
      </c>
    </row>
    <row r="3437" spans="1:9" x14ac:dyDescent="0.2">
      <c r="A3437" s="33">
        <v>40333</v>
      </c>
      <c r="B3437" s="36">
        <v>9175</v>
      </c>
      <c r="C3437" s="7">
        <v>9185</v>
      </c>
      <c r="D3437" s="7">
        <v>9210</v>
      </c>
      <c r="E3437" s="7">
        <v>9175</v>
      </c>
      <c r="F3437" s="7">
        <v>9210</v>
      </c>
      <c r="G3437" s="34"/>
      <c r="H3437" s="35">
        <v>-10</v>
      </c>
      <c r="I3437" s="38">
        <f t="shared" si="53"/>
        <v>9180</v>
      </c>
    </row>
    <row r="3438" spans="1:9" x14ac:dyDescent="0.2">
      <c r="A3438" s="33">
        <v>40332</v>
      </c>
      <c r="B3438" s="36">
        <v>9185</v>
      </c>
      <c r="C3438" s="7">
        <v>9195</v>
      </c>
      <c r="D3438" s="7">
        <v>9205</v>
      </c>
      <c r="E3438" s="7">
        <v>9170</v>
      </c>
      <c r="F3438" s="7">
        <v>9190</v>
      </c>
      <c r="G3438" s="34"/>
      <c r="H3438" s="35">
        <v>-25</v>
      </c>
      <c r="I3438" s="38">
        <f t="shared" si="53"/>
        <v>9190</v>
      </c>
    </row>
    <row r="3439" spans="1:9" x14ac:dyDescent="0.2">
      <c r="A3439" s="33">
        <v>40331</v>
      </c>
      <c r="B3439" s="36">
        <v>9210</v>
      </c>
      <c r="C3439" s="7">
        <v>9230</v>
      </c>
      <c r="D3439" s="7">
        <v>9255</v>
      </c>
      <c r="E3439" s="7">
        <v>9203</v>
      </c>
      <c r="F3439" s="7">
        <v>9220</v>
      </c>
      <c r="G3439" s="34"/>
      <c r="H3439" s="35">
        <v>0</v>
      </c>
      <c r="I3439" s="38">
        <f t="shared" si="53"/>
        <v>9220</v>
      </c>
    </row>
    <row r="3440" spans="1:9" x14ac:dyDescent="0.2">
      <c r="A3440" s="33">
        <v>40330</v>
      </c>
      <c r="B3440" s="36">
        <v>9210</v>
      </c>
      <c r="C3440" s="7">
        <v>9225</v>
      </c>
      <c r="D3440" s="7">
        <v>9240</v>
      </c>
      <c r="E3440" s="7">
        <v>9185</v>
      </c>
      <c r="F3440" s="7">
        <v>9200</v>
      </c>
      <c r="G3440" s="34"/>
      <c r="H3440" s="35">
        <v>40</v>
      </c>
      <c r="I3440" s="38">
        <f t="shared" si="53"/>
        <v>9217.5</v>
      </c>
    </row>
    <row r="3441" spans="1:9" x14ac:dyDescent="0.2">
      <c r="A3441" s="33">
        <v>40329</v>
      </c>
      <c r="B3441" s="36">
        <v>9170</v>
      </c>
      <c r="C3441" s="7">
        <v>9180</v>
      </c>
      <c r="D3441" s="7">
        <v>9240</v>
      </c>
      <c r="E3441" s="7">
        <v>9155</v>
      </c>
      <c r="F3441" s="7">
        <v>9240</v>
      </c>
      <c r="G3441" s="34"/>
      <c r="H3441" s="35">
        <v>-85</v>
      </c>
      <c r="I3441" s="38">
        <f t="shared" si="53"/>
        <v>9175</v>
      </c>
    </row>
    <row r="3442" spans="1:9" x14ac:dyDescent="0.2">
      <c r="A3442" s="33">
        <v>40326</v>
      </c>
      <c r="B3442" s="36">
        <v>9255</v>
      </c>
      <c r="C3442" s="7">
        <v>9265</v>
      </c>
      <c r="D3442" s="7"/>
      <c r="E3442" s="7"/>
      <c r="F3442" s="7"/>
      <c r="G3442" s="34"/>
      <c r="H3442" s="35">
        <v>0</v>
      </c>
      <c r="I3442" s="38">
        <f t="shared" si="53"/>
        <v>9260</v>
      </c>
    </row>
    <row r="3443" spans="1:9" x14ac:dyDescent="0.2">
      <c r="A3443" s="33">
        <v>40325</v>
      </c>
      <c r="B3443" s="36">
        <v>9255</v>
      </c>
      <c r="C3443" s="7">
        <v>9265</v>
      </c>
      <c r="D3443" s="7">
        <v>9350</v>
      </c>
      <c r="E3443" s="7">
        <v>9215</v>
      </c>
      <c r="F3443" s="7">
        <v>9335</v>
      </c>
      <c r="G3443" s="34"/>
      <c r="H3443" s="35">
        <v>-55</v>
      </c>
      <c r="I3443" s="38">
        <f t="shared" si="53"/>
        <v>9260</v>
      </c>
    </row>
    <row r="3444" spans="1:9" x14ac:dyDescent="0.2">
      <c r="A3444" s="33">
        <v>40324</v>
      </c>
      <c r="B3444" s="36">
        <v>9310</v>
      </c>
      <c r="C3444" s="7">
        <v>9330</v>
      </c>
      <c r="D3444" s="7">
        <v>9377</v>
      </c>
      <c r="E3444" s="7">
        <v>9310</v>
      </c>
      <c r="F3444" s="7">
        <v>9350</v>
      </c>
      <c r="G3444" s="34"/>
      <c r="H3444" s="35">
        <v>-35</v>
      </c>
      <c r="I3444" s="38">
        <f t="shared" si="53"/>
        <v>9320</v>
      </c>
    </row>
    <row r="3445" spans="1:9" x14ac:dyDescent="0.2">
      <c r="A3445" s="33">
        <v>40323</v>
      </c>
      <c r="B3445" s="36">
        <v>9345</v>
      </c>
      <c r="C3445" s="7">
        <v>9375</v>
      </c>
      <c r="D3445" s="7">
        <v>9380</v>
      </c>
      <c r="E3445" s="7">
        <v>9260</v>
      </c>
      <c r="F3445" s="7">
        <v>9260</v>
      </c>
      <c r="G3445" s="34"/>
      <c r="H3445" s="35">
        <v>90</v>
      </c>
      <c r="I3445" s="38">
        <f t="shared" si="53"/>
        <v>9360</v>
      </c>
    </row>
    <row r="3446" spans="1:9" x14ac:dyDescent="0.2">
      <c r="A3446" s="33">
        <v>40322</v>
      </c>
      <c r="B3446" s="36">
        <v>9255</v>
      </c>
      <c r="C3446" s="7">
        <v>9265</v>
      </c>
      <c r="D3446" s="7">
        <v>9288</v>
      </c>
      <c r="E3446" s="7">
        <v>9220</v>
      </c>
      <c r="F3446" s="7">
        <v>9260</v>
      </c>
      <c r="G3446" s="34"/>
      <c r="H3446" s="35">
        <v>-5</v>
      </c>
      <c r="I3446" s="38">
        <f t="shared" si="53"/>
        <v>9260</v>
      </c>
    </row>
    <row r="3447" spans="1:9" x14ac:dyDescent="0.2">
      <c r="A3447" s="33">
        <v>40319</v>
      </c>
      <c r="B3447" s="36">
        <v>9260</v>
      </c>
      <c r="C3447" s="7">
        <v>9280</v>
      </c>
      <c r="D3447" s="7">
        <v>9345</v>
      </c>
      <c r="E3447" s="7">
        <v>9250</v>
      </c>
      <c r="F3447" s="7">
        <v>9250</v>
      </c>
      <c r="G3447" s="34"/>
      <c r="H3447" s="35">
        <v>20</v>
      </c>
      <c r="I3447" s="38">
        <f t="shared" si="53"/>
        <v>9270</v>
      </c>
    </row>
    <row r="3448" spans="1:9" x14ac:dyDescent="0.2">
      <c r="A3448" s="33">
        <v>40318</v>
      </c>
      <c r="B3448" s="36">
        <v>9240</v>
      </c>
      <c r="C3448" s="7">
        <v>9260</v>
      </c>
      <c r="D3448" s="7">
        <v>9270</v>
      </c>
      <c r="E3448" s="7">
        <v>9160</v>
      </c>
      <c r="F3448" s="7">
        <v>9160</v>
      </c>
      <c r="G3448" s="34"/>
      <c r="H3448" s="35">
        <v>90</v>
      </c>
      <c r="I3448" s="38">
        <f t="shared" si="53"/>
        <v>9250</v>
      </c>
    </row>
    <row r="3449" spans="1:9" x14ac:dyDescent="0.2">
      <c r="A3449" s="33">
        <v>40317</v>
      </c>
      <c r="B3449" s="36">
        <v>9150</v>
      </c>
      <c r="C3449" s="7">
        <v>9170</v>
      </c>
      <c r="D3449" s="7">
        <v>9170</v>
      </c>
      <c r="E3449" s="7">
        <v>9110</v>
      </c>
      <c r="F3449" s="7">
        <v>9110</v>
      </c>
      <c r="G3449" s="34"/>
      <c r="H3449" s="35">
        <v>50</v>
      </c>
      <c r="I3449" s="38">
        <f t="shared" si="53"/>
        <v>9160</v>
      </c>
    </row>
    <row r="3450" spans="1:9" x14ac:dyDescent="0.2">
      <c r="A3450" s="33">
        <v>40316</v>
      </c>
      <c r="B3450" s="36">
        <v>9100</v>
      </c>
      <c r="C3450" s="7">
        <v>9110</v>
      </c>
      <c r="D3450" s="7">
        <v>9138</v>
      </c>
      <c r="E3450" s="7">
        <v>9088</v>
      </c>
      <c r="F3450" s="7">
        <v>9130</v>
      </c>
      <c r="G3450" s="34"/>
      <c r="H3450" s="35">
        <v>-25</v>
      </c>
      <c r="I3450" s="38">
        <f t="shared" si="53"/>
        <v>9105</v>
      </c>
    </row>
    <row r="3451" spans="1:9" x14ac:dyDescent="0.2">
      <c r="A3451" s="33">
        <v>40315</v>
      </c>
      <c r="B3451" s="36">
        <v>9125</v>
      </c>
      <c r="C3451" s="7">
        <v>9135</v>
      </c>
      <c r="D3451" s="7">
        <v>9155</v>
      </c>
      <c r="E3451" s="7">
        <v>9100</v>
      </c>
      <c r="F3451" s="7">
        <v>9100</v>
      </c>
      <c r="G3451" s="34"/>
      <c r="H3451" s="35">
        <v>35</v>
      </c>
      <c r="I3451" s="38">
        <f t="shared" si="53"/>
        <v>9130</v>
      </c>
    </row>
    <row r="3452" spans="1:9" x14ac:dyDescent="0.2">
      <c r="A3452" s="33">
        <v>40312</v>
      </c>
      <c r="B3452" s="36">
        <v>9090</v>
      </c>
      <c r="C3452" s="7">
        <v>9098</v>
      </c>
      <c r="D3452" s="7">
        <v>9105</v>
      </c>
      <c r="E3452" s="7">
        <v>9085</v>
      </c>
      <c r="F3452" s="7">
        <v>9090</v>
      </c>
      <c r="G3452" s="34"/>
      <c r="H3452" s="35">
        <v>10</v>
      </c>
      <c r="I3452" s="38">
        <f t="shared" si="53"/>
        <v>9094</v>
      </c>
    </row>
    <row r="3453" spans="1:9" x14ac:dyDescent="0.2">
      <c r="A3453" s="33">
        <v>40311</v>
      </c>
      <c r="B3453" s="36">
        <v>9080</v>
      </c>
      <c r="C3453" s="7">
        <v>9090</v>
      </c>
      <c r="D3453" s="7"/>
      <c r="E3453" s="7"/>
      <c r="F3453" s="7"/>
      <c r="G3453" s="34"/>
      <c r="H3453" s="35">
        <v>0</v>
      </c>
      <c r="I3453" s="38">
        <f t="shared" si="53"/>
        <v>9085</v>
      </c>
    </row>
    <row r="3454" spans="1:9" x14ac:dyDescent="0.2">
      <c r="A3454" s="33">
        <v>40310</v>
      </c>
      <c r="B3454" s="36">
        <v>9080</v>
      </c>
      <c r="C3454" s="7">
        <v>9090</v>
      </c>
      <c r="D3454" s="7">
        <v>9125</v>
      </c>
      <c r="E3454" s="7">
        <v>9080</v>
      </c>
      <c r="F3454" s="7">
        <v>9095</v>
      </c>
      <c r="G3454" s="34"/>
      <c r="H3454" s="35">
        <v>-10</v>
      </c>
      <c r="I3454" s="38">
        <f t="shared" si="53"/>
        <v>9085</v>
      </c>
    </row>
    <row r="3455" spans="1:9" x14ac:dyDescent="0.2">
      <c r="A3455" s="33">
        <v>40309</v>
      </c>
      <c r="B3455" s="36">
        <v>9090</v>
      </c>
      <c r="C3455" s="7">
        <v>9100</v>
      </c>
      <c r="D3455" s="7">
        <v>9100</v>
      </c>
      <c r="E3455" s="7">
        <v>9055</v>
      </c>
      <c r="F3455" s="7">
        <v>9080</v>
      </c>
      <c r="G3455" s="34"/>
      <c r="H3455" s="35">
        <v>20</v>
      </c>
      <c r="I3455" s="38">
        <f t="shared" si="53"/>
        <v>9095</v>
      </c>
    </row>
    <row r="3456" spans="1:9" x14ac:dyDescent="0.2">
      <c r="A3456" s="33">
        <v>40308</v>
      </c>
      <c r="B3456" s="36">
        <v>9070</v>
      </c>
      <c r="C3456" s="7">
        <v>9080</v>
      </c>
      <c r="D3456" s="7">
        <v>9180</v>
      </c>
      <c r="E3456" s="7">
        <v>9065</v>
      </c>
      <c r="F3456" s="7">
        <v>9180</v>
      </c>
      <c r="G3456" s="34"/>
      <c r="H3456" s="35">
        <v>-115</v>
      </c>
      <c r="I3456" s="38">
        <f t="shared" si="53"/>
        <v>9075</v>
      </c>
    </row>
    <row r="3457" spans="1:9" x14ac:dyDescent="0.2">
      <c r="A3457" s="33">
        <v>40305</v>
      </c>
      <c r="B3457" s="36">
        <v>9185</v>
      </c>
      <c r="C3457" s="7">
        <v>9195</v>
      </c>
      <c r="D3457" s="7">
        <v>9300</v>
      </c>
      <c r="E3457" s="7">
        <v>9184</v>
      </c>
      <c r="F3457" s="7">
        <v>9200</v>
      </c>
      <c r="G3457" s="34"/>
      <c r="H3457" s="35">
        <v>-5</v>
      </c>
      <c r="I3457" s="38">
        <f t="shared" si="53"/>
        <v>9190</v>
      </c>
    </row>
    <row r="3458" spans="1:9" x14ac:dyDescent="0.2">
      <c r="A3458" s="33">
        <v>40304</v>
      </c>
      <c r="B3458" s="36">
        <v>9190</v>
      </c>
      <c r="C3458" s="7">
        <v>9210</v>
      </c>
      <c r="D3458" s="7">
        <v>9265</v>
      </c>
      <c r="E3458" s="7">
        <v>9095</v>
      </c>
      <c r="F3458" s="7">
        <v>9095</v>
      </c>
      <c r="G3458" s="34"/>
      <c r="H3458" s="35">
        <v>105</v>
      </c>
      <c r="I3458" s="38">
        <f t="shared" si="53"/>
        <v>9200</v>
      </c>
    </row>
    <row r="3459" spans="1:9" x14ac:dyDescent="0.2">
      <c r="A3459" s="33">
        <v>40303</v>
      </c>
      <c r="B3459" s="36">
        <v>9085</v>
      </c>
      <c r="C3459" s="7">
        <v>9095</v>
      </c>
      <c r="D3459" s="7">
        <v>9110</v>
      </c>
      <c r="E3459" s="7">
        <v>9030</v>
      </c>
      <c r="F3459" s="7">
        <v>9030</v>
      </c>
      <c r="G3459" s="34"/>
      <c r="H3459" s="35">
        <v>65</v>
      </c>
      <c r="I3459" s="38">
        <f t="shared" si="53"/>
        <v>9090</v>
      </c>
    </row>
    <row r="3460" spans="1:9" x14ac:dyDescent="0.2">
      <c r="A3460" s="33">
        <v>40302</v>
      </c>
      <c r="B3460" s="36">
        <v>9020</v>
      </c>
      <c r="C3460" s="7">
        <v>9030</v>
      </c>
      <c r="D3460" s="7">
        <v>9030</v>
      </c>
      <c r="E3460" s="7">
        <v>9010</v>
      </c>
      <c r="F3460" s="7">
        <v>9020</v>
      </c>
      <c r="G3460" s="34"/>
      <c r="H3460" s="35">
        <v>0</v>
      </c>
      <c r="I3460" s="38">
        <f t="shared" si="53"/>
        <v>9025</v>
      </c>
    </row>
    <row r="3461" spans="1:9" x14ac:dyDescent="0.2">
      <c r="A3461" s="33">
        <v>40301</v>
      </c>
      <c r="B3461" s="36">
        <v>9020</v>
      </c>
      <c r="C3461" s="7">
        <v>9030</v>
      </c>
      <c r="D3461" s="7">
        <v>9035</v>
      </c>
      <c r="E3461" s="7">
        <v>9015</v>
      </c>
      <c r="F3461" s="7">
        <v>9025</v>
      </c>
      <c r="G3461" s="34"/>
      <c r="H3461" s="35">
        <v>10</v>
      </c>
      <c r="I3461" s="38">
        <f t="shared" si="53"/>
        <v>9025</v>
      </c>
    </row>
    <row r="3462" spans="1:9" x14ac:dyDescent="0.2">
      <c r="A3462" s="33">
        <v>40298</v>
      </c>
      <c r="B3462" s="36">
        <v>9010</v>
      </c>
      <c r="C3462" s="7">
        <v>9015</v>
      </c>
      <c r="D3462" s="7">
        <v>9015</v>
      </c>
      <c r="E3462" s="7">
        <v>8993</v>
      </c>
      <c r="F3462" s="7">
        <v>9010</v>
      </c>
      <c r="G3462" s="34"/>
      <c r="H3462" s="35">
        <v>-7</v>
      </c>
      <c r="I3462" s="38">
        <f t="shared" si="53"/>
        <v>9012.5</v>
      </c>
    </row>
    <row r="3463" spans="1:9" x14ac:dyDescent="0.2">
      <c r="A3463" s="33">
        <v>40297</v>
      </c>
      <c r="B3463" s="36">
        <v>9017</v>
      </c>
      <c r="C3463" s="7">
        <v>9022</v>
      </c>
      <c r="D3463" s="7">
        <v>9030</v>
      </c>
      <c r="E3463" s="7">
        <v>9011</v>
      </c>
      <c r="F3463" s="7">
        <v>9022</v>
      </c>
      <c r="G3463" s="34"/>
      <c r="H3463" s="35">
        <v>-20</v>
      </c>
      <c r="I3463" s="38">
        <f t="shared" si="53"/>
        <v>9019.5</v>
      </c>
    </row>
    <row r="3464" spans="1:9" x14ac:dyDescent="0.2">
      <c r="A3464" s="33">
        <v>40296</v>
      </c>
      <c r="B3464" s="36">
        <v>9037</v>
      </c>
      <c r="C3464" s="7">
        <v>9045</v>
      </c>
      <c r="D3464" s="7">
        <v>9050</v>
      </c>
      <c r="E3464" s="7">
        <v>9015</v>
      </c>
      <c r="F3464" s="7">
        <v>9030</v>
      </c>
      <c r="G3464" s="34"/>
      <c r="H3464" s="35">
        <v>32</v>
      </c>
      <c r="I3464" s="38">
        <f t="shared" si="53"/>
        <v>9041</v>
      </c>
    </row>
    <row r="3465" spans="1:9" x14ac:dyDescent="0.2">
      <c r="A3465" s="33">
        <v>40295</v>
      </c>
      <c r="B3465" s="36">
        <v>9005</v>
      </c>
      <c r="C3465" s="7">
        <v>9009</v>
      </c>
      <c r="D3465" s="7">
        <v>9012</v>
      </c>
      <c r="E3465" s="7">
        <v>9000</v>
      </c>
      <c r="F3465" s="7">
        <v>9010</v>
      </c>
      <c r="G3465" s="34"/>
      <c r="H3465" s="35">
        <v>0</v>
      </c>
      <c r="I3465" s="38">
        <f t="shared" si="53"/>
        <v>9007</v>
      </c>
    </row>
    <row r="3466" spans="1:9" x14ac:dyDescent="0.2">
      <c r="A3466" s="33">
        <v>40294</v>
      </c>
      <c r="B3466" s="36">
        <v>9005</v>
      </c>
      <c r="C3466" s="7">
        <v>9010</v>
      </c>
      <c r="D3466" s="7">
        <v>9006</v>
      </c>
      <c r="E3466" s="7">
        <v>8985</v>
      </c>
      <c r="F3466" s="7">
        <v>8995</v>
      </c>
      <c r="G3466" s="34"/>
      <c r="H3466" s="35">
        <v>-4</v>
      </c>
      <c r="I3466" s="38">
        <f t="shared" si="53"/>
        <v>9007.5</v>
      </c>
    </row>
    <row r="3467" spans="1:9" x14ac:dyDescent="0.2">
      <c r="A3467" s="33">
        <v>40291</v>
      </c>
      <c r="B3467" s="36">
        <v>9009</v>
      </c>
      <c r="C3467" s="7">
        <v>9013</v>
      </c>
      <c r="D3467" s="7">
        <v>9025</v>
      </c>
      <c r="E3467" s="7">
        <v>9000</v>
      </c>
      <c r="F3467" s="7">
        <v>9020</v>
      </c>
      <c r="G3467" s="34"/>
      <c r="H3467" s="35">
        <v>-1</v>
      </c>
      <c r="I3467" s="38">
        <f t="shared" si="53"/>
        <v>9011</v>
      </c>
    </row>
    <row r="3468" spans="1:9" x14ac:dyDescent="0.2">
      <c r="A3468" s="33">
        <v>40290</v>
      </c>
      <c r="B3468" s="36">
        <v>9010</v>
      </c>
      <c r="C3468" s="7">
        <v>9017</v>
      </c>
      <c r="D3468" s="7">
        <v>9030</v>
      </c>
      <c r="E3468" s="7">
        <v>9000</v>
      </c>
      <c r="F3468" s="7">
        <v>9018</v>
      </c>
      <c r="G3468" s="34"/>
      <c r="H3468" s="35">
        <v>-2</v>
      </c>
      <c r="I3468" s="38">
        <f t="shared" si="53"/>
        <v>9013.5</v>
      </c>
    </row>
    <row r="3469" spans="1:9" x14ac:dyDescent="0.2">
      <c r="A3469" s="33">
        <v>40289</v>
      </c>
      <c r="B3469" s="36">
        <v>9012</v>
      </c>
      <c r="C3469" s="7">
        <v>9022</v>
      </c>
      <c r="D3469" s="7">
        <v>9015</v>
      </c>
      <c r="E3469" s="7">
        <v>8990</v>
      </c>
      <c r="F3469" s="7">
        <v>9005</v>
      </c>
      <c r="G3469" s="34"/>
      <c r="H3469" s="35">
        <v>12</v>
      </c>
      <c r="I3469" s="38">
        <f t="shared" si="53"/>
        <v>9017</v>
      </c>
    </row>
    <row r="3470" spans="1:9" x14ac:dyDescent="0.2">
      <c r="A3470" s="33">
        <v>40288</v>
      </c>
      <c r="B3470" s="36">
        <v>9000</v>
      </c>
      <c r="C3470" s="7">
        <v>9010</v>
      </c>
      <c r="D3470" s="7">
        <v>9029</v>
      </c>
      <c r="E3470" s="7">
        <v>9000</v>
      </c>
      <c r="F3470" s="7">
        <v>9025</v>
      </c>
      <c r="G3470" s="34"/>
      <c r="H3470" s="35">
        <v>-40</v>
      </c>
      <c r="I3470" s="38">
        <f t="shared" si="53"/>
        <v>9005</v>
      </c>
    </row>
    <row r="3471" spans="1:9" x14ac:dyDescent="0.2">
      <c r="A3471" s="33">
        <v>40287</v>
      </c>
      <c r="B3471" s="36">
        <v>9040</v>
      </c>
      <c r="C3471" s="7">
        <v>9044</v>
      </c>
      <c r="D3471" s="7">
        <v>9045</v>
      </c>
      <c r="E3471" s="7">
        <v>9015</v>
      </c>
      <c r="F3471" s="7">
        <v>9015</v>
      </c>
      <c r="G3471" s="34"/>
      <c r="H3471" s="35">
        <v>35</v>
      </c>
      <c r="I3471" s="38">
        <f t="shared" si="53"/>
        <v>9042</v>
      </c>
    </row>
    <row r="3472" spans="1:9" x14ac:dyDescent="0.2">
      <c r="A3472" s="33">
        <v>40284</v>
      </c>
      <c r="B3472" s="36">
        <v>9005</v>
      </c>
      <c r="C3472" s="7">
        <v>9010</v>
      </c>
      <c r="D3472" s="7">
        <v>9018</v>
      </c>
      <c r="E3472" s="7">
        <v>8995</v>
      </c>
      <c r="F3472" s="7">
        <v>9010</v>
      </c>
      <c r="G3472" s="34"/>
      <c r="H3472" s="35">
        <v>5</v>
      </c>
      <c r="I3472" s="38">
        <f t="shared" si="53"/>
        <v>9007.5</v>
      </c>
    </row>
    <row r="3473" spans="1:9" x14ac:dyDescent="0.2">
      <c r="A3473" s="33">
        <v>40283</v>
      </c>
      <c r="B3473" s="36">
        <v>9000</v>
      </c>
      <c r="C3473" s="7">
        <v>9005</v>
      </c>
      <c r="D3473" s="7">
        <v>9008</v>
      </c>
      <c r="E3473" s="7">
        <v>8975</v>
      </c>
      <c r="F3473" s="7">
        <v>8995</v>
      </c>
      <c r="G3473" s="34"/>
      <c r="H3473" s="35">
        <v>-5</v>
      </c>
      <c r="I3473" s="38">
        <f t="shared" si="53"/>
        <v>9002.5</v>
      </c>
    </row>
    <row r="3474" spans="1:9" x14ac:dyDescent="0.2">
      <c r="A3474" s="33">
        <v>40282</v>
      </c>
      <c r="B3474" s="36">
        <v>9005</v>
      </c>
      <c r="C3474" s="7">
        <v>9010</v>
      </c>
      <c r="D3474" s="7">
        <v>9011</v>
      </c>
      <c r="E3474" s="7">
        <v>8899</v>
      </c>
      <c r="F3474" s="7">
        <v>9005</v>
      </c>
      <c r="G3474" s="34"/>
      <c r="H3474" s="35">
        <v>-15</v>
      </c>
      <c r="I3474" s="38">
        <f t="shared" si="53"/>
        <v>9007.5</v>
      </c>
    </row>
    <row r="3475" spans="1:9" x14ac:dyDescent="0.2">
      <c r="A3475" s="33">
        <v>40281</v>
      </c>
      <c r="B3475" s="36">
        <v>9020</v>
      </c>
      <c r="C3475" s="7">
        <v>9030</v>
      </c>
      <c r="D3475" s="7">
        <v>9030</v>
      </c>
      <c r="E3475" s="7">
        <v>9005</v>
      </c>
      <c r="F3475" s="7">
        <v>9020</v>
      </c>
      <c r="G3475" s="34"/>
      <c r="H3475" s="35">
        <v>5</v>
      </c>
      <c r="I3475" s="38">
        <f t="shared" si="53"/>
        <v>9025</v>
      </c>
    </row>
    <row r="3476" spans="1:9" x14ac:dyDescent="0.2">
      <c r="A3476" s="33">
        <v>40280</v>
      </c>
      <c r="B3476" s="36">
        <v>9015</v>
      </c>
      <c r="C3476" s="7">
        <v>9025</v>
      </c>
      <c r="D3476" s="7">
        <v>9015</v>
      </c>
      <c r="E3476" s="7">
        <v>8990</v>
      </c>
      <c r="F3476" s="7">
        <v>9000</v>
      </c>
      <c r="G3476" s="34"/>
      <c r="H3476" s="35">
        <v>-7</v>
      </c>
      <c r="I3476" s="38">
        <f t="shared" si="53"/>
        <v>9020</v>
      </c>
    </row>
    <row r="3477" spans="1:9" x14ac:dyDescent="0.2">
      <c r="A3477" s="33">
        <v>40277</v>
      </c>
      <c r="B3477" s="36">
        <v>9022</v>
      </c>
      <c r="C3477" s="7">
        <v>9033</v>
      </c>
      <c r="D3477" s="7">
        <v>9049</v>
      </c>
      <c r="E3477" s="7">
        <v>8990</v>
      </c>
      <c r="F3477" s="7">
        <v>9044</v>
      </c>
      <c r="G3477" s="34"/>
      <c r="H3477" s="35">
        <v>-33</v>
      </c>
      <c r="I3477" s="38">
        <f t="shared" si="53"/>
        <v>9027.5</v>
      </c>
    </row>
    <row r="3478" spans="1:9" x14ac:dyDescent="0.2">
      <c r="A3478" s="33">
        <v>40276</v>
      </c>
      <c r="B3478" s="36">
        <v>9055</v>
      </c>
      <c r="C3478" s="7">
        <v>9065</v>
      </c>
      <c r="D3478" s="7">
        <v>9075</v>
      </c>
      <c r="E3478" s="7">
        <v>9045</v>
      </c>
      <c r="F3478" s="7">
        <v>9045</v>
      </c>
      <c r="G3478" s="34"/>
      <c r="H3478" s="35">
        <v>10</v>
      </c>
      <c r="I3478" s="38">
        <f t="shared" si="53"/>
        <v>9060</v>
      </c>
    </row>
    <row r="3479" spans="1:9" x14ac:dyDescent="0.2">
      <c r="A3479" s="33">
        <v>40275</v>
      </c>
      <c r="B3479" s="36">
        <v>9045</v>
      </c>
      <c r="C3479" s="7">
        <v>9050</v>
      </c>
      <c r="D3479" s="7">
        <v>9050</v>
      </c>
      <c r="E3479" s="7">
        <v>9024</v>
      </c>
      <c r="F3479" s="7">
        <v>9032</v>
      </c>
      <c r="G3479" s="34"/>
      <c r="H3479" s="35">
        <v>5</v>
      </c>
      <c r="I3479" s="38">
        <f t="shared" si="53"/>
        <v>9047.5</v>
      </c>
    </row>
    <row r="3480" spans="1:9" x14ac:dyDescent="0.2">
      <c r="A3480" s="33">
        <v>40274</v>
      </c>
      <c r="B3480" s="36">
        <v>9040</v>
      </c>
      <c r="C3480" s="7">
        <v>9050</v>
      </c>
      <c r="D3480" s="7">
        <v>9142</v>
      </c>
      <c r="E3480" s="7">
        <v>9000</v>
      </c>
      <c r="F3480" s="7">
        <v>9045</v>
      </c>
      <c r="G3480" s="34"/>
      <c r="H3480" s="35">
        <v>-15</v>
      </c>
      <c r="I3480" s="38">
        <f t="shared" si="53"/>
        <v>9045</v>
      </c>
    </row>
    <row r="3481" spans="1:9" x14ac:dyDescent="0.2">
      <c r="A3481" s="33">
        <v>40273</v>
      </c>
      <c r="B3481" s="36">
        <v>9055</v>
      </c>
      <c r="C3481" s="7">
        <v>9059</v>
      </c>
      <c r="D3481" s="7">
        <v>9065</v>
      </c>
      <c r="E3481" s="7">
        <v>9000</v>
      </c>
      <c r="F3481" s="7">
        <v>9055</v>
      </c>
      <c r="G3481" s="34"/>
      <c r="H3481" s="35">
        <v>-5</v>
      </c>
      <c r="I3481" s="38">
        <f t="shared" si="53"/>
        <v>9057</v>
      </c>
    </row>
    <row r="3482" spans="1:9" x14ac:dyDescent="0.2">
      <c r="A3482" s="33">
        <v>40270</v>
      </c>
      <c r="B3482" s="36">
        <v>9060</v>
      </c>
      <c r="C3482" s="7">
        <v>9070</v>
      </c>
      <c r="D3482" s="7"/>
      <c r="E3482" s="7"/>
      <c r="F3482" s="7"/>
      <c r="G3482" s="34"/>
      <c r="H3482" s="35">
        <v>-6</v>
      </c>
      <c r="I3482" s="38">
        <f t="shared" si="53"/>
        <v>9065</v>
      </c>
    </row>
    <row r="3483" spans="1:9" x14ac:dyDescent="0.2">
      <c r="A3483" s="33">
        <v>40269</v>
      </c>
      <c r="B3483" s="36">
        <v>9066</v>
      </c>
      <c r="C3483" s="7">
        <v>9077</v>
      </c>
      <c r="D3483" s="7">
        <v>9084</v>
      </c>
      <c r="E3483" s="7">
        <v>9045</v>
      </c>
      <c r="F3483" s="7">
        <v>9083</v>
      </c>
      <c r="G3483" s="34"/>
      <c r="H3483" s="35">
        <v>-19</v>
      </c>
      <c r="I3483" s="38">
        <f t="shared" si="53"/>
        <v>9071.5</v>
      </c>
    </row>
    <row r="3484" spans="1:9" x14ac:dyDescent="0.2">
      <c r="A3484" s="33">
        <v>40268</v>
      </c>
      <c r="B3484" s="36">
        <v>9085</v>
      </c>
      <c r="C3484" s="7">
        <v>9095</v>
      </c>
      <c r="D3484" s="7">
        <v>9119</v>
      </c>
      <c r="E3484" s="7">
        <v>9082</v>
      </c>
      <c r="F3484" s="7">
        <v>9105</v>
      </c>
      <c r="G3484" s="34"/>
      <c r="H3484" s="35">
        <v>-15</v>
      </c>
      <c r="I3484" s="38">
        <f t="shared" si="53"/>
        <v>9090</v>
      </c>
    </row>
    <row r="3485" spans="1:9" x14ac:dyDescent="0.2">
      <c r="A3485" s="33">
        <v>40267</v>
      </c>
      <c r="B3485" s="36">
        <v>9100</v>
      </c>
      <c r="C3485" s="7">
        <v>9110</v>
      </c>
      <c r="D3485" s="7">
        <v>9090</v>
      </c>
      <c r="E3485" s="7">
        <v>9001</v>
      </c>
      <c r="F3485" s="7">
        <v>9060</v>
      </c>
      <c r="G3485" s="34"/>
      <c r="H3485" s="35">
        <v>15</v>
      </c>
      <c r="I3485" s="38">
        <f t="shared" si="53"/>
        <v>9105</v>
      </c>
    </row>
    <row r="3486" spans="1:9" x14ac:dyDescent="0.2">
      <c r="A3486" s="33">
        <v>40266</v>
      </c>
      <c r="B3486" s="36">
        <v>9085</v>
      </c>
      <c r="C3486" s="7">
        <v>9095</v>
      </c>
      <c r="D3486" s="7">
        <v>9111</v>
      </c>
      <c r="E3486" s="7">
        <v>9065</v>
      </c>
      <c r="F3486" s="7">
        <v>9110</v>
      </c>
      <c r="G3486" s="34"/>
      <c r="H3486" s="35">
        <v>-30</v>
      </c>
      <c r="I3486" s="38">
        <f t="shared" si="53"/>
        <v>9090</v>
      </c>
    </row>
    <row r="3487" spans="1:9" x14ac:dyDescent="0.2">
      <c r="A3487" s="33">
        <v>40263</v>
      </c>
      <c r="B3487" s="36">
        <v>9115</v>
      </c>
      <c r="C3487" s="7">
        <v>9125</v>
      </c>
      <c r="D3487" s="7">
        <v>9135</v>
      </c>
      <c r="E3487" s="7">
        <v>9105</v>
      </c>
      <c r="F3487" s="7">
        <v>9130</v>
      </c>
      <c r="G3487" s="34"/>
      <c r="H3487" s="35">
        <v>-5</v>
      </c>
      <c r="I3487" s="38">
        <f t="shared" si="53"/>
        <v>9120</v>
      </c>
    </row>
    <row r="3488" spans="1:9" x14ac:dyDescent="0.2">
      <c r="A3488" s="33">
        <v>40262</v>
      </c>
      <c r="B3488" s="36">
        <v>9120</v>
      </c>
      <c r="C3488" s="7">
        <v>9140</v>
      </c>
      <c r="D3488" s="7">
        <v>9145</v>
      </c>
      <c r="E3488" s="7">
        <v>9115</v>
      </c>
      <c r="F3488" s="7">
        <v>9125</v>
      </c>
      <c r="G3488" s="34"/>
      <c r="H3488" s="35">
        <v>-2</v>
      </c>
      <c r="I3488" s="38">
        <f t="shared" ref="I3488:I3547" si="54">+(B3488+C3488)*0.5</f>
        <v>9130</v>
      </c>
    </row>
    <row r="3489" spans="1:9" x14ac:dyDescent="0.2">
      <c r="A3489" s="33">
        <v>40261</v>
      </c>
      <c r="B3489" s="36">
        <v>9122</v>
      </c>
      <c r="C3489" s="7">
        <v>9133</v>
      </c>
      <c r="D3489" s="7">
        <v>9133</v>
      </c>
      <c r="E3489" s="7">
        <v>9090</v>
      </c>
      <c r="F3489" s="7">
        <v>9110</v>
      </c>
      <c r="G3489" s="34"/>
      <c r="H3489" s="35">
        <v>12</v>
      </c>
      <c r="I3489" s="38">
        <f t="shared" si="54"/>
        <v>9127.5</v>
      </c>
    </row>
    <row r="3490" spans="1:9" x14ac:dyDescent="0.2">
      <c r="A3490" s="33">
        <v>40260</v>
      </c>
      <c r="B3490" s="36">
        <v>9110</v>
      </c>
      <c r="C3490" s="7">
        <v>9120</v>
      </c>
      <c r="D3490" s="7">
        <v>9122</v>
      </c>
      <c r="E3490" s="7">
        <v>9100</v>
      </c>
      <c r="F3490" s="7">
        <v>9122</v>
      </c>
      <c r="G3490" s="34"/>
      <c r="H3490" s="35">
        <v>-5</v>
      </c>
      <c r="I3490" s="38">
        <f t="shared" si="54"/>
        <v>9115</v>
      </c>
    </row>
    <row r="3491" spans="1:9" x14ac:dyDescent="0.2">
      <c r="A3491" s="33">
        <v>40259</v>
      </c>
      <c r="B3491" s="36">
        <v>9115</v>
      </c>
      <c r="C3491" s="7">
        <v>9125</v>
      </c>
      <c r="D3491" s="7">
        <v>9122</v>
      </c>
      <c r="E3491" s="7">
        <v>9090</v>
      </c>
      <c r="F3491" s="7">
        <v>9090</v>
      </c>
      <c r="G3491" s="34"/>
      <c r="H3491" s="35">
        <v>-55</v>
      </c>
      <c r="I3491" s="38">
        <f t="shared" si="54"/>
        <v>9120</v>
      </c>
    </row>
    <row r="3492" spans="1:9" x14ac:dyDescent="0.2">
      <c r="A3492" s="33">
        <v>40256</v>
      </c>
      <c r="B3492" s="36">
        <v>9170</v>
      </c>
      <c r="C3492" s="7">
        <v>9173</v>
      </c>
      <c r="D3492" s="7">
        <v>9170</v>
      </c>
      <c r="E3492" s="7">
        <v>9088</v>
      </c>
      <c r="F3492" s="7">
        <v>9120</v>
      </c>
      <c r="G3492" s="34"/>
      <c r="H3492" s="35">
        <v>50</v>
      </c>
      <c r="I3492" s="38">
        <f t="shared" si="54"/>
        <v>9171.5</v>
      </c>
    </row>
    <row r="3493" spans="1:9" x14ac:dyDescent="0.2">
      <c r="A3493" s="33">
        <v>40255</v>
      </c>
      <c r="B3493" s="36">
        <v>9120</v>
      </c>
      <c r="C3493" s="7">
        <v>9130</v>
      </c>
      <c r="D3493" s="7">
        <v>9135</v>
      </c>
      <c r="E3493" s="7">
        <v>9105</v>
      </c>
      <c r="F3493" s="7">
        <v>9110</v>
      </c>
      <c r="G3493" s="34"/>
      <c r="H3493" s="35">
        <v>14</v>
      </c>
      <c r="I3493" s="38">
        <f t="shared" si="54"/>
        <v>9125</v>
      </c>
    </row>
    <row r="3494" spans="1:9" x14ac:dyDescent="0.2">
      <c r="A3494" s="33">
        <v>40254</v>
      </c>
      <c r="B3494" s="36">
        <v>9106</v>
      </c>
      <c r="C3494" s="7">
        <v>9114</v>
      </c>
      <c r="D3494" s="7">
        <v>9160</v>
      </c>
      <c r="E3494" s="7">
        <v>9089</v>
      </c>
      <c r="F3494" s="7">
        <v>9150</v>
      </c>
      <c r="G3494" s="34"/>
      <c r="H3494" s="35">
        <v>-49</v>
      </c>
      <c r="I3494" s="38">
        <f t="shared" si="54"/>
        <v>9110</v>
      </c>
    </row>
    <row r="3495" spans="1:9" x14ac:dyDescent="0.2">
      <c r="A3495" s="33">
        <v>40253</v>
      </c>
      <c r="B3495" s="36">
        <v>9155</v>
      </c>
      <c r="C3495" s="7">
        <v>9165</v>
      </c>
      <c r="D3495" s="7"/>
      <c r="E3495" s="7"/>
      <c r="F3495" s="7"/>
      <c r="G3495" s="34"/>
      <c r="H3495" s="35">
        <v>-5</v>
      </c>
      <c r="I3495" s="38">
        <f t="shared" si="54"/>
        <v>9160</v>
      </c>
    </row>
    <row r="3496" spans="1:9" x14ac:dyDescent="0.2">
      <c r="A3496" s="33">
        <v>40252</v>
      </c>
      <c r="B3496" s="36">
        <v>9160</v>
      </c>
      <c r="C3496" s="7">
        <v>9170</v>
      </c>
      <c r="D3496" s="7">
        <v>9180</v>
      </c>
      <c r="E3496" s="7">
        <v>9147</v>
      </c>
      <c r="F3496" s="7">
        <v>9150</v>
      </c>
      <c r="G3496" s="34"/>
      <c r="H3496" s="35">
        <v>13</v>
      </c>
      <c r="I3496" s="38">
        <f t="shared" si="54"/>
        <v>9165</v>
      </c>
    </row>
    <row r="3497" spans="1:9" x14ac:dyDescent="0.2">
      <c r="A3497" s="33">
        <v>40249</v>
      </c>
      <c r="B3497" s="36">
        <v>9147</v>
      </c>
      <c r="C3497" s="7">
        <v>9158</v>
      </c>
      <c r="D3497" s="7">
        <v>9190</v>
      </c>
      <c r="E3497" s="7">
        <v>9145</v>
      </c>
      <c r="F3497" s="7">
        <v>9178</v>
      </c>
      <c r="G3497" s="34"/>
      <c r="H3497" s="35">
        <v>-38</v>
      </c>
      <c r="I3497" s="38">
        <f t="shared" si="54"/>
        <v>9152.5</v>
      </c>
    </row>
    <row r="3498" spans="1:9" x14ac:dyDescent="0.2">
      <c r="A3498" s="33">
        <v>40248</v>
      </c>
      <c r="B3498" s="36">
        <v>9185</v>
      </c>
      <c r="C3498" s="7">
        <v>9195</v>
      </c>
      <c r="D3498" s="7">
        <v>9200</v>
      </c>
      <c r="E3498" s="7">
        <v>9170</v>
      </c>
      <c r="F3498" s="7">
        <v>9180</v>
      </c>
      <c r="G3498" s="34"/>
      <c r="H3498" s="35">
        <v>20</v>
      </c>
      <c r="I3498" s="38">
        <f t="shared" si="54"/>
        <v>9190</v>
      </c>
    </row>
    <row r="3499" spans="1:9" x14ac:dyDescent="0.2">
      <c r="A3499" s="33">
        <v>40247</v>
      </c>
      <c r="B3499" s="36">
        <v>9165</v>
      </c>
      <c r="C3499" s="7">
        <v>9175</v>
      </c>
      <c r="D3499" s="7">
        <v>9200</v>
      </c>
      <c r="E3499" s="7">
        <v>9155</v>
      </c>
      <c r="F3499" s="7">
        <v>9200</v>
      </c>
      <c r="G3499" s="34"/>
      <c r="H3499" s="35">
        <v>-25</v>
      </c>
      <c r="I3499" s="38">
        <f t="shared" si="54"/>
        <v>9170</v>
      </c>
    </row>
    <row r="3500" spans="1:9" x14ac:dyDescent="0.2">
      <c r="A3500" s="33">
        <v>40246</v>
      </c>
      <c r="B3500" s="36">
        <v>9190</v>
      </c>
      <c r="C3500" s="7">
        <v>9200</v>
      </c>
      <c r="D3500" s="7">
        <v>9207</v>
      </c>
      <c r="E3500" s="7">
        <v>9180</v>
      </c>
      <c r="F3500" s="7">
        <v>9180</v>
      </c>
      <c r="G3500" s="34"/>
      <c r="H3500" s="35">
        <v>20</v>
      </c>
      <c r="I3500" s="38">
        <f t="shared" si="54"/>
        <v>9195</v>
      </c>
    </row>
    <row r="3501" spans="1:9" x14ac:dyDescent="0.2">
      <c r="A3501" s="33">
        <v>40245</v>
      </c>
      <c r="B3501" s="36">
        <v>9170</v>
      </c>
      <c r="C3501" s="7">
        <v>9180</v>
      </c>
      <c r="D3501" s="7">
        <v>9270</v>
      </c>
      <c r="E3501" s="7">
        <v>9170</v>
      </c>
      <c r="F3501" s="7">
        <v>9180</v>
      </c>
      <c r="G3501" s="34"/>
      <c r="H3501" s="35">
        <v>-60</v>
      </c>
      <c r="I3501" s="38">
        <f t="shared" si="54"/>
        <v>9175</v>
      </c>
    </row>
    <row r="3502" spans="1:9" x14ac:dyDescent="0.2">
      <c r="A3502" s="33">
        <v>40242</v>
      </c>
      <c r="B3502" s="36">
        <v>9230</v>
      </c>
      <c r="C3502" s="7">
        <v>9240</v>
      </c>
      <c r="D3502" s="7">
        <v>9370</v>
      </c>
      <c r="E3502" s="7">
        <v>9225</v>
      </c>
      <c r="F3502" s="7">
        <v>9265</v>
      </c>
      <c r="G3502" s="34"/>
      <c r="H3502" s="35">
        <v>-30</v>
      </c>
      <c r="I3502" s="38">
        <f t="shared" si="54"/>
        <v>9235</v>
      </c>
    </row>
    <row r="3503" spans="1:9" x14ac:dyDescent="0.2">
      <c r="A3503" s="33">
        <v>40241</v>
      </c>
      <c r="B3503" s="36">
        <v>9260</v>
      </c>
      <c r="C3503" s="7">
        <v>9270</v>
      </c>
      <c r="D3503" s="7">
        <v>9280</v>
      </c>
      <c r="E3503" s="7">
        <v>9220</v>
      </c>
      <c r="F3503" s="7">
        <v>9240</v>
      </c>
      <c r="G3503" s="34"/>
      <c r="H3503" s="35">
        <v>-10</v>
      </c>
      <c r="I3503" s="38">
        <f t="shared" si="54"/>
        <v>9265</v>
      </c>
    </row>
    <row r="3504" spans="1:9" x14ac:dyDescent="0.2">
      <c r="A3504" s="33">
        <v>40240</v>
      </c>
      <c r="B3504" s="36">
        <v>9270</v>
      </c>
      <c r="C3504" s="7">
        <v>9280</v>
      </c>
      <c r="D3504" s="7">
        <v>9295</v>
      </c>
      <c r="E3504" s="7">
        <v>9201</v>
      </c>
      <c r="F3504" s="7">
        <v>9260</v>
      </c>
      <c r="G3504" s="34"/>
      <c r="H3504" s="35">
        <v>-15</v>
      </c>
      <c r="I3504" s="38">
        <f t="shared" si="54"/>
        <v>9275</v>
      </c>
    </row>
    <row r="3505" spans="1:9" x14ac:dyDescent="0.2">
      <c r="A3505" s="33">
        <v>40239</v>
      </c>
      <c r="B3505" s="36">
        <v>9285</v>
      </c>
      <c r="C3505" s="7">
        <v>9295</v>
      </c>
      <c r="D3505" s="7">
        <v>9300</v>
      </c>
      <c r="E3505" s="7">
        <v>9260</v>
      </c>
      <c r="F3505" s="7">
        <v>9260</v>
      </c>
      <c r="G3505" s="34"/>
      <c r="H3505" s="35">
        <v>35</v>
      </c>
      <c r="I3505" s="38">
        <f t="shared" si="54"/>
        <v>9290</v>
      </c>
    </row>
    <row r="3506" spans="1:9" x14ac:dyDescent="0.2">
      <c r="A3506" s="33">
        <v>40238</v>
      </c>
      <c r="B3506" s="36">
        <v>9250</v>
      </c>
      <c r="C3506" s="7">
        <v>9270</v>
      </c>
      <c r="D3506" s="7">
        <v>9360</v>
      </c>
      <c r="E3506" s="7">
        <v>9250</v>
      </c>
      <c r="F3506" s="7">
        <v>9300</v>
      </c>
      <c r="G3506" s="34"/>
      <c r="H3506" s="35">
        <v>-77</v>
      </c>
      <c r="I3506" s="38">
        <f t="shared" si="54"/>
        <v>9260</v>
      </c>
    </row>
    <row r="3507" spans="1:9" x14ac:dyDescent="0.2">
      <c r="A3507" s="33">
        <v>40235</v>
      </c>
      <c r="B3507" s="36">
        <v>9327</v>
      </c>
      <c r="C3507" s="7">
        <v>9347</v>
      </c>
      <c r="D3507" s="7"/>
      <c r="E3507" s="7"/>
      <c r="F3507" s="7"/>
      <c r="G3507" s="34"/>
      <c r="H3507" s="35">
        <v>2</v>
      </c>
      <c r="I3507" s="38">
        <f t="shared" si="54"/>
        <v>9337</v>
      </c>
    </row>
    <row r="3508" spans="1:9" x14ac:dyDescent="0.2">
      <c r="A3508" s="33">
        <v>40234</v>
      </c>
      <c r="B3508" s="36">
        <v>9325</v>
      </c>
      <c r="C3508" s="7">
        <v>9345</v>
      </c>
      <c r="D3508" s="7">
        <v>9365</v>
      </c>
      <c r="E3508" s="7">
        <v>9322</v>
      </c>
      <c r="F3508" s="7">
        <v>9325</v>
      </c>
      <c r="G3508" s="34"/>
      <c r="H3508" s="35">
        <v>25</v>
      </c>
      <c r="I3508" s="38">
        <f t="shared" si="54"/>
        <v>9335</v>
      </c>
    </row>
    <row r="3509" spans="1:9" x14ac:dyDescent="0.2">
      <c r="A3509" s="33">
        <v>40233</v>
      </c>
      <c r="B3509" s="36">
        <v>9300</v>
      </c>
      <c r="C3509" s="7">
        <v>9310</v>
      </c>
      <c r="D3509" s="7">
        <v>9340</v>
      </c>
      <c r="E3509" s="7">
        <v>9290</v>
      </c>
      <c r="F3509" s="7">
        <v>9300</v>
      </c>
      <c r="G3509" s="34"/>
      <c r="H3509" s="35">
        <v>-10</v>
      </c>
      <c r="I3509" s="38">
        <f t="shared" si="54"/>
        <v>9305</v>
      </c>
    </row>
    <row r="3510" spans="1:9" x14ac:dyDescent="0.2">
      <c r="A3510" s="33">
        <v>40232</v>
      </c>
      <c r="B3510" s="36">
        <v>9310</v>
      </c>
      <c r="C3510" s="7">
        <v>9320</v>
      </c>
      <c r="D3510" s="7">
        <v>9319</v>
      </c>
      <c r="E3510" s="7">
        <v>9285</v>
      </c>
      <c r="F3510" s="7">
        <v>9295</v>
      </c>
      <c r="G3510" s="34"/>
      <c r="H3510" s="35">
        <v>25</v>
      </c>
      <c r="I3510" s="38">
        <f t="shared" si="54"/>
        <v>9315</v>
      </c>
    </row>
    <row r="3511" spans="1:9" x14ac:dyDescent="0.2">
      <c r="A3511" s="33">
        <v>40231</v>
      </c>
      <c r="B3511" s="36">
        <v>9285</v>
      </c>
      <c r="C3511" s="7">
        <v>9295</v>
      </c>
      <c r="D3511" s="7">
        <v>9305</v>
      </c>
      <c r="E3511" s="7">
        <v>9190</v>
      </c>
      <c r="F3511" s="7">
        <v>9290</v>
      </c>
      <c r="G3511" s="34"/>
      <c r="H3511" s="35">
        <v>-50</v>
      </c>
      <c r="I3511" s="38">
        <f t="shared" si="54"/>
        <v>9290</v>
      </c>
    </row>
    <row r="3512" spans="1:9" x14ac:dyDescent="0.2">
      <c r="A3512" s="33">
        <v>40228</v>
      </c>
      <c r="B3512" s="36">
        <v>9335</v>
      </c>
      <c r="C3512" s="7">
        <v>9345</v>
      </c>
      <c r="D3512" s="7">
        <v>9365</v>
      </c>
      <c r="E3512" s="7">
        <v>9320</v>
      </c>
      <c r="F3512" s="7">
        <v>9320</v>
      </c>
      <c r="G3512" s="34"/>
      <c r="H3512" s="35">
        <v>45</v>
      </c>
      <c r="I3512" s="38">
        <f t="shared" si="54"/>
        <v>9340</v>
      </c>
    </row>
    <row r="3513" spans="1:9" x14ac:dyDescent="0.2">
      <c r="A3513" s="33">
        <v>40227</v>
      </c>
      <c r="B3513" s="36">
        <v>9290</v>
      </c>
      <c r="C3513" s="7">
        <v>9300</v>
      </c>
      <c r="D3513" s="7">
        <v>9327</v>
      </c>
      <c r="E3513" s="7">
        <v>9280</v>
      </c>
      <c r="F3513" s="7">
        <v>9300</v>
      </c>
      <c r="G3513" s="34"/>
      <c r="H3513" s="35">
        <v>25</v>
      </c>
      <c r="I3513" s="38">
        <f t="shared" si="54"/>
        <v>9295</v>
      </c>
    </row>
    <row r="3514" spans="1:9" x14ac:dyDescent="0.2">
      <c r="A3514" s="33">
        <v>40226</v>
      </c>
      <c r="B3514" s="36">
        <v>9265</v>
      </c>
      <c r="C3514" s="7">
        <v>9275</v>
      </c>
      <c r="D3514" s="7">
        <v>9290</v>
      </c>
      <c r="E3514" s="7">
        <v>9200</v>
      </c>
      <c r="F3514" s="7">
        <v>9275</v>
      </c>
      <c r="G3514" s="34"/>
      <c r="H3514" s="35">
        <v>-30</v>
      </c>
      <c r="I3514" s="38">
        <f t="shared" si="54"/>
        <v>9270</v>
      </c>
    </row>
    <row r="3515" spans="1:9" x14ac:dyDescent="0.2">
      <c r="A3515" s="33">
        <v>40225</v>
      </c>
      <c r="B3515" s="36">
        <v>9295</v>
      </c>
      <c r="C3515" s="7">
        <v>9325</v>
      </c>
      <c r="D3515" s="7">
        <v>9338</v>
      </c>
      <c r="E3515" s="7">
        <v>9295</v>
      </c>
      <c r="F3515" s="7">
        <v>9335</v>
      </c>
      <c r="G3515" s="34"/>
      <c r="H3515" s="35">
        <v>-50</v>
      </c>
      <c r="I3515" s="38">
        <f t="shared" si="54"/>
        <v>9310</v>
      </c>
    </row>
    <row r="3516" spans="1:9" x14ac:dyDescent="0.2">
      <c r="A3516" s="33">
        <v>40224</v>
      </c>
      <c r="B3516" s="36">
        <v>9345</v>
      </c>
      <c r="C3516" s="7">
        <v>9355</v>
      </c>
      <c r="D3516" s="7">
        <v>9350</v>
      </c>
      <c r="E3516" s="7">
        <v>9330</v>
      </c>
      <c r="F3516" s="7">
        <v>9330</v>
      </c>
      <c r="G3516" s="34"/>
      <c r="H3516" s="35">
        <v>10</v>
      </c>
      <c r="I3516" s="38">
        <f t="shared" si="54"/>
        <v>9350</v>
      </c>
    </row>
    <row r="3517" spans="1:9" x14ac:dyDescent="0.2">
      <c r="A3517" s="33">
        <v>40221</v>
      </c>
      <c r="B3517" s="36">
        <v>9335</v>
      </c>
      <c r="C3517" s="7">
        <v>9345</v>
      </c>
      <c r="D3517" s="7">
        <v>9375</v>
      </c>
      <c r="E3517" s="7">
        <v>9320</v>
      </c>
      <c r="F3517" s="7">
        <v>9365</v>
      </c>
      <c r="G3517" s="34"/>
      <c r="H3517" s="35">
        <v>-30</v>
      </c>
      <c r="I3517" s="38">
        <f t="shared" si="54"/>
        <v>9340</v>
      </c>
    </row>
    <row r="3518" spans="1:9" x14ac:dyDescent="0.2">
      <c r="A3518" s="33">
        <v>40220</v>
      </c>
      <c r="B3518" s="36">
        <v>9365</v>
      </c>
      <c r="C3518" s="7">
        <v>9375</v>
      </c>
      <c r="D3518" s="7">
        <v>9380</v>
      </c>
      <c r="E3518" s="7">
        <v>9340</v>
      </c>
      <c r="F3518" s="7">
        <v>9350</v>
      </c>
      <c r="G3518" s="34"/>
      <c r="H3518" s="35">
        <v>10</v>
      </c>
      <c r="I3518" s="38">
        <f t="shared" si="54"/>
        <v>9370</v>
      </c>
    </row>
    <row r="3519" spans="1:9" x14ac:dyDescent="0.2">
      <c r="A3519" s="33">
        <v>40219</v>
      </c>
      <c r="B3519" s="36">
        <v>9355</v>
      </c>
      <c r="C3519" s="7">
        <v>9365</v>
      </c>
      <c r="D3519" s="7">
        <v>9365</v>
      </c>
      <c r="E3519" s="7">
        <v>9320</v>
      </c>
      <c r="F3519" s="7">
        <v>9320</v>
      </c>
      <c r="G3519" s="34"/>
      <c r="H3519" s="35">
        <v>-20</v>
      </c>
      <c r="I3519" s="38">
        <f t="shared" si="54"/>
        <v>9360</v>
      </c>
    </row>
    <row r="3520" spans="1:9" x14ac:dyDescent="0.2">
      <c r="A3520" s="33">
        <v>40218</v>
      </c>
      <c r="B3520" s="36">
        <v>9375</v>
      </c>
      <c r="C3520" s="7">
        <v>9385</v>
      </c>
      <c r="D3520" s="7">
        <v>9487</v>
      </c>
      <c r="E3520" s="7">
        <v>9340</v>
      </c>
      <c r="F3520" s="7">
        <v>9425</v>
      </c>
      <c r="G3520" s="34"/>
      <c r="H3520" s="35">
        <v>-15</v>
      </c>
      <c r="I3520" s="38">
        <f t="shared" si="54"/>
        <v>9380</v>
      </c>
    </row>
    <row r="3521" spans="1:9" x14ac:dyDescent="0.2">
      <c r="A3521" s="33">
        <v>40217</v>
      </c>
      <c r="B3521" s="36">
        <v>9390</v>
      </c>
      <c r="C3521" s="7">
        <v>9400</v>
      </c>
      <c r="D3521" s="7">
        <v>9430</v>
      </c>
      <c r="E3521" s="7">
        <v>9390</v>
      </c>
      <c r="F3521" s="7">
        <v>9410</v>
      </c>
      <c r="G3521" s="34"/>
      <c r="H3521" s="35">
        <v>10</v>
      </c>
      <c r="I3521" s="38">
        <f t="shared" si="54"/>
        <v>9395</v>
      </c>
    </row>
    <row r="3522" spans="1:9" x14ac:dyDescent="0.2">
      <c r="A3522" s="33">
        <v>40214</v>
      </c>
      <c r="B3522" s="36">
        <v>9380</v>
      </c>
      <c r="C3522" s="7">
        <v>9390</v>
      </c>
      <c r="D3522" s="7">
        <v>9410</v>
      </c>
      <c r="E3522" s="7">
        <v>9305</v>
      </c>
      <c r="F3522" s="7">
        <v>9350</v>
      </c>
      <c r="G3522" s="34"/>
      <c r="H3522" s="35">
        <v>65</v>
      </c>
      <c r="I3522" s="38">
        <f t="shared" si="54"/>
        <v>9385</v>
      </c>
    </row>
    <row r="3523" spans="1:9" x14ac:dyDescent="0.2">
      <c r="A3523" s="33">
        <v>40213</v>
      </c>
      <c r="B3523" s="36">
        <v>9315</v>
      </c>
      <c r="C3523" s="7">
        <v>9325</v>
      </c>
      <c r="D3523" s="7">
        <v>9335</v>
      </c>
      <c r="E3523" s="7">
        <v>9310</v>
      </c>
      <c r="F3523" s="7">
        <v>9320</v>
      </c>
      <c r="G3523" s="34"/>
      <c r="H3523" s="35">
        <v>25</v>
      </c>
      <c r="I3523" s="38">
        <f t="shared" si="54"/>
        <v>9320</v>
      </c>
    </row>
    <row r="3524" spans="1:9" x14ac:dyDescent="0.2">
      <c r="A3524" s="33">
        <v>40212</v>
      </c>
      <c r="B3524" s="36">
        <v>9290</v>
      </c>
      <c r="C3524" s="7">
        <v>9295</v>
      </c>
      <c r="D3524" s="7">
        <v>9345</v>
      </c>
      <c r="E3524" s="7">
        <v>9285</v>
      </c>
      <c r="F3524" s="7">
        <v>9325</v>
      </c>
      <c r="G3524" s="34"/>
      <c r="H3524" s="35">
        <v>-65</v>
      </c>
      <c r="I3524" s="38">
        <f t="shared" si="54"/>
        <v>9292.5</v>
      </c>
    </row>
    <row r="3525" spans="1:9" x14ac:dyDescent="0.2">
      <c r="A3525" s="33">
        <v>40211</v>
      </c>
      <c r="B3525" s="36">
        <v>9355</v>
      </c>
      <c r="C3525" s="7">
        <v>9365</v>
      </c>
      <c r="D3525" s="7">
        <v>9380</v>
      </c>
      <c r="E3525" s="7">
        <v>9345</v>
      </c>
      <c r="F3525" s="7">
        <v>9345</v>
      </c>
      <c r="G3525" s="34"/>
      <c r="H3525" s="35">
        <v>-25</v>
      </c>
      <c r="I3525" s="38">
        <f t="shared" si="54"/>
        <v>9360</v>
      </c>
    </row>
    <row r="3526" spans="1:9" x14ac:dyDescent="0.2">
      <c r="A3526" s="33">
        <v>40210</v>
      </c>
      <c r="B3526" s="36">
        <v>9380</v>
      </c>
      <c r="C3526" s="7">
        <v>9390</v>
      </c>
      <c r="D3526" s="7">
        <v>9395</v>
      </c>
      <c r="E3526" s="7">
        <v>9350</v>
      </c>
      <c r="F3526" s="7">
        <v>9350</v>
      </c>
      <c r="G3526" s="34"/>
      <c r="H3526" s="35">
        <v>35</v>
      </c>
      <c r="I3526" s="38">
        <f t="shared" si="54"/>
        <v>9385</v>
      </c>
    </row>
    <row r="3527" spans="1:9" x14ac:dyDescent="0.2">
      <c r="A3527" s="33">
        <v>40207</v>
      </c>
      <c r="B3527" s="36">
        <v>9345</v>
      </c>
      <c r="C3527" s="7">
        <v>9355</v>
      </c>
      <c r="D3527" s="7">
        <v>9375</v>
      </c>
      <c r="E3527" s="7">
        <v>9335</v>
      </c>
      <c r="F3527" s="7">
        <v>9350</v>
      </c>
      <c r="G3527" s="34"/>
      <c r="H3527" s="35">
        <v>25</v>
      </c>
      <c r="I3527" s="38">
        <f t="shared" si="54"/>
        <v>9350</v>
      </c>
    </row>
    <row r="3528" spans="1:9" x14ac:dyDescent="0.2">
      <c r="A3528" s="33">
        <v>40206</v>
      </c>
      <c r="B3528" s="36">
        <v>9320</v>
      </c>
      <c r="C3528" s="7">
        <v>9330</v>
      </c>
      <c r="D3528" s="7">
        <v>9410</v>
      </c>
      <c r="E3528" s="7">
        <v>9320</v>
      </c>
      <c r="F3528" s="7">
        <v>9400</v>
      </c>
      <c r="G3528" s="34"/>
      <c r="H3528" s="35">
        <v>-75</v>
      </c>
      <c r="I3528" s="38">
        <f t="shared" si="54"/>
        <v>9325</v>
      </c>
    </row>
    <row r="3529" spans="1:9" x14ac:dyDescent="0.2">
      <c r="A3529" s="33">
        <v>40205</v>
      </c>
      <c r="B3529" s="36">
        <v>9395</v>
      </c>
      <c r="C3529" s="7">
        <v>9405</v>
      </c>
      <c r="D3529" s="7">
        <v>9410</v>
      </c>
      <c r="E3529" s="7">
        <v>9360</v>
      </c>
      <c r="F3529" s="7">
        <v>9370</v>
      </c>
      <c r="G3529" s="34"/>
      <c r="H3529" s="35">
        <v>20</v>
      </c>
      <c r="I3529" s="38">
        <f t="shared" si="54"/>
        <v>9400</v>
      </c>
    </row>
    <row r="3530" spans="1:9" x14ac:dyDescent="0.2">
      <c r="A3530" s="33">
        <v>40204</v>
      </c>
      <c r="B3530" s="36">
        <v>9375</v>
      </c>
      <c r="C3530" s="7">
        <v>9385</v>
      </c>
      <c r="D3530" s="7">
        <v>9410</v>
      </c>
      <c r="E3530" s="7">
        <v>9280</v>
      </c>
      <c r="F3530" s="7">
        <v>9300</v>
      </c>
      <c r="G3530" s="34"/>
      <c r="H3530" s="35">
        <v>65</v>
      </c>
      <c r="I3530" s="38">
        <f t="shared" si="54"/>
        <v>9380</v>
      </c>
    </row>
    <row r="3531" spans="1:9" x14ac:dyDescent="0.2">
      <c r="A3531" s="33">
        <v>40203</v>
      </c>
      <c r="B3531" s="36">
        <v>9310</v>
      </c>
      <c r="C3531" s="7">
        <v>9330</v>
      </c>
      <c r="D3531" s="7">
        <v>9360</v>
      </c>
      <c r="E3531" s="7">
        <v>9305</v>
      </c>
      <c r="F3531" s="7">
        <v>9350</v>
      </c>
      <c r="G3531" s="34"/>
      <c r="H3531" s="35">
        <v>10</v>
      </c>
      <c r="I3531" s="38">
        <f t="shared" si="54"/>
        <v>9320</v>
      </c>
    </row>
    <row r="3532" spans="1:9" x14ac:dyDescent="0.2">
      <c r="A3532" s="33">
        <v>40200</v>
      </c>
      <c r="B3532" s="36">
        <v>9300</v>
      </c>
      <c r="C3532" s="7">
        <v>9330</v>
      </c>
      <c r="D3532" s="7">
        <v>9388</v>
      </c>
      <c r="E3532" s="7">
        <v>9260</v>
      </c>
      <c r="F3532" s="7">
        <v>9350</v>
      </c>
      <c r="G3532" s="34"/>
      <c r="H3532" s="35">
        <v>20</v>
      </c>
      <c r="I3532" s="38">
        <f t="shared" si="54"/>
        <v>9315</v>
      </c>
    </row>
    <row r="3533" spans="1:9" x14ac:dyDescent="0.2">
      <c r="A3533" s="33">
        <v>40199</v>
      </c>
      <c r="B3533" s="36">
        <v>9280</v>
      </c>
      <c r="C3533" s="7">
        <v>9290</v>
      </c>
      <c r="D3533" s="7">
        <v>9378</v>
      </c>
      <c r="E3533" s="7">
        <v>9265</v>
      </c>
      <c r="F3533" s="7">
        <v>9325</v>
      </c>
      <c r="G3533" s="34"/>
      <c r="H3533" s="35">
        <v>-10</v>
      </c>
      <c r="I3533" s="38">
        <f t="shared" si="54"/>
        <v>9285</v>
      </c>
    </row>
    <row r="3534" spans="1:9" x14ac:dyDescent="0.2">
      <c r="A3534" s="33">
        <v>40198</v>
      </c>
      <c r="B3534" s="36">
        <v>9290</v>
      </c>
      <c r="C3534" s="7">
        <v>9300</v>
      </c>
      <c r="D3534" s="7">
        <v>9330</v>
      </c>
      <c r="E3534" s="7">
        <v>9245</v>
      </c>
      <c r="F3534" s="7">
        <v>9245</v>
      </c>
      <c r="G3534" s="34"/>
      <c r="H3534" s="35">
        <v>65</v>
      </c>
      <c r="I3534" s="38">
        <f t="shared" si="54"/>
        <v>9295</v>
      </c>
    </row>
    <row r="3535" spans="1:9" x14ac:dyDescent="0.2">
      <c r="A3535" s="33">
        <v>40197</v>
      </c>
      <c r="B3535" s="36">
        <v>9225</v>
      </c>
      <c r="C3535" s="7">
        <v>9235</v>
      </c>
      <c r="D3535" s="7">
        <v>9235</v>
      </c>
      <c r="E3535" s="7">
        <v>9210</v>
      </c>
      <c r="F3535" s="7">
        <v>9225</v>
      </c>
      <c r="G3535" s="34"/>
      <c r="H3535" s="35">
        <v>5</v>
      </c>
      <c r="I3535" s="38">
        <f t="shared" si="54"/>
        <v>9230</v>
      </c>
    </row>
    <row r="3536" spans="1:9" x14ac:dyDescent="0.2">
      <c r="A3536" s="33">
        <v>40196</v>
      </c>
      <c r="B3536" s="36">
        <v>9220</v>
      </c>
      <c r="C3536" s="7">
        <v>9230</v>
      </c>
      <c r="D3536" s="7">
        <v>9230</v>
      </c>
      <c r="E3536" s="7">
        <v>9210</v>
      </c>
      <c r="F3536" s="7">
        <v>9210</v>
      </c>
      <c r="G3536" s="34"/>
      <c r="H3536" s="35">
        <v>35</v>
      </c>
      <c r="I3536" s="38">
        <f t="shared" si="54"/>
        <v>9225</v>
      </c>
    </row>
    <row r="3537" spans="1:9" x14ac:dyDescent="0.2">
      <c r="A3537" s="33">
        <v>40193</v>
      </c>
      <c r="B3537" s="36">
        <v>9185</v>
      </c>
      <c r="C3537" s="7">
        <v>9195</v>
      </c>
      <c r="D3537" s="7">
        <v>9210</v>
      </c>
      <c r="E3537" s="7">
        <v>9110</v>
      </c>
      <c r="F3537" s="7">
        <v>9165</v>
      </c>
      <c r="G3537" s="34"/>
      <c r="H3537" s="35">
        <v>25</v>
      </c>
      <c r="I3537" s="38">
        <f t="shared" si="54"/>
        <v>9190</v>
      </c>
    </row>
    <row r="3538" spans="1:9" x14ac:dyDescent="0.2">
      <c r="A3538" s="33">
        <v>40192</v>
      </c>
      <c r="B3538" s="36">
        <v>9160</v>
      </c>
      <c r="C3538" s="7">
        <v>9170</v>
      </c>
      <c r="D3538" s="7">
        <v>9171</v>
      </c>
      <c r="E3538" s="7">
        <v>9139</v>
      </c>
      <c r="F3538" s="7">
        <v>9150</v>
      </c>
      <c r="G3538" s="34"/>
      <c r="H3538" s="35">
        <v>-20</v>
      </c>
      <c r="I3538" s="38">
        <f t="shared" si="54"/>
        <v>9165</v>
      </c>
    </row>
    <row r="3539" spans="1:9" x14ac:dyDescent="0.2">
      <c r="A3539" s="33">
        <v>40191</v>
      </c>
      <c r="B3539" s="36">
        <v>9180</v>
      </c>
      <c r="C3539" s="7">
        <v>9190</v>
      </c>
      <c r="D3539" s="7">
        <v>9200</v>
      </c>
      <c r="E3539" s="7">
        <v>9155</v>
      </c>
      <c r="F3539" s="7">
        <v>9200</v>
      </c>
      <c r="G3539" s="34"/>
      <c r="H3539" s="35">
        <v>10</v>
      </c>
      <c r="I3539" s="38">
        <f t="shared" si="54"/>
        <v>9185</v>
      </c>
    </row>
    <row r="3540" spans="1:9" x14ac:dyDescent="0.2">
      <c r="A3540" s="33">
        <v>40190</v>
      </c>
      <c r="B3540" s="36">
        <v>9170</v>
      </c>
      <c r="C3540" s="7">
        <v>9180</v>
      </c>
      <c r="D3540" s="7">
        <v>9190</v>
      </c>
      <c r="E3540" s="7">
        <v>9132</v>
      </c>
      <c r="F3540" s="7">
        <v>9150</v>
      </c>
      <c r="G3540" s="34"/>
      <c r="H3540" s="35">
        <v>20</v>
      </c>
      <c r="I3540" s="38">
        <f t="shared" si="54"/>
        <v>9175</v>
      </c>
    </row>
    <row r="3541" spans="1:9" x14ac:dyDescent="0.2">
      <c r="A3541" s="33">
        <v>40189</v>
      </c>
      <c r="B3541" s="36">
        <v>9150</v>
      </c>
      <c r="C3541" s="7">
        <v>9155</v>
      </c>
      <c r="D3541" s="7">
        <v>9151</v>
      </c>
      <c r="E3541" s="7">
        <v>9110</v>
      </c>
      <c r="F3541" s="7">
        <v>9150</v>
      </c>
      <c r="G3541" s="34"/>
      <c r="H3541" s="35">
        <v>-60</v>
      </c>
      <c r="I3541" s="38">
        <f t="shared" si="54"/>
        <v>9152.5</v>
      </c>
    </row>
    <row r="3542" spans="1:9" x14ac:dyDescent="0.2">
      <c r="A3542" s="33">
        <v>40186</v>
      </c>
      <c r="B3542" s="36">
        <v>9210</v>
      </c>
      <c r="C3542" s="7">
        <v>9220</v>
      </c>
      <c r="D3542" s="7">
        <v>9340</v>
      </c>
      <c r="E3542" s="7">
        <v>9200</v>
      </c>
      <c r="F3542" s="7">
        <v>9240</v>
      </c>
      <c r="G3542" s="34"/>
      <c r="H3542" s="35">
        <v>-25</v>
      </c>
      <c r="I3542" s="38">
        <f t="shared" si="54"/>
        <v>9215</v>
      </c>
    </row>
    <row r="3543" spans="1:9" x14ac:dyDescent="0.2">
      <c r="A3543" s="33">
        <v>40185</v>
      </c>
      <c r="B3543" s="36">
        <v>9235</v>
      </c>
      <c r="C3543" s="7">
        <v>9245</v>
      </c>
      <c r="D3543" s="7">
        <v>9327</v>
      </c>
      <c r="E3543" s="7">
        <v>9210</v>
      </c>
      <c r="F3543" s="7">
        <v>9210</v>
      </c>
      <c r="G3543" s="34"/>
      <c r="H3543" s="35">
        <v>0</v>
      </c>
      <c r="I3543" s="38">
        <f t="shared" si="54"/>
        <v>9240</v>
      </c>
    </row>
    <row r="3544" spans="1:9" x14ac:dyDescent="0.2">
      <c r="A3544" s="33">
        <v>40184</v>
      </c>
      <c r="B3544" s="36">
        <v>9235</v>
      </c>
      <c r="C3544" s="7">
        <v>9255</v>
      </c>
      <c r="D3544" s="7">
        <v>9330</v>
      </c>
      <c r="E3544" s="7">
        <v>9235</v>
      </c>
      <c r="F3544" s="7">
        <v>9330</v>
      </c>
      <c r="G3544" s="34"/>
      <c r="H3544" s="35">
        <v>-80</v>
      </c>
      <c r="I3544" s="38">
        <f t="shared" si="54"/>
        <v>9245</v>
      </c>
    </row>
    <row r="3545" spans="1:9" x14ac:dyDescent="0.2">
      <c r="A3545" s="33">
        <v>40183</v>
      </c>
      <c r="B3545" s="36">
        <v>9315</v>
      </c>
      <c r="C3545" s="7">
        <v>9325</v>
      </c>
      <c r="D3545" s="7">
        <v>9410</v>
      </c>
      <c r="E3545" s="7">
        <v>9275</v>
      </c>
      <c r="F3545" s="7">
        <v>9280</v>
      </c>
      <c r="G3545" s="34"/>
      <c r="H3545" s="35">
        <v>-25</v>
      </c>
      <c r="I3545" s="38">
        <f t="shared" si="54"/>
        <v>9320</v>
      </c>
    </row>
    <row r="3546" spans="1:9" x14ac:dyDescent="0.2">
      <c r="A3546" s="33">
        <v>40182</v>
      </c>
      <c r="B3546" s="36">
        <v>9340</v>
      </c>
      <c r="C3546" s="7">
        <v>9350</v>
      </c>
      <c r="D3546" s="7">
        <v>9450</v>
      </c>
      <c r="E3546" s="7">
        <v>9320</v>
      </c>
      <c r="F3546" s="7">
        <v>9391</v>
      </c>
      <c r="G3546" s="34"/>
      <c r="H3546" s="35">
        <v>-80</v>
      </c>
      <c r="I3546" s="38">
        <f t="shared" si="54"/>
        <v>9345</v>
      </c>
    </row>
    <row r="3547" spans="1:9" x14ac:dyDescent="0.2">
      <c r="A3547" s="33">
        <v>40179</v>
      </c>
      <c r="B3547" s="36">
        <v>9420</v>
      </c>
      <c r="C3547" s="7">
        <v>9430</v>
      </c>
      <c r="D3547" s="7"/>
      <c r="E3547" s="7"/>
      <c r="F3547" s="7"/>
      <c r="G3547" s="34"/>
      <c r="H3547" s="35"/>
      <c r="I3547" s="38">
        <f t="shared" si="54"/>
        <v>9425</v>
      </c>
    </row>
  </sheetData>
  <mergeCells count="4">
    <mergeCell ref="A23:C23"/>
    <mergeCell ref="D23:H23"/>
    <mergeCell ref="I23:J23"/>
    <mergeCell ref="K23:M23"/>
  </mergeCells>
  <pageMargins left="0.5" right="0.5" top="1" bottom="1" header="0.5" footer="0.75"/>
  <pageSetup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DAA6C-5145-4961-9A35-D5C15210C70F}">
  <dimension ref="A1:B2612"/>
  <sheetViews>
    <sheetView workbookViewId="0">
      <selection activeCell="E24" sqref="E24"/>
    </sheetView>
  </sheetViews>
  <sheetFormatPr defaultRowHeight="15" x14ac:dyDescent="0.25"/>
  <cols>
    <col min="1" max="1" width="15.5703125" customWidth="1"/>
  </cols>
  <sheetData>
    <row r="1" spans="1:2" x14ac:dyDescent="0.25">
      <c r="A1" s="55" t="s">
        <v>615</v>
      </c>
      <c r="B1" s="55" t="s">
        <v>1215</v>
      </c>
    </row>
    <row r="2" spans="1:2" x14ac:dyDescent="0.25">
      <c r="A2" s="55" t="s">
        <v>56</v>
      </c>
      <c r="B2" s="55" t="s">
        <v>617</v>
      </c>
    </row>
    <row r="3" spans="1:2" x14ac:dyDescent="0.25">
      <c r="A3" s="56">
        <v>45103</v>
      </c>
      <c r="B3" s="55">
        <v>9</v>
      </c>
    </row>
    <row r="4" spans="1:2" x14ac:dyDescent="0.25">
      <c r="A4" s="56">
        <v>45100</v>
      </c>
      <c r="B4" s="55">
        <v>8</v>
      </c>
    </row>
    <row r="5" spans="1:2" x14ac:dyDescent="0.25">
      <c r="A5" s="56">
        <v>45099</v>
      </c>
      <c r="B5" s="55">
        <v>10</v>
      </c>
    </row>
    <row r="6" spans="1:2" x14ac:dyDescent="0.25">
      <c r="A6" s="56">
        <v>45098</v>
      </c>
      <c r="B6" s="55">
        <v>12</v>
      </c>
    </row>
    <row r="7" spans="1:2" x14ac:dyDescent="0.25">
      <c r="A7" s="56">
        <v>45097</v>
      </c>
      <c r="B7" s="55">
        <v>14</v>
      </c>
    </row>
    <row r="8" spans="1:2" x14ac:dyDescent="0.25">
      <c r="A8" s="56">
        <v>45096</v>
      </c>
      <c r="B8" s="55">
        <v>12</v>
      </c>
    </row>
    <row r="9" spans="1:2" x14ac:dyDescent="0.25">
      <c r="A9" s="56">
        <v>45093</v>
      </c>
      <c r="B9" s="55">
        <v>13.5</v>
      </c>
    </row>
    <row r="10" spans="1:2" x14ac:dyDescent="0.25">
      <c r="A10" s="56">
        <v>45092</v>
      </c>
      <c r="B10" s="55">
        <v>14</v>
      </c>
    </row>
    <row r="11" spans="1:2" x14ac:dyDescent="0.25">
      <c r="A11" s="56">
        <v>45091</v>
      </c>
      <c r="B11" s="55">
        <v>16.5</v>
      </c>
    </row>
    <row r="12" spans="1:2" x14ac:dyDescent="0.25">
      <c r="A12" s="56">
        <v>45090</v>
      </c>
      <c r="B12" s="55">
        <v>16</v>
      </c>
    </row>
    <row r="13" spans="1:2" x14ac:dyDescent="0.25">
      <c r="A13" s="56">
        <v>45089</v>
      </c>
      <c r="B13" s="55">
        <v>16</v>
      </c>
    </row>
    <row r="14" spans="1:2" x14ac:dyDescent="0.25">
      <c r="A14" s="56">
        <v>45086</v>
      </c>
      <c r="B14" s="55">
        <v>15.75</v>
      </c>
    </row>
    <row r="15" spans="1:2" x14ac:dyDescent="0.25">
      <c r="A15" s="56">
        <v>45085</v>
      </c>
      <c r="B15" s="55">
        <v>16.5</v>
      </c>
    </row>
    <row r="16" spans="1:2" x14ac:dyDescent="0.25">
      <c r="A16" s="56">
        <v>45084</v>
      </c>
      <c r="B16" s="55">
        <v>16.5</v>
      </c>
    </row>
    <row r="17" spans="1:2" x14ac:dyDescent="0.25">
      <c r="A17" s="56">
        <v>45083</v>
      </c>
      <c r="B17" s="55">
        <v>15</v>
      </c>
    </row>
    <row r="18" spans="1:2" x14ac:dyDescent="0.25">
      <c r="A18" s="56">
        <v>45082</v>
      </c>
      <c r="B18" s="55">
        <v>15</v>
      </c>
    </row>
    <row r="19" spans="1:2" x14ac:dyDescent="0.25">
      <c r="A19" s="56">
        <v>45079</v>
      </c>
      <c r="B19" s="55">
        <v>16</v>
      </c>
    </row>
    <row r="20" spans="1:2" x14ac:dyDescent="0.25">
      <c r="A20" s="56">
        <v>45078</v>
      </c>
      <c r="B20" s="55">
        <v>16</v>
      </c>
    </row>
    <row r="21" spans="1:2" x14ac:dyDescent="0.25">
      <c r="A21" s="56">
        <v>45077</v>
      </c>
      <c r="B21" s="55">
        <v>16</v>
      </c>
    </row>
    <row r="22" spans="1:2" x14ac:dyDescent="0.25">
      <c r="A22" s="56">
        <v>45076</v>
      </c>
      <c r="B22" s="55">
        <v>16.5</v>
      </c>
    </row>
    <row r="23" spans="1:2" x14ac:dyDescent="0.25">
      <c r="A23" s="56">
        <v>45075</v>
      </c>
      <c r="B23" s="55">
        <v>17</v>
      </c>
    </row>
    <row r="24" spans="1:2" x14ac:dyDescent="0.25">
      <c r="A24" s="56">
        <v>45072</v>
      </c>
      <c r="B24" s="55">
        <v>15</v>
      </c>
    </row>
    <row r="25" spans="1:2" x14ac:dyDescent="0.25">
      <c r="A25" s="56">
        <v>45071</v>
      </c>
      <c r="B25" s="55">
        <v>15</v>
      </c>
    </row>
    <row r="26" spans="1:2" x14ac:dyDescent="0.25">
      <c r="A26" s="56">
        <v>45070</v>
      </c>
      <c r="B26" s="55">
        <v>15</v>
      </c>
    </row>
    <row r="27" spans="1:2" x14ac:dyDescent="0.25">
      <c r="A27" s="56">
        <v>45069</v>
      </c>
      <c r="B27" s="55">
        <v>16</v>
      </c>
    </row>
    <row r="28" spans="1:2" x14ac:dyDescent="0.25">
      <c r="A28" s="56">
        <v>45068</v>
      </c>
      <c r="B28" s="55">
        <v>17</v>
      </c>
    </row>
    <row r="29" spans="1:2" x14ac:dyDescent="0.25">
      <c r="A29" s="56">
        <v>45065</v>
      </c>
      <c r="B29" s="55">
        <v>18</v>
      </c>
    </row>
    <row r="30" spans="1:2" x14ac:dyDescent="0.25">
      <c r="A30" s="56">
        <v>45064</v>
      </c>
      <c r="B30" s="55">
        <v>18</v>
      </c>
    </row>
    <row r="31" spans="1:2" x14ac:dyDescent="0.25">
      <c r="A31" s="56">
        <v>45063</v>
      </c>
      <c r="B31" s="55">
        <v>18</v>
      </c>
    </row>
    <row r="32" spans="1:2" x14ac:dyDescent="0.25">
      <c r="A32" s="56">
        <v>45062</v>
      </c>
      <c r="B32" s="55">
        <v>20</v>
      </c>
    </row>
    <row r="33" spans="1:2" x14ac:dyDescent="0.25">
      <c r="A33" s="56">
        <v>45061</v>
      </c>
      <c r="B33" s="55">
        <v>20</v>
      </c>
    </row>
    <row r="34" spans="1:2" x14ac:dyDescent="0.25">
      <c r="A34" s="56">
        <v>45058</v>
      </c>
      <c r="B34" s="55">
        <v>18</v>
      </c>
    </row>
    <row r="35" spans="1:2" x14ac:dyDescent="0.25">
      <c r="A35" s="56">
        <v>45057</v>
      </c>
      <c r="B35" s="55">
        <v>20</v>
      </c>
    </row>
    <row r="36" spans="1:2" x14ac:dyDescent="0.25">
      <c r="A36" s="56">
        <v>45056</v>
      </c>
      <c r="B36" s="55">
        <v>21</v>
      </c>
    </row>
    <row r="37" spans="1:2" x14ac:dyDescent="0.25">
      <c r="A37" s="56">
        <v>45055</v>
      </c>
      <c r="B37" s="55">
        <v>23</v>
      </c>
    </row>
    <row r="38" spans="1:2" x14ac:dyDescent="0.25">
      <c r="A38" s="56">
        <v>45054</v>
      </c>
      <c r="B38" s="55">
        <v>25</v>
      </c>
    </row>
    <row r="39" spans="1:2" x14ac:dyDescent="0.25">
      <c r="A39" s="56">
        <v>45051</v>
      </c>
      <c r="B39" s="55">
        <v>20</v>
      </c>
    </row>
    <row r="40" spans="1:2" x14ac:dyDescent="0.25">
      <c r="A40" s="56">
        <v>45050</v>
      </c>
      <c r="B40" s="55">
        <v>23</v>
      </c>
    </row>
    <row r="41" spans="1:2" x14ac:dyDescent="0.25">
      <c r="A41" s="56">
        <v>45049</v>
      </c>
      <c r="B41" s="55">
        <v>28</v>
      </c>
    </row>
    <row r="42" spans="1:2" x14ac:dyDescent="0.25">
      <c r="A42" s="56">
        <v>45048</v>
      </c>
      <c r="B42" s="55">
        <v>30</v>
      </c>
    </row>
    <row r="43" spans="1:2" x14ac:dyDescent="0.25">
      <c r="A43" s="56">
        <v>45047</v>
      </c>
      <c r="B43" s="55">
        <v>29</v>
      </c>
    </row>
    <row r="44" spans="1:2" x14ac:dyDescent="0.25">
      <c r="A44" s="56">
        <v>45044</v>
      </c>
      <c r="B44" s="55">
        <v>29</v>
      </c>
    </row>
    <row r="45" spans="1:2" x14ac:dyDescent="0.25">
      <c r="A45" s="56">
        <v>45043</v>
      </c>
      <c r="B45" s="55">
        <v>31</v>
      </c>
    </row>
    <row r="46" spans="1:2" x14ac:dyDescent="0.25">
      <c r="A46" s="56">
        <v>45042</v>
      </c>
      <c r="B46" s="55">
        <v>31</v>
      </c>
    </row>
    <row r="47" spans="1:2" x14ac:dyDescent="0.25">
      <c r="A47" s="56">
        <v>45041</v>
      </c>
      <c r="B47" s="55">
        <v>31</v>
      </c>
    </row>
    <row r="48" spans="1:2" x14ac:dyDescent="0.25">
      <c r="A48" s="56">
        <v>45040</v>
      </c>
      <c r="B48" s="55">
        <v>31</v>
      </c>
    </row>
    <row r="49" spans="1:2" x14ac:dyDescent="0.25">
      <c r="A49" s="56">
        <v>45037</v>
      </c>
      <c r="B49" s="55">
        <v>31</v>
      </c>
    </row>
    <row r="50" spans="1:2" x14ac:dyDescent="0.25">
      <c r="A50" s="56">
        <v>45036</v>
      </c>
      <c r="B50" s="55">
        <v>31</v>
      </c>
    </row>
    <row r="51" spans="1:2" x14ac:dyDescent="0.25">
      <c r="A51" s="56">
        <v>45035</v>
      </c>
      <c r="B51" s="55">
        <v>31</v>
      </c>
    </row>
    <row r="52" spans="1:2" x14ac:dyDescent="0.25">
      <c r="A52" s="56">
        <v>45034</v>
      </c>
      <c r="B52" s="55">
        <v>31</v>
      </c>
    </row>
    <row r="53" spans="1:2" x14ac:dyDescent="0.25">
      <c r="A53" s="56">
        <v>45033</v>
      </c>
      <c r="B53" s="55">
        <v>31</v>
      </c>
    </row>
    <row r="54" spans="1:2" x14ac:dyDescent="0.25">
      <c r="A54" s="56">
        <v>45030</v>
      </c>
      <c r="B54" s="55">
        <v>28</v>
      </c>
    </row>
    <row r="55" spans="1:2" x14ac:dyDescent="0.25">
      <c r="A55" s="56">
        <v>45029</v>
      </c>
      <c r="B55" s="55">
        <v>30</v>
      </c>
    </row>
    <row r="56" spans="1:2" x14ac:dyDescent="0.25">
      <c r="A56" s="56">
        <v>45028</v>
      </c>
      <c r="B56" s="55">
        <v>34</v>
      </c>
    </row>
    <row r="57" spans="1:2" x14ac:dyDescent="0.25">
      <c r="A57" s="56">
        <v>45027</v>
      </c>
      <c r="B57" s="55">
        <v>36</v>
      </c>
    </row>
    <row r="58" spans="1:2" x14ac:dyDescent="0.25">
      <c r="A58" s="56">
        <v>45026</v>
      </c>
      <c r="B58" s="55">
        <v>37</v>
      </c>
    </row>
    <row r="59" spans="1:2" x14ac:dyDescent="0.25">
      <c r="A59" s="56">
        <v>45023</v>
      </c>
      <c r="B59" s="55">
        <v>36</v>
      </c>
    </row>
    <row r="60" spans="1:2" x14ac:dyDescent="0.25">
      <c r="A60" s="56">
        <v>45022</v>
      </c>
      <c r="B60" s="55">
        <v>36</v>
      </c>
    </row>
    <row r="61" spans="1:2" x14ac:dyDescent="0.25">
      <c r="A61" s="56">
        <v>45021</v>
      </c>
      <c r="B61" s="55">
        <v>32</v>
      </c>
    </row>
    <row r="62" spans="1:2" x14ac:dyDescent="0.25">
      <c r="A62" s="56">
        <v>45020</v>
      </c>
      <c r="B62" s="55">
        <v>30</v>
      </c>
    </row>
    <row r="63" spans="1:2" x14ac:dyDescent="0.25">
      <c r="A63" s="56">
        <v>45019</v>
      </c>
      <c r="B63" s="55">
        <v>31</v>
      </c>
    </row>
    <row r="64" spans="1:2" x14ac:dyDescent="0.25">
      <c r="A64" s="56">
        <v>45016</v>
      </c>
      <c r="B64" s="55">
        <v>30</v>
      </c>
    </row>
    <row r="65" spans="1:2" x14ac:dyDescent="0.25">
      <c r="A65" s="56">
        <v>45015</v>
      </c>
      <c r="B65" s="55">
        <v>35</v>
      </c>
    </row>
    <row r="66" spans="1:2" x14ac:dyDescent="0.25">
      <c r="A66" s="56">
        <v>45014</v>
      </c>
      <c r="B66" s="55">
        <v>34</v>
      </c>
    </row>
    <row r="67" spans="1:2" x14ac:dyDescent="0.25">
      <c r="A67" s="56">
        <v>45013</v>
      </c>
      <c r="B67" s="55">
        <v>35</v>
      </c>
    </row>
    <row r="68" spans="1:2" x14ac:dyDescent="0.25">
      <c r="A68" s="56">
        <v>45012</v>
      </c>
      <c r="B68" s="55">
        <v>40</v>
      </c>
    </row>
    <row r="69" spans="1:2" x14ac:dyDescent="0.25">
      <c r="A69" s="56">
        <v>45009</v>
      </c>
      <c r="B69" s="55">
        <v>35</v>
      </c>
    </row>
    <row r="70" spans="1:2" x14ac:dyDescent="0.25">
      <c r="A70" s="56">
        <v>45008</v>
      </c>
      <c r="B70" s="55">
        <v>35</v>
      </c>
    </row>
    <row r="71" spans="1:2" x14ac:dyDescent="0.25">
      <c r="A71" s="56">
        <v>45007</v>
      </c>
      <c r="B71" s="55">
        <v>35</v>
      </c>
    </row>
    <row r="72" spans="1:2" x14ac:dyDescent="0.25">
      <c r="A72" s="56">
        <v>45006</v>
      </c>
      <c r="B72" s="55">
        <v>35</v>
      </c>
    </row>
    <row r="73" spans="1:2" x14ac:dyDescent="0.25">
      <c r="A73" s="56">
        <v>45005</v>
      </c>
      <c r="B73" s="55">
        <v>40</v>
      </c>
    </row>
    <row r="74" spans="1:2" x14ac:dyDescent="0.25">
      <c r="A74" s="56">
        <v>45002</v>
      </c>
      <c r="B74" s="55">
        <v>40</v>
      </c>
    </row>
    <row r="75" spans="1:2" x14ac:dyDescent="0.25">
      <c r="A75" s="56">
        <v>45001</v>
      </c>
      <c r="B75" s="55">
        <v>43</v>
      </c>
    </row>
    <row r="76" spans="1:2" x14ac:dyDescent="0.25">
      <c r="A76" s="56">
        <v>45000</v>
      </c>
      <c r="B76" s="55">
        <v>41</v>
      </c>
    </row>
    <row r="77" spans="1:2" x14ac:dyDescent="0.25">
      <c r="A77" s="56">
        <v>44999</v>
      </c>
      <c r="B77" s="55">
        <v>45</v>
      </c>
    </row>
    <row r="78" spans="1:2" x14ac:dyDescent="0.25">
      <c r="A78" s="56">
        <v>44998</v>
      </c>
      <c r="B78" s="55">
        <v>38</v>
      </c>
    </row>
    <row r="79" spans="1:2" x14ac:dyDescent="0.25">
      <c r="A79" s="56">
        <v>44995</v>
      </c>
      <c r="B79" s="55">
        <v>35</v>
      </c>
    </row>
    <row r="80" spans="1:2" x14ac:dyDescent="0.25">
      <c r="A80" s="56">
        <v>44994</v>
      </c>
      <c r="B80" s="55">
        <v>35</v>
      </c>
    </row>
    <row r="81" spans="1:2" x14ac:dyDescent="0.25">
      <c r="A81" s="56">
        <v>44993</v>
      </c>
      <c r="B81" s="55">
        <v>38</v>
      </c>
    </row>
    <row r="82" spans="1:2" x14ac:dyDescent="0.25">
      <c r="A82" s="56">
        <v>44992</v>
      </c>
      <c r="B82" s="55">
        <v>38</v>
      </c>
    </row>
    <row r="83" spans="1:2" x14ac:dyDescent="0.25">
      <c r="A83" s="56">
        <v>44991</v>
      </c>
      <c r="B83" s="55">
        <v>43</v>
      </c>
    </row>
    <row r="84" spans="1:2" x14ac:dyDescent="0.25">
      <c r="A84" s="56">
        <v>44988</v>
      </c>
      <c r="B84" s="55">
        <v>40</v>
      </c>
    </row>
    <row r="85" spans="1:2" x14ac:dyDescent="0.25">
      <c r="A85" s="56">
        <v>44987</v>
      </c>
      <c r="B85" s="55">
        <v>36</v>
      </c>
    </row>
    <row r="86" spans="1:2" x14ac:dyDescent="0.25">
      <c r="A86" s="56">
        <v>44986</v>
      </c>
      <c r="B86" s="55">
        <v>35</v>
      </c>
    </row>
    <row r="87" spans="1:2" x14ac:dyDescent="0.25">
      <c r="A87" s="56">
        <v>44985</v>
      </c>
      <c r="B87" s="55">
        <v>38</v>
      </c>
    </row>
    <row r="88" spans="1:2" x14ac:dyDescent="0.25">
      <c r="A88" s="56">
        <v>44984</v>
      </c>
      <c r="B88" s="55">
        <v>35</v>
      </c>
    </row>
    <row r="89" spans="1:2" x14ac:dyDescent="0.25">
      <c r="A89" s="56">
        <v>44981</v>
      </c>
      <c r="B89" s="55">
        <v>32</v>
      </c>
    </row>
    <row r="90" spans="1:2" x14ac:dyDescent="0.25">
      <c r="A90" s="56">
        <v>44980</v>
      </c>
      <c r="B90" s="55">
        <v>30</v>
      </c>
    </row>
    <row r="91" spans="1:2" x14ac:dyDescent="0.25">
      <c r="A91" s="56">
        <v>44979</v>
      </c>
      <c r="B91" s="55">
        <v>38</v>
      </c>
    </row>
    <row r="92" spans="1:2" x14ac:dyDescent="0.25">
      <c r="A92" s="56">
        <v>44978</v>
      </c>
      <c r="B92" s="55">
        <v>40</v>
      </c>
    </row>
    <row r="93" spans="1:2" x14ac:dyDescent="0.25">
      <c r="A93" s="56">
        <v>44977</v>
      </c>
      <c r="B93" s="55">
        <v>35</v>
      </c>
    </row>
    <row r="94" spans="1:2" x14ac:dyDescent="0.25">
      <c r="A94" s="56">
        <v>44974</v>
      </c>
      <c r="B94" s="55">
        <v>35</v>
      </c>
    </row>
    <row r="95" spans="1:2" x14ac:dyDescent="0.25">
      <c r="A95" s="56">
        <v>44973</v>
      </c>
      <c r="B95" s="55">
        <v>35</v>
      </c>
    </row>
    <row r="96" spans="1:2" x14ac:dyDescent="0.25">
      <c r="A96" s="56">
        <v>44972</v>
      </c>
      <c r="B96" s="55">
        <v>43</v>
      </c>
    </row>
    <row r="97" spans="1:2" x14ac:dyDescent="0.25">
      <c r="A97" s="56">
        <v>44971</v>
      </c>
      <c r="B97" s="55">
        <v>43</v>
      </c>
    </row>
    <row r="98" spans="1:2" x14ac:dyDescent="0.25">
      <c r="A98" s="56">
        <v>44970</v>
      </c>
      <c r="B98" s="55">
        <v>40</v>
      </c>
    </row>
    <row r="99" spans="1:2" x14ac:dyDescent="0.25">
      <c r="A99" s="56">
        <v>44967</v>
      </c>
      <c r="B99" s="55">
        <v>35</v>
      </c>
    </row>
    <row r="100" spans="1:2" x14ac:dyDescent="0.25">
      <c r="A100" s="56">
        <v>44966</v>
      </c>
      <c r="B100" s="55">
        <v>33</v>
      </c>
    </row>
    <row r="101" spans="1:2" x14ac:dyDescent="0.25">
      <c r="A101" s="56">
        <v>44965</v>
      </c>
      <c r="B101" s="55">
        <v>30</v>
      </c>
    </row>
    <row r="102" spans="1:2" x14ac:dyDescent="0.25">
      <c r="A102" s="56">
        <v>44964</v>
      </c>
      <c r="B102" s="55">
        <v>30</v>
      </c>
    </row>
    <row r="103" spans="1:2" x14ac:dyDescent="0.25">
      <c r="A103" s="56">
        <v>44963</v>
      </c>
      <c r="B103" s="55">
        <v>30</v>
      </c>
    </row>
    <row r="104" spans="1:2" x14ac:dyDescent="0.25">
      <c r="A104" s="56">
        <v>44960</v>
      </c>
      <c r="B104" s="55">
        <v>27</v>
      </c>
    </row>
    <row r="105" spans="1:2" x14ac:dyDescent="0.25">
      <c r="A105" s="56">
        <v>44959</v>
      </c>
      <c r="B105" s="55">
        <v>24</v>
      </c>
    </row>
    <row r="106" spans="1:2" x14ac:dyDescent="0.25">
      <c r="A106" s="56">
        <v>44958</v>
      </c>
      <c r="B106" s="55">
        <v>20</v>
      </c>
    </row>
    <row r="107" spans="1:2" x14ac:dyDescent="0.25">
      <c r="A107" s="56">
        <v>44957</v>
      </c>
      <c r="B107" s="55">
        <v>22</v>
      </c>
    </row>
    <row r="108" spans="1:2" x14ac:dyDescent="0.25">
      <c r="A108" s="56">
        <v>44956</v>
      </c>
      <c r="B108" s="55">
        <v>23</v>
      </c>
    </row>
    <row r="109" spans="1:2" x14ac:dyDescent="0.25">
      <c r="A109" s="56">
        <v>44953</v>
      </c>
      <c r="B109" s="55">
        <v>26</v>
      </c>
    </row>
    <row r="110" spans="1:2" x14ac:dyDescent="0.25">
      <c r="A110" s="56">
        <v>44952</v>
      </c>
      <c r="B110" s="55">
        <v>25</v>
      </c>
    </row>
    <row r="111" spans="1:2" x14ac:dyDescent="0.25">
      <c r="A111" s="56">
        <v>44951</v>
      </c>
      <c r="B111" s="55">
        <v>25</v>
      </c>
    </row>
    <row r="112" spans="1:2" x14ac:dyDescent="0.25">
      <c r="A112" s="56">
        <v>44950</v>
      </c>
      <c r="B112" s="55">
        <v>25</v>
      </c>
    </row>
    <row r="113" spans="1:2" x14ac:dyDescent="0.25">
      <c r="A113" s="56">
        <v>44949</v>
      </c>
      <c r="B113" s="55">
        <v>28</v>
      </c>
    </row>
    <row r="114" spans="1:2" x14ac:dyDescent="0.25">
      <c r="A114" s="56">
        <v>44946</v>
      </c>
      <c r="B114" s="55">
        <v>28</v>
      </c>
    </row>
    <row r="115" spans="1:2" x14ac:dyDescent="0.25">
      <c r="A115" s="56">
        <v>44945</v>
      </c>
      <c r="B115" s="55">
        <v>20</v>
      </c>
    </row>
    <row r="116" spans="1:2" x14ac:dyDescent="0.25">
      <c r="A116" s="56">
        <v>44944</v>
      </c>
      <c r="B116" s="55">
        <v>23</v>
      </c>
    </row>
    <row r="117" spans="1:2" x14ac:dyDescent="0.25">
      <c r="A117" s="56">
        <v>44943</v>
      </c>
      <c r="B117" s="55">
        <v>20</v>
      </c>
    </row>
    <row r="118" spans="1:2" x14ac:dyDescent="0.25">
      <c r="A118" s="56">
        <v>44942</v>
      </c>
      <c r="B118" s="55">
        <v>15</v>
      </c>
    </row>
    <row r="119" spans="1:2" x14ac:dyDescent="0.25">
      <c r="A119" s="56">
        <v>44939</v>
      </c>
      <c r="B119" s="55">
        <v>13</v>
      </c>
    </row>
    <row r="120" spans="1:2" x14ac:dyDescent="0.25">
      <c r="A120" s="56">
        <v>44938</v>
      </c>
      <c r="B120" s="55">
        <v>15</v>
      </c>
    </row>
    <row r="121" spans="1:2" x14ac:dyDescent="0.25">
      <c r="A121" s="56">
        <v>44937</v>
      </c>
      <c r="B121" s="55">
        <v>12</v>
      </c>
    </row>
    <row r="122" spans="1:2" x14ac:dyDescent="0.25">
      <c r="A122" s="56">
        <v>44936</v>
      </c>
      <c r="B122" s="55">
        <v>16</v>
      </c>
    </row>
    <row r="123" spans="1:2" x14ac:dyDescent="0.25">
      <c r="A123" s="56">
        <v>44935</v>
      </c>
      <c r="B123" s="55">
        <v>13</v>
      </c>
    </row>
    <row r="124" spans="1:2" x14ac:dyDescent="0.25">
      <c r="A124" s="56">
        <v>44932</v>
      </c>
      <c r="B124" s="55">
        <v>12</v>
      </c>
    </row>
    <row r="125" spans="1:2" x14ac:dyDescent="0.25">
      <c r="A125" s="56">
        <v>44931</v>
      </c>
      <c r="B125" s="55">
        <v>15</v>
      </c>
    </row>
    <row r="126" spans="1:2" x14ac:dyDescent="0.25">
      <c r="A126" s="56">
        <v>44930</v>
      </c>
      <c r="B126" s="55">
        <v>17</v>
      </c>
    </row>
    <row r="127" spans="1:2" x14ac:dyDescent="0.25">
      <c r="A127" s="56">
        <v>44929</v>
      </c>
      <c r="B127" s="55">
        <v>14</v>
      </c>
    </row>
    <row r="128" spans="1:2" x14ac:dyDescent="0.25">
      <c r="A128" s="56">
        <v>44928</v>
      </c>
      <c r="B128" s="55">
        <v>15</v>
      </c>
    </row>
    <row r="129" spans="1:2" x14ac:dyDescent="0.25">
      <c r="A129" s="56">
        <v>44925</v>
      </c>
      <c r="B129" s="55">
        <v>15</v>
      </c>
    </row>
    <row r="130" spans="1:2" x14ac:dyDescent="0.25">
      <c r="A130" s="56">
        <v>44924</v>
      </c>
      <c r="B130" s="55">
        <v>16</v>
      </c>
    </row>
    <row r="131" spans="1:2" x14ac:dyDescent="0.25">
      <c r="A131" s="56">
        <v>44923</v>
      </c>
      <c r="B131" s="55">
        <v>18</v>
      </c>
    </row>
    <row r="132" spans="1:2" x14ac:dyDescent="0.25">
      <c r="A132" s="56">
        <v>44922</v>
      </c>
      <c r="B132" s="55">
        <v>20</v>
      </c>
    </row>
    <row r="133" spans="1:2" x14ac:dyDescent="0.25">
      <c r="A133" s="56">
        <v>44921</v>
      </c>
      <c r="B133" s="55">
        <v>20</v>
      </c>
    </row>
    <row r="134" spans="1:2" x14ac:dyDescent="0.25">
      <c r="A134" s="56">
        <v>44918</v>
      </c>
      <c r="B134" s="55">
        <v>20</v>
      </c>
    </row>
    <row r="135" spans="1:2" x14ac:dyDescent="0.25">
      <c r="A135" s="56">
        <v>44917</v>
      </c>
      <c r="B135" s="55">
        <v>22</v>
      </c>
    </row>
    <row r="136" spans="1:2" x14ac:dyDescent="0.25">
      <c r="A136" s="56">
        <v>44916</v>
      </c>
      <c r="B136" s="55">
        <v>20</v>
      </c>
    </row>
    <row r="137" spans="1:2" x14ac:dyDescent="0.25">
      <c r="A137" s="56">
        <v>44915</v>
      </c>
      <c r="B137" s="55">
        <v>20</v>
      </c>
    </row>
    <row r="138" spans="1:2" x14ac:dyDescent="0.25">
      <c r="A138" s="56">
        <v>44914</v>
      </c>
      <c r="B138" s="55">
        <v>17</v>
      </c>
    </row>
    <row r="139" spans="1:2" x14ac:dyDescent="0.25">
      <c r="A139" s="56">
        <v>44911</v>
      </c>
      <c r="B139" s="55">
        <v>18</v>
      </c>
    </row>
    <row r="140" spans="1:2" x14ac:dyDescent="0.25">
      <c r="A140" s="56">
        <v>44910</v>
      </c>
      <c r="B140" s="55">
        <v>20</v>
      </c>
    </row>
    <row r="141" spans="1:2" x14ac:dyDescent="0.25">
      <c r="A141" s="56">
        <v>44909</v>
      </c>
      <c r="B141" s="55">
        <v>20</v>
      </c>
    </row>
    <row r="142" spans="1:2" x14ac:dyDescent="0.25">
      <c r="A142" s="56">
        <v>44908</v>
      </c>
      <c r="B142" s="55">
        <v>20</v>
      </c>
    </row>
    <row r="143" spans="1:2" x14ac:dyDescent="0.25">
      <c r="A143" s="56">
        <v>44907</v>
      </c>
      <c r="B143" s="55">
        <v>21</v>
      </c>
    </row>
    <row r="144" spans="1:2" x14ac:dyDescent="0.25">
      <c r="A144" s="56">
        <v>44904</v>
      </c>
      <c r="B144" s="55">
        <v>21</v>
      </c>
    </row>
    <row r="145" spans="1:2" x14ac:dyDescent="0.25">
      <c r="A145" s="56">
        <v>44903</v>
      </c>
      <c r="B145" s="55">
        <v>22</v>
      </c>
    </row>
    <row r="146" spans="1:2" x14ac:dyDescent="0.25">
      <c r="A146" s="56">
        <v>44902</v>
      </c>
      <c r="B146" s="55">
        <v>20</v>
      </c>
    </row>
    <row r="147" spans="1:2" x14ac:dyDescent="0.25">
      <c r="A147" s="56">
        <v>44901</v>
      </c>
      <c r="B147" s="55">
        <v>18</v>
      </c>
    </row>
    <row r="148" spans="1:2" x14ac:dyDescent="0.25">
      <c r="A148" s="56">
        <v>44900</v>
      </c>
      <c r="B148" s="55">
        <v>9</v>
      </c>
    </row>
    <row r="149" spans="1:2" x14ac:dyDescent="0.25">
      <c r="A149" s="56">
        <v>44897</v>
      </c>
      <c r="B149" s="55">
        <v>18</v>
      </c>
    </row>
    <row r="150" spans="1:2" x14ac:dyDescent="0.25">
      <c r="A150" s="56">
        <v>44896</v>
      </c>
      <c r="B150" s="55">
        <v>18</v>
      </c>
    </row>
    <row r="151" spans="1:2" x14ac:dyDescent="0.25">
      <c r="A151" s="56">
        <v>44895</v>
      </c>
      <c r="B151" s="55">
        <v>19</v>
      </c>
    </row>
    <row r="152" spans="1:2" x14ac:dyDescent="0.25">
      <c r="A152" s="56">
        <v>44894</v>
      </c>
      <c r="B152" s="55">
        <v>22</v>
      </c>
    </row>
    <row r="153" spans="1:2" x14ac:dyDescent="0.25">
      <c r="A153" s="56">
        <v>44893</v>
      </c>
      <c r="B153" s="55">
        <v>24</v>
      </c>
    </row>
    <row r="154" spans="1:2" x14ac:dyDescent="0.25">
      <c r="A154" s="56">
        <v>44890</v>
      </c>
      <c r="B154" s="55">
        <v>25</v>
      </c>
    </row>
    <row r="155" spans="1:2" x14ac:dyDescent="0.25">
      <c r="A155" s="56">
        <v>44889</v>
      </c>
      <c r="B155" s="55">
        <v>22</v>
      </c>
    </row>
    <row r="156" spans="1:2" x14ac:dyDescent="0.25">
      <c r="A156" s="56">
        <v>44888</v>
      </c>
      <c r="B156" s="55">
        <v>20</v>
      </c>
    </row>
    <row r="157" spans="1:2" x14ac:dyDescent="0.25">
      <c r="A157" s="56">
        <v>44887</v>
      </c>
      <c r="B157" s="55">
        <v>23</v>
      </c>
    </row>
    <row r="158" spans="1:2" x14ac:dyDescent="0.25">
      <c r="A158" s="56">
        <v>44886</v>
      </c>
      <c r="B158" s="55">
        <v>25</v>
      </c>
    </row>
    <row r="159" spans="1:2" x14ac:dyDescent="0.25">
      <c r="A159" s="56">
        <v>44883</v>
      </c>
      <c r="B159" s="55">
        <v>28</v>
      </c>
    </row>
    <row r="160" spans="1:2" x14ac:dyDescent="0.25">
      <c r="A160" s="56">
        <v>44882</v>
      </c>
      <c r="B160" s="55">
        <v>27.5</v>
      </c>
    </row>
    <row r="161" spans="1:2" x14ac:dyDescent="0.25">
      <c r="A161" s="56">
        <v>44881</v>
      </c>
      <c r="B161" s="55">
        <v>28</v>
      </c>
    </row>
    <row r="162" spans="1:2" x14ac:dyDescent="0.25">
      <c r="A162" s="56">
        <v>44880</v>
      </c>
      <c r="B162" s="55">
        <v>21</v>
      </c>
    </row>
    <row r="163" spans="1:2" x14ac:dyDescent="0.25">
      <c r="A163" s="56">
        <v>44879</v>
      </c>
      <c r="B163" s="55">
        <v>20</v>
      </c>
    </row>
    <row r="164" spans="1:2" x14ac:dyDescent="0.25">
      <c r="A164" s="56">
        <v>44876</v>
      </c>
      <c r="B164" s="55">
        <v>20</v>
      </c>
    </row>
    <row r="165" spans="1:2" x14ac:dyDescent="0.25">
      <c r="A165" s="56">
        <v>44875</v>
      </c>
      <c r="B165" s="55">
        <v>26</v>
      </c>
    </row>
    <row r="166" spans="1:2" x14ac:dyDescent="0.25">
      <c r="A166" s="56">
        <v>44874</v>
      </c>
      <c r="B166" s="55">
        <v>27</v>
      </c>
    </row>
    <row r="167" spans="1:2" x14ac:dyDescent="0.25">
      <c r="A167" s="56">
        <v>44873</v>
      </c>
      <c r="B167" s="55">
        <v>25</v>
      </c>
    </row>
    <row r="168" spans="1:2" x14ac:dyDescent="0.25">
      <c r="A168" s="56">
        <v>44872</v>
      </c>
      <c r="B168" s="55">
        <v>28</v>
      </c>
    </row>
    <row r="169" spans="1:2" x14ac:dyDescent="0.25">
      <c r="A169" s="56">
        <v>44869</v>
      </c>
      <c r="B169" s="55">
        <v>27</v>
      </c>
    </row>
    <row r="170" spans="1:2" x14ac:dyDescent="0.25">
      <c r="A170" s="56">
        <v>44868</v>
      </c>
      <c r="B170" s="55">
        <v>30</v>
      </c>
    </row>
    <row r="171" spans="1:2" x14ac:dyDescent="0.25">
      <c r="A171" s="56">
        <v>44867</v>
      </c>
      <c r="B171" s="55">
        <v>33</v>
      </c>
    </row>
    <row r="172" spans="1:2" x14ac:dyDescent="0.25">
      <c r="A172" s="56">
        <v>44866</v>
      </c>
      <c r="B172" s="55">
        <v>34</v>
      </c>
    </row>
    <row r="173" spans="1:2" x14ac:dyDescent="0.25">
      <c r="A173" s="56">
        <v>44865</v>
      </c>
      <c r="B173" s="55">
        <v>35</v>
      </c>
    </row>
    <row r="174" spans="1:2" x14ac:dyDescent="0.25">
      <c r="A174" s="56">
        <v>44862</v>
      </c>
      <c r="B174" s="55">
        <v>30</v>
      </c>
    </row>
    <row r="175" spans="1:2" x14ac:dyDescent="0.25">
      <c r="A175" s="56">
        <v>44861</v>
      </c>
      <c r="B175" s="55">
        <v>38</v>
      </c>
    </row>
    <row r="176" spans="1:2" x14ac:dyDescent="0.25">
      <c r="A176" s="56">
        <v>44860</v>
      </c>
      <c r="B176" s="55">
        <v>42</v>
      </c>
    </row>
    <row r="177" spans="1:2" x14ac:dyDescent="0.25">
      <c r="A177" s="56">
        <v>44859</v>
      </c>
      <c r="B177" s="55">
        <v>41</v>
      </c>
    </row>
    <row r="178" spans="1:2" x14ac:dyDescent="0.25">
      <c r="A178" s="56">
        <v>44858</v>
      </c>
      <c r="B178" s="55">
        <v>45</v>
      </c>
    </row>
    <row r="179" spans="1:2" x14ac:dyDescent="0.25">
      <c r="A179" s="56">
        <v>44855</v>
      </c>
      <c r="B179" s="55">
        <v>50</v>
      </c>
    </row>
    <row r="180" spans="1:2" x14ac:dyDescent="0.25">
      <c r="A180" s="56">
        <v>44854</v>
      </c>
      <c r="B180" s="55">
        <v>50</v>
      </c>
    </row>
    <row r="181" spans="1:2" x14ac:dyDescent="0.25">
      <c r="A181" s="56">
        <v>44853</v>
      </c>
      <c r="B181" s="55">
        <v>39</v>
      </c>
    </row>
    <row r="182" spans="1:2" x14ac:dyDescent="0.25">
      <c r="A182" s="56">
        <v>44852</v>
      </c>
      <c r="B182" s="55">
        <v>38</v>
      </c>
    </row>
    <row r="183" spans="1:2" x14ac:dyDescent="0.25">
      <c r="A183" s="56">
        <v>44851</v>
      </c>
      <c r="B183" s="55">
        <v>38</v>
      </c>
    </row>
    <row r="184" spans="1:2" x14ac:dyDescent="0.25">
      <c r="A184" s="56">
        <v>44848</v>
      </c>
      <c r="B184" s="55">
        <v>35</v>
      </c>
    </row>
    <row r="185" spans="1:2" x14ac:dyDescent="0.25">
      <c r="A185" s="56">
        <v>44847</v>
      </c>
      <c r="B185" s="55">
        <v>35</v>
      </c>
    </row>
    <row r="186" spans="1:2" x14ac:dyDescent="0.25">
      <c r="A186" s="56">
        <v>44846</v>
      </c>
      <c r="B186" s="55">
        <v>40</v>
      </c>
    </row>
    <row r="187" spans="1:2" x14ac:dyDescent="0.25">
      <c r="A187" s="56">
        <v>44845</v>
      </c>
      <c r="B187" s="55">
        <v>40</v>
      </c>
    </row>
    <row r="188" spans="1:2" x14ac:dyDescent="0.25">
      <c r="A188" s="56">
        <v>44844</v>
      </c>
      <c r="B188" s="55">
        <v>37</v>
      </c>
    </row>
    <row r="189" spans="1:2" x14ac:dyDescent="0.25">
      <c r="A189" s="56">
        <v>44841</v>
      </c>
      <c r="B189" s="55">
        <v>37</v>
      </c>
    </row>
    <row r="190" spans="1:2" x14ac:dyDescent="0.25">
      <c r="A190" s="56">
        <v>44840</v>
      </c>
      <c r="B190" s="55">
        <v>40</v>
      </c>
    </row>
    <row r="191" spans="1:2" x14ac:dyDescent="0.25">
      <c r="A191" s="56">
        <v>44839</v>
      </c>
      <c r="B191" s="55">
        <v>42</v>
      </c>
    </row>
    <row r="192" spans="1:2" x14ac:dyDescent="0.25">
      <c r="A192" s="56">
        <v>44838</v>
      </c>
      <c r="B192" s="55">
        <v>43</v>
      </c>
    </row>
    <row r="193" spans="1:2" x14ac:dyDescent="0.25">
      <c r="A193" s="56">
        <v>44837</v>
      </c>
      <c r="B193" s="55">
        <v>40</v>
      </c>
    </row>
    <row r="194" spans="1:2" x14ac:dyDescent="0.25">
      <c r="A194" s="56">
        <v>44834</v>
      </c>
      <c r="B194" s="55">
        <v>40</v>
      </c>
    </row>
    <row r="195" spans="1:2" x14ac:dyDescent="0.25">
      <c r="A195" s="56">
        <v>44833</v>
      </c>
      <c r="B195" s="55">
        <v>45</v>
      </c>
    </row>
    <row r="196" spans="1:2" x14ac:dyDescent="0.25">
      <c r="A196" s="56">
        <v>44832</v>
      </c>
      <c r="B196" s="55">
        <v>45</v>
      </c>
    </row>
    <row r="197" spans="1:2" x14ac:dyDescent="0.25">
      <c r="A197" s="56">
        <v>44831</v>
      </c>
      <c r="B197" s="55">
        <v>45</v>
      </c>
    </row>
    <row r="198" spans="1:2" x14ac:dyDescent="0.25">
      <c r="A198" s="56">
        <v>44830</v>
      </c>
      <c r="B198" s="55">
        <v>40</v>
      </c>
    </row>
    <row r="199" spans="1:2" x14ac:dyDescent="0.25">
      <c r="A199" s="56">
        <v>44827</v>
      </c>
      <c r="B199" s="55">
        <v>25</v>
      </c>
    </row>
    <row r="200" spans="1:2" x14ac:dyDescent="0.25">
      <c r="A200" s="56">
        <v>44826</v>
      </c>
      <c r="B200" s="55">
        <v>20</v>
      </c>
    </row>
    <row r="201" spans="1:2" x14ac:dyDescent="0.25">
      <c r="A201" s="56">
        <v>44825</v>
      </c>
      <c r="B201" s="55">
        <v>20</v>
      </c>
    </row>
    <row r="202" spans="1:2" x14ac:dyDescent="0.25">
      <c r="A202" s="56">
        <v>44824</v>
      </c>
      <c r="B202" s="55">
        <v>17</v>
      </c>
    </row>
    <row r="203" spans="1:2" x14ac:dyDescent="0.25">
      <c r="A203" s="56">
        <v>44823</v>
      </c>
      <c r="B203" s="55">
        <v>15</v>
      </c>
    </row>
    <row r="204" spans="1:2" x14ac:dyDescent="0.25">
      <c r="A204" s="56">
        <v>44820</v>
      </c>
      <c r="B204" s="55">
        <v>20</v>
      </c>
    </row>
    <row r="205" spans="1:2" x14ac:dyDescent="0.25">
      <c r="A205" s="56">
        <v>44819</v>
      </c>
      <c r="B205" s="55">
        <v>18</v>
      </c>
    </row>
    <row r="206" spans="1:2" x14ac:dyDescent="0.25">
      <c r="A206" s="56">
        <v>44818</v>
      </c>
      <c r="B206" s="55">
        <v>25</v>
      </c>
    </row>
    <row r="207" spans="1:2" x14ac:dyDescent="0.25">
      <c r="A207" s="56">
        <v>44817</v>
      </c>
      <c r="B207" s="55">
        <v>30</v>
      </c>
    </row>
    <row r="208" spans="1:2" x14ac:dyDescent="0.25">
      <c r="A208" s="56">
        <v>44816</v>
      </c>
      <c r="B208" s="55">
        <v>30</v>
      </c>
    </row>
    <row r="209" spans="1:2" x14ac:dyDescent="0.25">
      <c r="A209" s="56">
        <v>44813</v>
      </c>
      <c r="B209" s="55">
        <v>30</v>
      </c>
    </row>
    <row r="210" spans="1:2" x14ac:dyDescent="0.25">
      <c r="A210" s="56">
        <v>44812</v>
      </c>
      <c r="B210" s="55">
        <v>30</v>
      </c>
    </row>
    <row r="211" spans="1:2" x14ac:dyDescent="0.25">
      <c r="A211" s="56">
        <v>44811</v>
      </c>
      <c r="B211" s="55">
        <v>33</v>
      </c>
    </row>
    <row r="212" spans="1:2" x14ac:dyDescent="0.25">
      <c r="A212" s="56">
        <v>44810</v>
      </c>
      <c r="B212" s="55">
        <v>35</v>
      </c>
    </row>
    <row r="213" spans="1:2" x14ac:dyDescent="0.25">
      <c r="A213" s="56">
        <v>44809</v>
      </c>
      <c r="B213" s="55">
        <v>35</v>
      </c>
    </row>
    <row r="214" spans="1:2" x14ac:dyDescent="0.25">
      <c r="A214" s="56">
        <v>44806</v>
      </c>
      <c r="B214" s="55">
        <v>33</v>
      </c>
    </row>
    <row r="215" spans="1:2" x14ac:dyDescent="0.25">
      <c r="A215" s="56">
        <v>44805</v>
      </c>
      <c r="B215" s="55">
        <v>35</v>
      </c>
    </row>
    <row r="216" spans="1:2" x14ac:dyDescent="0.25">
      <c r="A216" s="56">
        <v>44804</v>
      </c>
      <c r="B216" s="55">
        <v>35</v>
      </c>
    </row>
    <row r="217" spans="1:2" x14ac:dyDescent="0.25">
      <c r="A217" s="56">
        <v>44803</v>
      </c>
      <c r="B217" s="55">
        <v>35</v>
      </c>
    </row>
    <row r="218" spans="1:2" x14ac:dyDescent="0.25">
      <c r="A218" s="56">
        <v>44802</v>
      </c>
      <c r="B218" s="55">
        <v>35</v>
      </c>
    </row>
    <row r="219" spans="1:2" x14ac:dyDescent="0.25">
      <c r="A219" s="56">
        <v>44799</v>
      </c>
      <c r="B219" s="55">
        <v>35</v>
      </c>
    </row>
    <row r="220" spans="1:2" x14ac:dyDescent="0.25">
      <c r="A220" s="56">
        <v>44798</v>
      </c>
      <c r="B220" s="55">
        <v>38</v>
      </c>
    </row>
    <row r="221" spans="1:2" x14ac:dyDescent="0.25">
      <c r="A221" s="56">
        <v>44797</v>
      </c>
      <c r="B221" s="55">
        <v>36</v>
      </c>
    </row>
    <row r="222" spans="1:2" x14ac:dyDescent="0.25">
      <c r="A222" s="56">
        <v>44796</v>
      </c>
      <c r="B222" s="55">
        <v>40</v>
      </c>
    </row>
    <row r="223" spans="1:2" x14ac:dyDescent="0.25">
      <c r="A223" s="56">
        <v>44795</v>
      </c>
      <c r="B223" s="55">
        <v>35</v>
      </c>
    </row>
    <row r="224" spans="1:2" x14ac:dyDescent="0.25">
      <c r="A224" s="56">
        <v>44792</v>
      </c>
      <c r="B224" s="55">
        <v>33.5</v>
      </c>
    </row>
    <row r="225" spans="1:2" x14ac:dyDescent="0.25">
      <c r="A225" s="56">
        <v>44791</v>
      </c>
      <c r="B225" s="55">
        <v>33</v>
      </c>
    </row>
    <row r="226" spans="1:2" x14ac:dyDescent="0.25">
      <c r="A226" s="56">
        <v>44790</v>
      </c>
      <c r="B226" s="55">
        <v>30</v>
      </c>
    </row>
    <row r="227" spans="1:2" x14ac:dyDescent="0.25">
      <c r="A227" s="56">
        <v>44789</v>
      </c>
      <c r="B227" s="55">
        <v>30</v>
      </c>
    </row>
    <row r="228" spans="1:2" x14ac:dyDescent="0.25">
      <c r="A228" s="56">
        <v>44788</v>
      </c>
      <c r="B228" s="55">
        <v>30</v>
      </c>
    </row>
    <row r="229" spans="1:2" x14ac:dyDescent="0.25">
      <c r="A229" s="56">
        <v>44785</v>
      </c>
      <c r="B229" s="55">
        <v>30</v>
      </c>
    </row>
    <row r="230" spans="1:2" x14ac:dyDescent="0.25">
      <c r="A230" s="56">
        <v>44784</v>
      </c>
      <c r="B230" s="55">
        <v>33</v>
      </c>
    </row>
    <row r="231" spans="1:2" x14ac:dyDescent="0.25">
      <c r="A231" s="56">
        <v>44783</v>
      </c>
      <c r="B231" s="55">
        <v>34</v>
      </c>
    </row>
    <row r="232" spans="1:2" x14ac:dyDescent="0.25">
      <c r="A232" s="56">
        <v>44782</v>
      </c>
      <c r="B232" s="55">
        <v>33</v>
      </c>
    </row>
    <row r="233" spans="1:2" x14ac:dyDescent="0.25">
      <c r="A233" s="56">
        <v>44781</v>
      </c>
      <c r="B233" s="55">
        <v>34</v>
      </c>
    </row>
    <row r="234" spans="1:2" x14ac:dyDescent="0.25">
      <c r="A234" s="56">
        <v>44778</v>
      </c>
      <c r="B234" s="55">
        <v>37</v>
      </c>
    </row>
    <row r="235" spans="1:2" x14ac:dyDescent="0.25">
      <c r="A235" s="56">
        <v>44777</v>
      </c>
      <c r="B235" s="55">
        <v>33</v>
      </c>
    </row>
    <row r="236" spans="1:2" x14ac:dyDescent="0.25">
      <c r="A236" s="56">
        <v>44776</v>
      </c>
      <c r="B236" s="55">
        <v>32</v>
      </c>
    </row>
    <row r="237" spans="1:2" x14ac:dyDescent="0.25">
      <c r="A237" s="56">
        <v>44775</v>
      </c>
      <c r="B237" s="55">
        <v>35</v>
      </c>
    </row>
    <row r="238" spans="1:2" x14ac:dyDescent="0.25">
      <c r="A238" s="56">
        <v>44774</v>
      </c>
      <c r="B238" s="55">
        <v>35</v>
      </c>
    </row>
    <row r="239" spans="1:2" x14ac:dyDescent="0.25">
      <c r="A239" s="56">
        <v>44771</v>
      </c>
      <c r="B239" s="55">
        <v>30</v>
      </c>
    </row>
    <row r="240" spans="1:2" x14ac:dyDescent="0.25">
      <c r="A240" s="56">
        <v>44770</v>
      </c>
      <c r="B240" s="55">
        <v>30</v>
      </c>
    </row>
    <row r="241" spans="1:2" x14ac:dyDescent="0.25">
      <c r="A241" s="56">
        <v>44769</v>
      </c>
      <c r="B241" s="55">
        <v>33</v>
      </c>
    </row>
    <row r="242" spans="1:2" x14ac:dyDescent="0.25">
      <c r="A242" s="56">
        <v>44768</v>
      </c>
      <c r="B242" s="55">
        <v>35</v>
      </c>
    </row>
    <row r="243" spans="1:2" x14ac:dyDescent="0.25">
      <c r="A243" s="56">
        <v>44767</v>
      </c>
      <c r="B243" s="55">
        <v>35</v>
      </c>
    </row>
    <row r="244" spans="1:2" x14ac:dyDescent="0.25">
      <c r="A244" s="56">
        <v>44764</v>
      </c>
      <c r="B244" s="55">
        <v>30</v>
      </c>
    </row>
    <row r="245" spans="1:2" x14ac:dyDescent="0.25">
      <c r="A245" s="56">
        <v>44763</v>
      </c>
      <c r="B245" s="55">
        <v>35</v>
      </c>
    </row>
    <row r="246" spans="1:2" x14ac:dyDescent="0.25">
      <c r="A246" s="56">
        <v>44762</v>
      </c>
      <c r="B246" s="55">
        <v>40</v>
      </c>
    </row>
    <row r="247" spans="1:2" x14ac:dyDescent="0.25">
      <c r="A247" s="56">
        <v>44761</v>
      </c>
      <c r="B247" s="55">
        <v>35</v>
      </c>
    </row>
    <row r="248" spans="1:2" x14ac:dyDescent="0.25">
      <c r="A248" s="56">
        <v>44760</v>
      </c>
      <c r="B248" s="55">
        <v>35</v>
      </c>
    </row>
    <row r="249" spans="1:2" x14ac:dyDescent="0.25">
      <c r="A249" s="56">
        <v>44757</v>
      </c>
      <c r="B249" s="55">
        <v>35</v>
      </c>
    </row>
    <row r="250" spans="1:2" x14ac:dyDescent="0.25">
      <c r="A250" s="56">
        <v>44756</v>
      </c>
      <c r="B250" s="55">
        <v>25</v>
      </c>
    </row>
    <row r="251" spans="1:2" x14ac:dyDescent="0.25">
      <c r="A251" s="56">
        <v>44755</v>
      </c>
      <c r="B251" s="55">
        <v>25</v>
      </c>
    </row>
    <row r="252" spans="1:2" x14ac:dyDescent="0.25">
      <c r="A252" s="56">
        <v>44754</v>
      </c>
      <c r="B252" s="55">
        <v>25</v>
      </c>
    </row>
    <row r="253" spans="1:2" x14ac:dyDescent="0.25">
      <c r="A253" s="56">
        <v>44753</v>
      </c>
      <c r="B253" s="55">
        <v>28</v>
      </c>
    </row>
    <row r="254" spans="1:2" x14ac:dyDescent="0.25">
      <c r="A254" s="56">
        <v>44750</v>
      </c>
      <c r="B254" s="55">
        <v>25</v>
      </c>
    </row>
    <row r="255" spans="1:2" x14ac:dyDescent="0.25">
      <c r="A255" s="56">
        <v>44749</v>
      </c>
      <c r="B255" s="55">
        <v>30</v>
      </c>
    </row>
    <row r="256" spans="1:2" x14ac:dyDescent="0.25">
      <c r="A256" s="56">
        <v>44748</v>
      </c>
      <c r="B256" s="55">
        <v>29</v>
      </c>
    </row>
    <row r="257" spans="1:2" x14ac:dyDescent="0.25">
      <c r="A257" s="56">
        <v>44747</v>
      </c>
      <c r="B257" s="55">
        <v>30</v>
      </c>
    </row>
    <row r="258" spans="1:2" x14ac:dyDescent="0.25">
      <c r="A258" s="56">
        <v>44746</v>
      </c>
      <c r="B258" s="55">
        <v>25</v>
      </c>
    </row>
    <row r="259" spans="1:2" x14ac:dyDescent="0.25">
      <c r="A259" s="56">
        <v>44743</v>
      </c>
      <c r="B259" s="55">
        <v>25</v>
      </c>
    </row>
    <row r="260" spans="1:2" x14ac:dyDescent="0.25">
      <c r="A260" s="56">
        <v>44742</v>
      </c>
      <c r="B260" s="55">
        <v>23</v>
      </c>
    </row>
    <row r="261" spans="1:2" x14ac:dyDescent="0.25">
      <c r="A261" s="56">
        <v>44741</v>
      </c>
      <c r="B261" s="55">
        <v>20</v>
      </c>
    </row>
    <row r="262" spans="1:2" x14ac:dyDescent="0.25">
      <c r="A262" s="56">
        <v>44740</v>
      </c>
      <c r="B262" s="55">
        <v>25</v>
      </c>
    </row>
    <row r="263" spans="1:2" x14ac:dyDescent="0.25">
      <c r="A263" s="56">
        <v>44739</v>
      </c>
      <c r="B263" s="55">
        <v>20</v>
      </c>
    </row>
    <row r="264" spans="1:2" x14ac:dyDescent="0.25">
      <c r="A264" s="56">
        <v>44736</v>
      </c>
      <c r="B264" s="55">
        <v>20</v>
      </c>
    </row>
    <row r="265" spans="1:2" x14ac:dyDescent="0.25">
      <c r="A265" s="56">
        <v>44735</v>
      </c>
      <c r="B265" s="55">
        <v>25</v>
      </c>
    </row>
    <row r="266" spans="1:2" x14ac:dyDescent="0.25">
      <c r="A266" s="56">
        <v>44734</v>
      </c>
      <c r="B266" s="55">
        <v>30</v>
      </c>
    </row>
    <row r="267" spans="1:2" x14ac:dyDescent="0.25">
      <c r="A267" s="56">
        <v>44733</v>
      </c>
      <c r="B267" s="55">
        <v>33</v>
      </c>
    </row>
    <row r="268" spans="1:2" x14ac:dyDescent="0.25">
      <c r="A268" s="56">
        <v>44732</v>
      </c>
      <c r="B268" s="55">
        <v>30</v>
      </c>
    </row>
    <row r="269" spans="1:2" x14ac:dyDescent="0.25">
      <c r="A269" s="56">
        <v>44729</v>
      </c>
      <c r="B269" s="55">
        <v>18</v>
      </c>
    </row>
    <row r="270" spans="1:2" x14ac:dyDescent="0.25">
      <c r="A270" s="56">
        <v>44728</v>
      </c>
      <c r="B270" s="55">
        <v>20</v>
      </c>
    </row>
    <row r="271" spans="1:2" x14ac:dyDescent="0.25">
      <c r="A271" s="56">
        <v>44727</v>
      </c>
      <c r="B271" s="55">
        <v>27</v>
      </c>
    </row>
    <row r="272" spans="1:2" x14ac:dyDescent="0.25">
      <c r="A272" s="56">
        <v>44726</v>
      </c>
      <c r="B272" s="55">
        <v>40</v>
      </c>
    </row>
    <row r="273" spans="1:2" x14ac:dyDescent="0.25">
      <c r="A273" s="56">
        <v>44725</v>
      </c>
      <c r="B273" s="55">
        <v>40</v>
      </c>
    </row>
    <row r="274" spans="1:2" x14ac:dyDescent="0.25">
      <c r="A274" s="56">
        <v>44722</v>
      </c>
      <c r="B274" s="55">
        <v>42</v>
      </c>
    </row>
    <row r="275" spans="1:2" x14ac:dyDescent="0.25">
      <c r="A275" s="56">
        <v>44721</v>
      </c>
      <c r="B275" s="55">
        <v>43</v>
      </c>
    </row>
    <row r="276" spans="1:2" x14ac:dyDescent="0.25">
      <c r="A276" s="56">
        <v>44720</v>
      </c>
      <c r="B276" s="55">
        <v>38</v>
      </c>
    </row>
    <row r="277" spans="1:2" x14ac:dyDescent="0.25">
      <c r="A277" s="56">
        <v>44719</v>
      </c>
      <c r="B277" s="55">
        <v>40</v>
      </c>
    </row>
    <row r="278" spans="1:2" x14ac:dyDescent="0.25">
      <c r="A278" s="56">
        <v>44718</v>
      </c>
      <c r="B278" s="55">
        <v>39</v>
      </c>
    </row>
    <row r="279" spans="1:2" x14ac:dyDescent="0.25">
      <c r="A279" s="56">
        <v>44715</v>
      </c>
      <c r="B279" s="55">
        <v>37</v>
      </c>
    </row>
    <row r="280" spans="1:2" x14ac:dyDescent="0.25">
      <c r="A280" s="56">
        <v>44714</v>
      </c>
      <c r="B280" s="55">
        <v>40</v>
      </c>
    </row>
    <row r="281" spans="1:2" x14ac:dyDescent="0.25">
      <c r="A281" s="56">
        <v>44713</v>
      </c>
      <c r="B281" s="55">
        <v>30</v>
      </c>
    </row>
    <row r="282" spans="1:2" x14ac:dyDescent="0.25">
      <c r="A282" s="56">
        <v>44712</v>
      </c>
      <c r="B282" s="55">
        <v>30</v>
      </c>
    </row>
    <row r="283" spans="1:2" x14ac:dyDescent="0.25">
      <c r="A283" s="56">
        <v>44711</v>
      </c>
      <c r="B283" s="55">
        <v>35</v>
      </c>
    </row>
    <row r="284" spans="1:2" x14ac:dyDescent="0.25">
      <c r="A284" s="56">
        <v>44708</v>
      </c>
      <c r="B284" s="55">
        <v>35</v>
      </c>
    </row>
    <row r="285" spans="1:2" x14ac:dyDescent="0.25">
      <c r="A285" s="56">
        <v>44707</v>
      </c>
      <c r="B285" s="55">
        <v>40</v>
      </c>
    </row>
    <row r="286" spans="1:2" x14ac:dyDescent="0.25">
      <c r="A286" s="56">
        <v>44706</v>
      </c>
      <c r="B286" s="55">
        <v>40</v>
      </c>
    </row>
    <row r="287" spans="1:2" x14ac:dyDescent="0.25">
      <c r="A287" s="56">
        <v>44705</v>
      </c>
      <c r="B287" s="55">
        <v>48</v>
      </c>
    </row>
    <row r="288" spans="1:2" x14ac:dyDescent="0.25">
      <c r="A288" s="56">
        <v>44704</v>
      </c>
      <c r="B288" s="55">
        <v>40</v>
      </c>
    </row>
    <row r="289" spans="1:2" x14ac:dyDescent="0.25">
      <c r="A289" s="56">
        <v>44701</v>
      </c>
      <c r="B289" s="55">
        <v>45</v>
      </c>
    </row>
    <row r="290" spans="1:2" x14ac:dyDescent="0.25">
      <c r="A290" s="56">
        <v>44700</v>
      </c>
      <c r="B290" s="55">
        <v>50</v>
      </c>
    </row>
    <row r="291" spans="1:2" x14ac:dyDescent="0.25">
      <c r="A291" s="56">
        <v>44699</v>
      </c>
      <c r="B291" s="55">
        <v>45</v>
      </c>
    </row>
    <row r="292" spans="1:2" x14ac:dyDescent="0.25">
      <c r="A292" s="56">
        <v>44698</v>
      </c>
      <c r="B292" s="55">
        <v>52</v>
      </c>
    </row>
    <row r="293" spans="1:2" x14ac:dyDescent="0.25">
      <c r="A293" s="56">
        <v>44697</v>
      </c>
      <c r="B293" s="55">
        <v>63</v>
      </c>
    </row>
    <row r="294" spans="1:2" x14ac:dyDescent="0.25">
      <c r="A294" s="56">
        <v>44694</v>
      </c>
      <c r="B294" s="55">
        <v>63</v>
      </c>
    </row>
    <row r="295" spans="1:2" x14ac:dyDescent="0.25">
      <c r="A295" s="56">
        <v>44693</v>
      </c>
      <c r="B295" s="55">
        <v>72</v>
      </c>
    </row>
    <row r="296" spans="1:2" x14ac:dyDescent="0.25">
      <c r="A296" s="56">
        <v>44692</v>
      </c>
      <c r="B296" s="55">
        <v>77</v>
      </c>
    </row>
    <row r="297" spans="1:2" x14ac:dyDescent="0.25">
      <c r="A297" s="56">
        <v>44691</v>
      </c>
      <c r="B297" s="55">
        <v>82</v>
      </c>
    </row>
    <row r="298" spans="1:2" x14ac:dyDescent="0.25">
      <c r="A298" s="56">
        <v>44690</v>
      </c>
      <c r="B298" s="55">
        <v>75</v>
      </c>
    </row>
    <row r="299" spans="1:2" x14ac:dyDescent="0.25">
      <c r="A299" s="56">
        <v>44687</v>
      </c>
      <c r="B299" s="55">
        <v>76</v>
      </c>
    </row>
    <row r="300" spans="1:2" x14ac:dyDescent="0.25">
      <c r="A300" s="56">
        <v>44686</v>
      </c>
      <c r="B300" s="55">
        <v>76</v>
      </c>
    </row>
    <row r="301" spans="1:2" x14ac:dyDescent="0.25">
      <c r="A301" s="56">
        <v>44685</v>
      </c>
      <c r="B301" s="55">
        <v>76</v>
      </c>
    </row>
    <row r="302" spans="1:2" x14ac:dyDescent="0.25">
      <c r="A302" s="56">
        <v>44684</v>
      </c>
      <c r="B302" s="55">
        <v>76</v>
      </c>
    </row>
    <row r="303" spans="1:2" x14ac:dyDescent="0.25">
      <c r="A303" s="56">
        <v>44683</v>
      </c>
      <c r="B303" s="55">
        <v>76</v>
      </c>
    </row>
    <row r="304" spans="1:2" x14ac:dyDescent="0.25">
      <c r="A304" s="56">
        <v>44680</v>
      </c>
      <c r="B304" s="55">
        <v>76</v>
      </c>
    </row>
    <row r="305" spans="1:2" x14ac:dyDescent="0.25">
      <c r="A305" s="56">
        <v>44679</v>
      </c>
      <c r="B305" s="55">
        <v>76</v>
      </c>
    </row>
    <row r="306" spans="1:2" x14ac:dyDescent="0.25">
      <c r="A306" s="56">
        <v>44678</v>
      </c>
      <c r="B306" s="55">
        <v>75</v>
      </c>
    </row>
    <row r="307" spans="1:2" x14ac:dyDescent="0.25">
      <c r="A307" s="56">
        <v>44677</v>
      </c>
      <c r="B307" s="55">
        <v>75</v>
      </c>
    </row>
    <row r="308" spans="1:2" x14ac:dyDescent="0.25">
      <c r="A308" s="56">
        <v>44676</v>
      </c>
      <c r="B308" s="55">
        <v>72</v>
      </c>
    </row>
    <row r="309" spans="1:2" x14ac:dyDescent="0.25">
      <c r="A309" s="56">
        <v>44673</v>
      </c>
      <c r="B309" s="55">
        <v>70</v>
      </c>
    </row>
    <row r="310" spans="1:2" x14ac:dyDescent="0.25">
      <c r="A310" s="56">
        <v>44672</v>
      </c>
      <c r="B310" s="55">
        <v>73</v>
      </c>
    </row>
    <row r="311" spans="1:2" x14ac:dyDescent="0.25">
      <c r="A311" s="56">
        <v>44671</v>
      </c>
      <c r="B311" s="55">
        <v>72</v>
      </c>
    </row>
    <row r="312" spans="1:2" x14ac:dyDescent="0.25">
      <c r="A312" s="56">
        <v>44670</v>
      </c>
      <c r="B312" s="55">
        <v>74</v>
      </c>
    </row>
    <row r="313" spans="1:2" x14ac:dyDescent="0.25">
      <c r="A313" s="56">
        <v>44669</v>
      </c>
      <c r="B313" s="55">
        <v>70</v>
      </c>
    </row>
    <row r="314" spans="1:2" x14ac:dyDescent="0.25">
      <c r="A314" s="56">
        <v>44666</v>
      </c>
      <c r="B314" s="55">
        <v>73</v>
      </c>
    </row>
    <row r="315" spans="1:2" x14ac:dyDescent="0.25">
      <c r="A315" s="56">
        <v>44665</v>
      </c>
      <c r="B315" s="55">
        <v>73</v>
      </c>
    </row>
    <row r="316" spans="1:2" x14ac:dyDescent="0.25">
      <c r="A316" s="56">
        <v>44664</v>
      </c>
      <c r="B316" s="55">
        <v>73</v>
      </c>
    </row>
    <row r="317" spans="1:2" x14ac:dyDescent="0.25">
      <c r="A317" s="56">
        <v>44663</v>
      </c>
      <c r="B317" s="55">
        <v>74</v>
      </c>
    </row>
    <row r="318" spans="1:2" x14ac:dyDescent="0.25">
      <c r="A318" s="56">
        <v>44662</v>
      </c>
      <c r="B318" s="55">
        <v>78</v>
      </c>
    </row>
    <row r="319" spans="1:2" x14ac:dyDescent="0.25">
      <c r="A319" s="56">
        <v>44659</v>
      </c>
      <c r="B319" s="55">
        <v>77</v>
      </c>
    </row>
    <row r="320" spans="1:2" x14ac:dyDescent="0.25">
      <c r="A320" s="56">
        <v>44658</v>
      </c>
      <c r="B320" s="55">
        <v>71</v>
      </c>
    </row>
    <row r="321" spans="1:2" x14ac:dyDescent="0.25">
      <c r="A321" s="56">
        <v>44657</v>
      </c>
      <c r="B321" s="55">
        <v>71</v>
      </c>
    </row>
    <row r="322" spans="1:2" x14ac:dyDescent="0.25">
      <c r="A322" s="56">
        <v>44656</v>
      </c>
      <c r="B322" s="55">
        <v>70</v>
      </c>
    </row>
    <row r="323" spans="1:2" x14ac:dyDescent="0.25">
      <c r="A323" s="56">
        <v>44655</v>
      </c>
      <c r="B323" s="55">
        <v>65</v>
      </c>
    </row>
    <row r="324" spans="1:2" x14ac:dyDescent="0.25">
      <c r="A324" s="56">
        <v>44652</v>
      </c>
      <c r="B324" s="55">
        <v>55</v>
      </c>
    </row>
    <row r="325" spans="1:2" x14ac:dyDescent="0.25">
      <c r="A325" s="56">
        <v>44651</v>
      </c>
      <c r="B325" s="55">
        <v>53</v>
      </c>
    </row>
    <row r="326" spans="1:2" x14ac:dyDescent="0.25">
      <c r="A326" s="56">
        <v>44650</v>
      </c>
      <c r="B326" s="55">
        <v>58</v>
      </c>
    </row>
    <row r="327" spans="1:2" x14ac:dyDescent="0.25">
      <c r="A327" s="56">
        <v>44649</v>
      </c>
      <c r="B327" s="55">
        <v>60</v>
      </c>
    </row>
    <row r="328" spans="1:2" x14ac:dyDescent="0.25">
      <c r="A328" s="56">
        <v>44648</v>
      </c>
      <c r="B328" s="55">
        <v>60</v>
      </c>
    </row>
    <row r="329" spans="1:2" x14ac:dyDescent="0.25">
      <c r="A329" s="56">
        <v>44645</v>
      </c>
      <c r="B329" s="55">
        <v>60</v>
      </c>
    </row>
    <row r="330" spans="1:2" x14ac:dyDescent="0.25">
      <c r="A330" s="56">
        <v>44644</v>
      </c>
      <c r="B330" s="55">
        <v>60</v>
      </c>
    </row>
    <row r="331" spans="1:2" x14ac:dyDescent="0.25">
      <c r="A331" s="56">
        <v>44643</v>
      </c>
      <c r="B331" s="55">
        <v>60</v>
      </c>
    </row>
    <row r="332" spans="1:2" x14ac:dyDescent="0.25">
      <c r="A332" s="56">
        <v>44642</v>
      </c>
      <c r="B332" s="55">
        <v>69</v>
      </c>
    </row>
    <row r="333" spans="1:2" x14ac:dyDescent="0.25">
      <c r="A333" s="56">
        <v>44641</v>
      </c>
      <c r="B333" s="55">
        <v>72</v>
      </c>
    </row>
    <row r="334" spans="1:2" x14ac:dyDescent="0.25">
      <c r="A334" s="56">
        <v>44638</v>
      </c>
      <c r="B334" s="55">
        <v>73</v>
      </c>
    </row>
    <row r="335" spans="1:2" x14ac:dyDescent="0.25">
      <c r="A335" s="56">
        <v>44637</v>
      </c>
      <c r="B335" s="55">
        <v>70</v>
      </c>
    </row>
    <row r="336" spans="1:2" x14ac:dyDescent="0.25">
      <c r="A336" s="56">
        <v>44636</v>
      </c>
      <c r="B336" s="55">
        <v>77</v>
      </c>
    </row>
    <row r="337" spans="1:2" x14ac:dyDescent="0.25">
      <c r="A337" s="56">
        <v>44635</v>
      </c>
      <c r="B337" s="55">
        <v>78</v>
      </c>
    </row>
    <row r="338" spans="1:2" x14ac:dyDescent="0.25">
      <c r="A338" s="56">
        <v>44634</v>
      </c>
      <c r="B338" s="55">
        <v>84</v>
      </c>
    </row>
    <row r="339" spans="1:2" x14ac:dyDescent="0.25">
      <c r="A339" s="56">
        <v>44631</v>
      </c>
      <c r="B339" s="55">
        <v>86</v>
      </c>
    </row>
    <row r="340" spans="1:2" x14ac:dyDescent="0.25">
      <c r="A340" s="56">
        <v>44630</v>
      </c>
      <c r="B340" s="55">
        <v>85</v>
      </c>
    </row>
    <row r="341" spans="1:2" x14ac:dyDescent="0.25">
      <c r="A341" s="56">
        <v>44629</v>
      </c>
      <c r="B341" s="55">
        <v>89</v>
      </c>
    </row>
    <row r="342" spans="1:2" x14ac:dyDescent="0.25">
      <c r="A342" s="56">
        <v>44628</v>
      </c>
      <c r="B342" s="55">
        <v>88</v>
      </c>
    </row>
    <row r="343" spans="1:2" x14ac:dyDescent="0.25">
      <c r="A343" s="56">
        <v>44627</v>
      </c>
      <c r="B343" s="55">
        <v>89</v>
      </c>
    </row>
    <row r="344" spans="1:2" x14ac:dyDescent="0.25">
      <c r="A344" s="56">
        <v>44624</v>
      </c>
      <c r="B344" s="55">
        <v>89</v>
      </c>
    </row>
    <row r="345" spans="1:2" x14ac:dyDescent="0.25">
      <c r="A345" s="56">
        <v>44623</v>
      </c>
      <c r="B345" s="55">
        <v>89</v>
      </c>
    </row>
    <row r="346" spans="1:2" x14ac:dyDescent="0.25">
      <c r="A346" s="56">
        <v>44622</v>
      </c>
      <c r="B346" s="55">
        <v>89</v>
      </c>
    </row>
    <row r="347" spans="1:2" x14ac:dyDescent="0.25">
      <c r="A347" s="56">
        <v>44621</v>
      </c>
      <c r="B347" s="55">
        <v>90.5</v>
      </c>
    </row>
    <row r="348" spans="1:2" x14ac:dyDescent="0.25">
      <c r="A348" s="56">
        <v>44620</v>
      </c>
      <c r="B348" s="55">
        <v>88</v>
      </c>
    </row>
    <row r="349" spans="1:2" x14ac:dyDescent="0.25">
      <c r="A349" s="56">
        <v>44617</v>
      </c>
      <c r="B349" s="55">
        <v>88</v>
      </c>
    </row>
    <row r="350" spans="1:2" x14ac:dyDescent="0.25">
      <c r="A350" s="56">
        <v>44616</v>
      </c>
      <c r="B350" s="55">
        <v>88</v>
      </c>
    </row>
    <row r="351" spans="1:2" x14ac:dyDescent="0.25">
      <c r="A351" s="56">
        <v>44615</v>
      </c>
      <c r="B351" s="55">
        <v>89</v>
      </c>
    </row>
    <row r="352" spans="1:2" x14ac:dyDescent="0.25">
      <c r="A352" s="56">
        <v>44614</v>
      </c>
      <c r="B352" s="55">
        <v>83</v>
      </c>
    </row>
    <row r="353" spans="1:2" x14ac:dyDescent="0.25">
      <c r="A353" s="56">
        <v>44613</v>
      </c>
      <c r="B353" s="55">
        <v>83</v>
      </c>
    </row>
    <row r="354" spans="1:2" x14ac:dyDescent="0.25">
      <c r="A354" s="56">
        <v>44610</v>
      </c>
      <c r="B354" s="55">
        <v>86</v>
      </c>
    </row>
    <row r="355" spans="1:2" x14ac:dyDescent="0.25">
      <c r="A355" s="56">
        <v>44609</v>
      </c>
      <c r="B355" s="55">
        <v>86</v>
      </c>
    </row>
    <row r="356" spans="1:2" x14ac:dyDescent="0.25">
      <c r="A356" s="56">
        <v>44608</v>
      </c>
      <c r="B356" s="55">
        <v>86</v>
      </c>
    </row>
    <row r="357" spans="1:2" x14ac:dyDescent="0.25">
      <c r="A357" s="56">
        <v>44607</v>
      </c>
      <c r="B357" s="55">
        <v>88</v>
      </c>
    </row>
    <row r="358" spans="1:2" x14ac:dyDescent="0.25">
      <c r="A358" s="56">
        <v>44606</v>
      </c>
      <c r="B358" s="55">
        <v>90</v>
      </c>
    </row>
    <row r="359" spans="1:2" x14ac:dyDescent="0.25">
      <c r="A359" s="56">
        <v>44603</v>
      </c>
      <c r="B359" s="55">
        <v>93</v>
      </c>
    </row>
    <row r="360" spans="1:2" x14ac:dyDescent="0.25">
      <c r="A360" s="56">
        <v>44602</v>
      </c>
      <c r="B360" s="55">
        <v>93</v>
      </c>
    </row>
    <row r="361" spans="1:2" x14ac:dyDescent="0.25">
      <c r="A361" s="56">
        <v>44601</v>
      </c>
      <c r="B361" s="55">
        <v>90</v>
      </c>
    </row>
    <row r="362" spans="1:2" x14ac:dyDescent="0.25">
      <c r="A362" s="56">
        <v>44600</v>
      </c>
      <c r="B362" s="55">
        <v>88</v>
      </c>
    </row>
    <row r="363" spans="1:2" x14ac:dyDescent="0.25">
      <c r="A363" s="56">
        <v>44599</v>
      </c>
      <c r="B363" s="55">
        <v>86</v>
      </c>
    </row>
    <row r="364" spans="1:2" x14ac:dyDescent="0.25">
      <c r="A364" s="56">
        <v>44596</v>
      </c>
      <c r="B364" s="55">
        <v>85</v>
      </c>
    </row>
    <row r="365" spans="1:2" x14ac:dyDescent="0.25">
      <c r="A365" s="56">
        <v>44595</v>
      </c>
      <c r="B365" s="55">
        <v>89</v>
      </c>
    </row>
    <row r="366" spans="1:2" x14ac:dyDescent="0.25">
      <c r="A366" s="56">
        <v>44594</v>
      </c>
      <c r="B366" s="55">
        <v>89</v>
      </c>
    </row>
    <row r="367" spans="1:2" x14ac:dyDescent="0.25">
      <c r="A367" s="56">
        <v>44593</v>
      </c>
      <c r="B367" s="55">
        <v>90</v>
      </c>
    </row>
    <row r="368" spans="1:2" x14ac:dyDescent="0.25">
      <c r="A368" s="56">
        <v>44592</v>
      </c>
      <c r="B368" s="55">
        <v>90</v>
      </c>
    </row>
    <row r="369" spans="1:2" x14ac:dyDescent="0.25">
      <c r="A369" s="56">
        <v>44589</v>
      </c>
      <c r="B369" s="55">
        <v>90</v>
      </c>
    </row>
    <row r="370" spans="1:2" x14ac:dyDescent="0.25">
      <c r="A370" s="56">
        <v>44588</v>
      </c>
      <c r="B370" s="55">
        <v>88</v>
      </c>
    </row>
    <row r="371" spans="1:2" x14ac:dyDescent="0.25">
      <c r="A371" s="56">
        <v>44587</v>
      </c>
      <c r="B371" s="55">
        <v>93.5</v>
      </c>
    </row>
    <row r="372" spans="1:2" x14ac:dyDescent="0.25">
      <c r="A372" s="56">
        <v>44586</v>
      </c>
      <c r="B372" s="55">
        <v>93</v>
      </c>
    </row>
    <row r="373" spans="1:2" x14ac:dyDescent="0.25">
      <c r="A373" s="56">
        <v>44585</v>
      </c>
      <c r="B373" s="55">
        <v>97</v>
      </c>
    </row>
    <row r="374" spans="1:2" x14ac:dyDescent="0.25">
      <c r="A374" s="56">
        <v>44582</v>
      </c>
      <c r="B374" s="55">
        <v>99</v>
      </c>
    </row>
    <row r="375" spans="1:2" x14ac:dyDescent="0.25">
      <c r="A375" s="56">
        <v>44581</v>
      </c>
      <c r="B375" s="55">
        <v>100</v>
      </c>
    </row>
    <row r="376" spans="1:2" x14ac:dyDescent="0.25">
      <c r="A376" s="56">
        <v>44580</v>
      </c>
      <c r="B376" s="55">
        <v>103</v>
      </c>
    </row>
    <row r="377" spans="1:2" x14ac:dyDescent="0.25">
      <c r="A377" s="56">
        <v>44579</v>
      </c>
      <c r="B377" s="55">
        <v>107</v>
      </c>
    </row>
    <row r="378" spans="1:2" x14ac:dyDescent="0.25">
      <c r="A378" s="56">
        <v>44578</v>
      </c>
      <c r="B378" s="55">
        <v>107</v>
      </c>
    </row>
    <row r="379" spans="1:2" x14ac:dyDescent="0.25">
      <c r="A379" s="56">
        <v>44575</v>
      </c>
      <c r="B379" s="55">
        <v>108</v>
      </c>
    </row>
    <row r="380" spans="1:2" x14ac:dyDescent="0.25">
      <c r="A380" s="56">
        <v>44574</v>
      </c>
      <c r="B380" s="55">
        <v>109</v>
      </c>
    </row>
    <row r="381" spans="1:2" x14ac:dyDescent="0.25">
      <c r="A381" s="56">
        <v>44573</v>
      </c>
      <c r="B381" s="55">
        <v>112</v>
      </c>
    </row>
    <row r="382" spans="1:2" x14ac:dyDescent="0.25">
      <c r="A382" s="56">
        <v>44572</v>
      </c>
      <c r="B382" s="55">
        <v>113</v>
      </c>
    </row>
    <row r="383" spans="1:2" x14ac:dyDescent="0.25">
      <c r="A383" s="56">
        <v>44571</v>
      </c>
      <c r="B383" s="55">
        <v>114</v>
      </c>
    </row>
    <row r="384" spans="1:2" x14ac:dyDescent="0.25">
      <c r="A384" s="56">
        <v>44568</v>
      </c>
      <c r="B384" s="55">
        <v>118.5</v>
      </c>
    </row>
    <row r="385" spans="1:2" x14ac:dyDescent="0.25">
      <c r="A385" s="56">
        <v>44567</v>
      </c>
      <c r="B385" s="55">
        <v>120</v>
      </c>
    </row>
    <row r="386" spans="1:2" x14ac:dyDescent="0.25">
      <c r="A386" s="56">
        <v>44566</v>
      </c>
      <c r="B386" s="55">
        <v>117.5</v>
      </c>
    </row>
    <row r="387" spans="1:2" x14ac:dyDescent="0.25">
      <c r="A387" s="56">
        <v>44565</v>
      </c>
      <c r="B387" s="55">
        <v>117</v>
      </c>
    </row>
    <row r="388" spans="1:2" x14ac:dyDescent="0.25">
      <c r="A388" s="56">
        <v>44564</v>
      </c>
      <c r="B388" s="55">
        <v>105</v>
      </c>
    </row>
    <row r="389" spans="1:2" x14ac:dyDescent="0.25">
      <c r="A389" s="56">
        <v>44561</v>
      </c>
      <c r="B389" s="55">
        <v>110</v>
      </c>
    </row>
    <row r="390" spans="1:2" x14ac:dyDescent="0.25">
      <c r="A390" s="56">
        <v>44560</v>
      </c>
      <c r="B390" s="55">
        <v>112</v>
      </c>
    </row>
    <row r="391" spans="1:2" x14ac:dyDescent="0.25">
      <c r="A391" s="56">
        <v>44559</v>
      </c>
      <c r="B391" s="55">
        <v>110</v>
      </c>
    </row>
    <row r="392" spans="1:2" x14ac:dyDescent="0.25">
      <c r="A392" s="56">
        <v>44558</v>
      </c>
      <c r="B392" s="55">
        <v>118</v>
      </c>
    </row>
    <row r="393" spans="1:2" x14ac:dyDescent="0.25">
      <c r="A393" s="56">
        <v>44557</v>
      </c>
      <c r="B393" s="55">
        <v>122</v>
      </c>
    </row>
    <row r="394" spans="1:2" x14ac:dyDescent="0.25">
      <c r="A394" s="56">
        <v>44554</v>
      </c>
      <c r="B394" s="55">
        <v>120</v>
      </c>
    </row>
    <row r="395" spans="1:2" x14ac:dyDescent="0.25">
      <c r="A395" s="56">
        <v>44553</v>
      </c>
      <c r="B395" s="55">
        <v>127</v>
      </c>
    </row>
    <row r="396" spans="1:2" x14ac:dyDescent="0.25">
      <c r="A396" s="56">
        <v>44552</v>
      </c>
      <c r="B396" s="55">
        <v>125</v>
      </c>
    </row>
    <row r="397" spans="1:2" x14ac:dyDescent="0.25">
      <c r="A397" s="56">
        <v>44551</v>
      </c>
      <c r="B397" s="55">
        <v>126</v>
      </c>
    </row>
    <row r="398" spans="1:2" x14ac:dyDescent="0.25">
      <c r="A398" s="56">
        <v>44550</v>
      </c>
      <c r="B398" s="55">
        <v>125</v>
      </c>
    </row>
    <row r="399" spans="1:2" x14ac:dyDescent="0.25">
      <c r="A399" s="56">
        <v>44547</v>
      </c>
      <c r="B399" s="55">
        <v>122</v>
      </c>
    </row>
    <row r="400" spans="1:2" x14ac:dyDescent="0.25">
      <c r="A400" s="56">
        <v>44546</v>
      </c>
      <c r="B400" s="55">
        <v>127</v>
      </c>
    </row>
    <row r="401" spans="1:2" x14ac:dyDescent="0.25">
      <c r="A401" s="56">
        <v>44545</v>
      </c>
      <c r="B401" s="55">
        <v>127</v>
      </c>
    </row>
    <row r="402" spans="1:2" x14ac:dyDescent="0.25">
      <c r="A402" s="56">
        <v>44544</v>
      </c>
      <c r="B402" s="55">
        <v>130</v>
      </c>
    </row>
    <row r="403" spans="1:2" x14ac:dyDescent="0.25">
      <c r="A403" s="56">
        <v>44543</v>
      </c>
      <c r="B403" s="55">
        <v>127</v>
      </c>
    </row>
    <row r="404" spans="1:2" x14ac:dyDescent="0.25">
      <c r="A404" s="56">
        <v>44540</v>
      </c>
      <c r="B404" s="55">
        <v>129</v>
      </c>
    </row>
    <row r="405" spans="1:2" x14ac:dyDescent="0.25">
      <c r="A405" s="56">
        <v>44539</v>
      </c>
      <c r="B405" s="55">
        <v>130</v>
      </c>
    </row>
    <row r="406" spans="1:2" x14ac:dyDescent="0.25">
      <c r="A406" s="56">
        <v>44538</v>
      </c>
      <c r="B406" s="55">
        <v>131</v>
      </c>
    </row>
    <row r="407" spans="1:2" x14ac:dyDescent="0.25">
      <c r="A407" s="56">
        <v>44537</v>
      </c>
      <c r="B407" s="55">
        <v>129</v>
      </c>
    </row>
    <row r="408" spans="1:2" x14ac:dyDescent="0.25">
      <c r="A408" s="56">
        <v>44536</v>
      </c>
      <c r="B408" s="55">
        <v>130</v>
      </c>
    </row>
    <row r="409" spans="1:2" x14ac:dyDescent="0.25">
      <c r="A409" s="56">
        <v>44533</v>
      </c>
      <c r="B409" s="55">
        <v>128</v>
      </c>
    </row>
    <row r="410" spans="1:2" x14ac:dyDescent="0.25">
      <c r="A410" s="56">
        <v>44532</v>
      </c>
      <c r="B410" s="55">
        <v>130</v>
      </c>
    </row>
    <row r="411" spans="1:2" x14ac:dyDescent="0.25">
      <c r="A411" s="56">
        <v>44531</v>
      </c>
      <c r="B411" s="55">
        <v>127</v>
      </c>
    </row>
    <row r="412" spans="1:2" x14ac:dyDescent="0.25">
      <c r="A412" s="56">
        <v>44530</v>
      </c>
      <c r="B412" s="55">
        <v>127</v>
      </c>
    </row>
    <row r="413" spans="1:2" x14ac:dyDescent="0.25">
      <c r="A413" s="56">
        <v>44529</v>
      </c>
      <c r="B413" s="55">
        <v>128</v>
      </c>
    </row>
    <row r="414" spans="1:2" x14ac:dyDescent="0.25">
      <c r="A414" s="56">
        <v>44526</v>
      </c>
      <c r="B414" s="55">
        <v>123</v>
      </c>
    </row>
    <row r="415" spans="1:2" x14ac:dyDescent="0.25">
      <c r="A415" s="56">
        <v>44525</v>
      </c>
      <c r="B415" s="55">
        <v>127</v>
      </c>
    </row>
    <row r="416" spans="1:2" x14ac:dyDescent="0.25">
      <c r="A416" s="56">
        <v>44524</v>
      </c>
      <c r="B416" s="55">
        <v>130</v>
      </c>
    </row>
    <row r="417" spans="1:2" x14ac:dyDescent="0.25">
      <c r="A417" s="56">
        <v>44523</v>
      </c>
      <c r="B417" s="55">
        <v>132</v>
      </c>
    </row>
    <row r="418" spans="1:2" x14ac:dyDescent="0.25">
      <c r="A418" s="56">
        <v>44522</v>
      </c>
      <c r="B418" s="55">
        <v>131</v>
      </c>
    </row>
    <row r="419" spans="1:2" x14ac:dyDescent="0.25">
      <c r="A419" s="56">
        <v>44519</v>
      </c>
      <c r="B419" s="55">
        <v>130</v>
      </c>
    </row>
    <row r="420" spans="1:2" x14ac:dyDescent="0.25">
      <c r="A420" s="56">
        <v>44518</v>
      </c>
      <c r="B420" s="55">
        <v>134</v>
      </c>
    </row>
    <row r="421" spans="1:2" x14ac:dyDescent="0.25">
      <c r="A421" s="56">
        <v>44517</v>
      </c>
      <c r="B421" s="55">
        <v>137</v>
      </c>
    </row>
    <row r="422" spans="1:2" x14ac:dyDescent="0.25">
      <c r="A422" s="56">
        <v>44516</v>
      </c>
      <c r="B422" s="55">
        <v>130</v>
      </c>
    </row>
    <row r="423" spans="1:2" x14ac:dyDescent="0.25">
      <c r="A423" s="56">
        <v>44515</v>
      </c>
      <c r="B423" s="55">
        <v>130</v>
      </c>
    </row>
    <row r="424" spans="1:2" x14ac:dyDescent="0.25">
      <c r="A424" s="56">
        <v>44512</v>
      </c>
      <c r="B424" s="55">
        <v>133</v>
      </c>
    </row>
    <row r="425" spans="1:2" x14ac:dyDescent="0.25">
      <c r="A425" s="56">
        <v>44511</v>
      </c>
      <c r="B425" s="55">
        <v>132</v>
      </c>
    </row>
    <row r="426" spans="1:2" x14ac:dyDescent="0.25">
      <c r="A426" s="56">
        <v>44510</v>
      </c>
      <c r="B426" s="55">
        <v>133</v>
      </c>
    </row>
    <row r="427" spans="1:2" x14ac:dyDescent="0.25">
      <c r="A427" s="56">
        <v>44509</v>
      </c>
      <c r="B427" s="55">
        <v>132</v>
      </c>
    </row>
    <row r="428" spans="1:2" x14ac:dyDescent="0.25">
      <c r="A428" s="56">
        <v>44508</v>
      </c>
      <c r="B428" s="55">
        <v>125</v>
      </c>
    </row>
    <row r="429" spans="1:2" x14ac:dyDescent="0.25">
      <c r="A429" s="56">
        <v>44505</v>
      </c>
      <c r="B429" s="55">
        <v>125</v>
      </c>
    </row>
    <row r="430" spans="1:2" x14ac:dyDescent="0.25">
      <c r="A430" s="56">
        <v>44504</v>
      </c>
      <c r="B430" s="55">
        <v>129</v>
      </c>
    </row>
    <row r="431" spans="1:2" x14ac:dyDescent="0.25">
      <c r="A431" s="56">
        <v>44503</v>
      </c>
      <c r="B431" s="55">
        <v>132</v>
      </c>
    </row>
    <row r="432" spans="1:2" x14ac:dyDescent="0.25">
      <c r="A432" s="56">
        <v>44502</v>
      </c>
      <c r="B432" s="55">
        <v>128</v>
      </c>
    </row>
    <row r="433" spans="1:2" x14ac:dyDescent="0.25">
      <c r="A433" s="56">
        <v>44501</v>
      </c>
      <c r="B433" s="55">
        <v>130</v>
      </c>
    </row>
    <row r="434" spans="1:2" x14ac:dyDescent="0.25">
      <c r="A434" s="56">
        <v>44498</v>
      </c>
      <c r="B434" s="55">
        <v>124</v>
      </c>
    </row>
    <row r="435" spans="1:2" x14ac:dyDescent="0.25">
      <c r="A435" s="56">
        <v>44497</v>
      </c>
      <c r="B435" s="55">
        <v>128</v>
      </c>
    </row>
    <row r="436" spans="1:2" x14ac:dyDescent="0.25">
      <c r="A436" s="56">
        <v>44496</v>
      </c>
      <c r="B436" s="55">
        <v>130</v>
      </c>
    </row>
    <row r="437" spans="1:2" x14ac:dyDescent="0.25">
      <c r="A437" s="56">
        <v>44495</v>
      </c>
      <c r="B437" s="55">
        <v>126</v>
      </c>
    </row>
    <row r="438" spans="1:2" x14ac:dyDescent="0.25">
      <c r="A438" s="56">
        <v>44494</v>
      </c>
      <c r="B438" s="55">
        <v>126</v>
      </c>
    </row>
    <row r="439" spans="1:2" x14ac:dyDescent="0.25">
      <c r="A439" s="56">
        <v>44491</v>
      </c>
      <c r="B439" s="55">
        <v>126</v>
      </c>
    </row>
    <row r="440" spans="1:2" x14ac:dyDescent="0.25">
      <c r="A440" s="56">
        <v>44490</v>
      </c>
      <c r="B440" s="55">
        <v>125</v>
      </c>
    </row>
    <row r="441" spans="1:2" x14ac:dyDescent="0.25">
      <c r="A441" s="56">
        <v>44489</v>
      </c>
      <c r="B441" s="55">
        <v>132</v>
      </c>
    </row>
    <row r="442" spans="1:2" x14ac:dyDescent="0.25">
      <c r="A442" s="56">
        <v>44488</v>
      </c>
      <c r="B442" s="55">
        <v>132</v>
      </c>
    </row>
    <row r="443" spans="1:2" x14ac:dyDescent="0.25">
      <c r="A443" s="56">
        <v>44487</v>
      </c>
      <c r="B443" s="55">
        <v>126</v>
      </c>
    </row>
    <row r="444" spans="1:2" x14ac:dyDescent="0.25">
      <c r="A444" s="56">
        <v>44484</v>
      </c>
      <c r="B444" s="55">
        <v>125</v>
      </c>
    </row>
    <row r="445" spans="1:2" x14ac:dyDescent="0.25">
      <c r="A445" s="56">
        <v>44483</v>
      </c>
      <c r="B445" s="55">
        <v>123</v>
      </c>
    </row>
    <row r="446" spans="1:2" x14ac:dyDescent="0.25">
      <c r="A446" s="56">
        <v>44482</v>
      </c>
      <c r="B446" s="55">
        <v>120</v>
      </c>
    </row>
    <row r="447" spans="1:2" x14ac:dyDescent="0.25">
      <c r="A447" s="56">
        <v>44481</v>
      </c>
      <c r="B447" s="55">
        <v>128</v>
      </c>
    </row>
    <row r="448" spans="1:2" x14ac:dyDescent="0.25">
      <c r="A448" s="56">
        <v>44480</v>
      </c>
      <c r="B448" s="55">
        <v>125</v>
      </c>
    </row>
    <row r="449" spans="1:2" x14ac:dyDescent="0.25">
      <c r="A449" s="56">
        <v>44477</v>
      </c>
      <c r="B449" s="55">
        <v>120</v>
      </c>
    </row>
    <row r="450" spans="1:2" x14ac:dyDescent="0.25">
      <c r="A450" s="56">
        <v>44476</v>
      </c>
      <c r="B450" s="55">
        <v>120</v>
      </c>
    </row>
    <row r="451" spans="1:2" x14ac:dyDescent="0.25">
      <c r="A451" s="56">
        <v>44475</v>
      </c>
      <c r="B451" s="55">
        <v>126</v>
      </c>
    </row>
    <row r="452" spans="1:2" x14ac:dyDescent="0.25">
      <c r="A452" s="56">
        <v>44474</v>
      </c>
      <c r="B452" s="55">
        <v>120</v>
      </c>
    </row>
    <row r="453" spans="1:2" x14ac:dyDescent="0.25">
      <c r="A453" s="56">
        <v>44473</v>
      </c>
      <c r="B453" s="55">
        <v>131</v>
      </c>
    </row>
    <row r="454" spans="1:2" x14ac:dyDescent="0.25">
      <c r="A454" s="56">
        <v>44470</v>
      </c>
      <c r="B454" s="55">
        <v>130</v>
      </c>
    </row>
    <row r="455" spans="1:2" x14ac:dyDescent="0.25">
      <c r="A455" s="56">
        <v>44469</v>
      </c>
      <c r="B455" s="55">
        <v>125</v>
      </c>
    </row>
    <row r="456" spans="1:2" x14ac:dyDescent="0.25">
      <c r="A456" s="56">
        <v>44468</v>
      </c>
      <c r="B456" s="55">
        <v>131</v>
      </c>
    </row>
    <row r="457" spans="1:2" x14ac:dyDescent="0.25">
      <c r="A457" s="56">
        <v>44467</v>
      </c>
      <c r="B457" s="55">
        <v>129</v>
      </c>
    </row>
    <row r="458" spans="1:2" x14ac:dyDescent="0.25">
      <c r="A458" s="56">
        <v>44466</v>
      </c>
      <c r="B458" s="55">
        <v>125</v>
      </c>
    </row>
    <row r="459" spans="1:2" x14ac:dyDescent="0.25">
      <c r="A459" s="56">
        <v>44463</v>
      </c>
      <c r="B459" s="55">
        <v>128</v>
      </c>
    </row>
    <row r="460" spans="1:2" x14ac:dyDescent="0.25">
      <c r="A460" s="56">
        <v>44462</v>
      </c>
      <c r="B460" s="55">
        <v>127</v>
      </c>
    </row>
    <row r="461" spans="1:2" x14ac:dyDescent="0.25">
      <c r="A461" s="56">
        <v>44461</v>
      </c>
      <c r="B461" s="55">
        <v>130</v>
      </c>
    </row>
    <row r="462" spans="1:2" x14ac:dyDescent="0.25">
      <c r="A462" s="56">
        <v>44460</v>
      </c>
      <c r="B462" s="55">
        <v>125</v>
      </c>
    </row>
    <row r="463" spans="1:2" x14ac:dyDescent="0.25">
      <c r="A463" s="56">
        <v>44459</v>
      </c>
      <c r="B463" s="55">
        <v>123</v>
      </c>
    </row>
    <row r="464" spans="1:2" x14ac:dyDescent="0.25">
      <c r="A464" s="56">
        <v>44456</v>
      </c>
      <c r="B464" s="55">
        <v>122</v>
      </c>
    </row>
    <row r="465" spans="1:2" x14ac:dyDescent="0.25">
      <c r="A465" s="56">
        <v>44455</v>
      </c>
      <c r="B465" s="55">
        <v>120</v>
      </c>
    </row>
    <row r="466" spans="1:2" x14ac:dyDescent="0.25">
      <c r="A466" s="56">
        <v>44454</v>
      </c>
      <c r="B466" s="55">
        <v>120</v>
      </c>
    </row>
    <row r="467" spans="1:2" x14ac:dyDescent="0.25">
      <c r="A467" s="56">
        <v>44453</v>
      </c>
      <c r="B467" s="55">
        <v>122</v>
      </c>
    </row>
    <row r="468" spans="1:2" x14ac:dyDescent="0.25">
      <c r="A468" s="56">
        <v>44452</v>
      </c>
      <c r="B468" s="55">
        <v>122</v>
      </c>
    </row>
    <row r="469" spans="1:2" x14ac:dyDescent="0.25">
      <c r="A469" s="56">
        <v>44449</v>
      </c>
      <c r="B469" s="55">
        <v>119</v>
      </c>
    </row>
    <row r="470" spans="1:2" x14ac:dyDescent="0.25">
      <c r="A470" s="56">
        <v>44448</v>
      </c>
      <c r="B470" s="55">
        <v>118</v>
      </c>
    </row>
    <row r="471" spans="1:2" x14ac:dyDescent="0.25">
      <c r="A471" s="56">
        <v>44447</v>
      </c>
      <c r="B471" s="55">
        <v>115</v>
      </c>
    </row>
    <row r="472" spans="1:2" x14ac:dyDescent="0.25">
      <c r="A472" s="56">
        <v>44446</v>
      </c>
      <c r="B472" s="55">
        <v>113</v>
      </c>
    </row>
    <row r="473" spans="1:2" x14ac:dyDescent="0.25">
      <c r="A473" s="56">
        <v>44445</v>
      </c>
      <c r="B473" s="55">
        <v>113</v>
      </c>
    </row>
    <row r="474" spans="1:2" x14ac:dyDescent="0.25">
      <c r="A474" s="56">
        <v>44442</v>
      </c>
      <c r="B474" s="55">
        <v>110</v>
      </c>
    </row>
    <row r="475" spans="1:2" x14ac:dyDescent="0.25">
      <c r="A475" s="56">
        <v>44441</v>
      </c>
      <c r="B475" s="55">
        <v>112</v>
      </c>
    </row>
    <row r="476" spans="1:2" x14ac:dyDescent="0.25">
      <c r="A476" s="56">
        <v>44440</v>
      </c>
      <c r="B476" s="55">
        <v>112</v>
      </c>
    </row>
    <row r="477" spans="1:2" x14ac:dyDescent="0.25">
      <c r="A477" s="56">
        <v>44439</v>
      </c>
      <c r="B477" s="55">
        <v>109</v>
      </c>
    </row>
    <row r="478" spans="1:2" x14ac:dyDescent="0.25">
      <c r="A478" s="56">
        <v>44438</v>
      </c>
      <c r="B478" s="55">
        <v>109</v>
      </c>
    </row>
    <row r="479" spans="1:2" x14ac:dyDescent="0.25">
      <c r="A479" s="56">
        <v>44435</v>
      </c>
      <c r="B479" s="55">
        <v>111</v>
      </c>
    </row>
    <row r="480" spans="1:2" x14ac:dyDescent="0.25">
      <c r="A480" s="56">
        <v>44434</v>
      </c>
      <c r="B480" s="55">
        <v>110</v>
      </c>
    </row>
    <row r="481" spans="1:2" x14ac:dyDescent="0.25">
      <c r="A481" s="56">
        <v>44433</v>
      </c>
      <c r="B481" s="55">
        <v>110</v>
      </c>
    </row>
    <row r="482" spans="1:2" x14ac:dyDescent="0.25">
      <c r="A482" s="56">
        <v>44432</v>
      </c>
      <c r="B482" s="55">
        <v>104</v>
      </c>
    </row>
    <row r="483" spans="1:2" x14ac:dyDescent="0.25">
      <c r="A483" s="56">
        <v>44431</v>
      </c>
      <c r="B483" s="55">
        <v>107</v>
      </c>
    </row>
    <row r="484" spans="1:2" x14ac:dyDescent="0.25">
      <c r="A484" s="56">
        <v>44428</v>
      </c>
      <c r="B484" s="55">
        <v>104</v>
      </c>
    </row>
    <row r="485" spans="1:2" x14ac:dyDescent="0.25">
      <c r="A485" s="56">
        <v>44427</v>
      </c>
      <c r="B485" s="55">
        <v>104</v>
      </c>
    </row>
    <row r="486" spans="1:2" x14ac:dyDescent="0.25">
      <c r="A486" s="56">
        <v>44426</v>
      </c>
      <c r="B486" s="55">
        <v>103</v>
      </c>
    </row>
    <row r="487" spans="1:2" x14ac:dyDescent="0.25">
      <c r="A487" s="56">
        <v>44425</v>
      </c>
      <c r="B487" s="55">
        <v>101</v>
      </c>
    </row>
    <row r="488" spans="1:2" x14ac:dyDescent="0.25">
      <c r="A488" s="56">
        <v>44424</v>
      </c>
      <c r="B488" s="55">
        <v>101</v>
      </c>
    </row>
    <row r="489" spans="1:2" x14ac:dyDescent="0.25">
      <c r="A489" s="56">
        <v>44421</v>
      </c>
      <c r="B489" s="55">
        <v>100</v>
      </c>
    </row>
    <row r="490" spans="1:2" x14ac:dyDescent="0.25">
      <c r="A490" s="56">
        <v>44420</v>
      </c>
      <c r="B490" s="55">
        <v>101</v>
      </c>
    </row>
    <row r="491" spans="1:2" x14ac:dyDescent="0.25">
      <c r="A491" s="56">
        <v>44419</v>
      </c>
      <c r="B491" s="55">
        <v>103</v>
      </c>
    </row>
    <row r="492" spans="1:2" x14ac:dyDescent="0.25">
      <c r="A492" s="56">
        <v>44418</v>
      </c>
      <c r="B492" s="55">
        <v>103</v>
      </c>
    </row>
    <row r="493" spans="1:2" x14ac:dyDescent="0.25">
      <c r="A493" s="56">
        <v>44417</v>
      </c>
      <c r="B493" s="55">
        <v>99</v>
      </c>
    </row>
    <row r="494" spans="1:2" x14ac:dyDescent="0.25">
      <c r="A494" s="56">
        <v>44414</v>
      </c>
      <c r="B494" s="55">
        <v>98</v>
      </c>
    </row>
    <row r="495" spans="1:2" x14ac:dyDescent="0.25">
      <c r="A495" s="56">
        <v>44413</v>
      </c>
      <c r="B495" s="55">
        <v>100</v>
      </c>
    </row>
    <row r="496" spans="1:2" x14ac:dyDescent="0.25">
      <c r="A496" s="56">
        <v>44412</v>
      </c>
      <c r="B496" s="55">
        <v>99</v>
      </c>
    </row>
    <row r="497" spans="1:2" x14ac:dyDescent="0.25">
      <c r="A497" s="56">
        <v>44411</v>
      </c>
      <c r="B497" s="55">
        <v>98</v>
      </c>
    </row>
    <row r="498" spans="1:2" x14ac:dyDescent="0.25">
      <c r="A498" s="56">
        <v>44410</v>
      </c>
      <c r="B498" s="55">
        <v>97</v>
      </c>
    </row>
    <row r="499" spans="1:2" x14ac:dyDescent="0.25">
      <c r="A499" s="56">
        <v>44407</v>
      </c>
      <c r="B499" s="55">
        <v>96</v>
      </c>
    </row>
    <row r="500" spans="1:2" x14ac:dyDescent="0.25">
      <c r="A500" s="56">
        <v>44406</v>
      </c>
      <c r="B500" s="55">
        <v>100</v>
      </c>
    </row>
    <row r="501" spans="1:2" x14ac:dyDescent="0.25">
      <c r="A501" s="56">
        <v>44405</v>
      </c>
      <c r="B501" s="55">
        <v>99</v>
      </c>
    </row>
    <row r="502" spans="1:2" x14ac:dyDescent="0.25">
      <c r="A502" s="56">
        <v>44404</v>
      </c>
      <c r="B502" s="55">
        <v>100</v>
      </c>
    </row>
    <row r="503" spans="1:2" x14ac:dyDescent="0.25">
      <c r="A503" s="56">
        <v>44403</v>
      </c>
      <c r="B503" s="55">
        <v>97</v>
      </c>
    </row>
    <row r="504" spans="1:2" x14ac:dyDescent="0.25">
      <c r="A504" s="56">
        <v>44400</v>
      </c>
      <c r="B504" s="55">
        <v>101</v>
      </c>
    </row>
    <row r="505" spans="1:2" x14ac:dyDescent="0.25">
      <c r="A505" s="56">
        <v>44399</v>
      </c>
      <c r="B505" s="55">
        <v>102</v>
      </c>
    </row>
    <row r="506" spans="1:2" x14ac:dyDescent="0.25">
      <c r="A506" s="56">
        <v>44398</v>
      </c>
      <c r="B506" s="55">
        <v>103</v>
      </c>
    </row>
    <row r="507" spans="1:2" x14ac:dyDescent="0.25">
      <c r="A507" s="56">
        <v>44397</v>
      </c>
      <c r="B507" s="55">
        <v>103</v>
      </c>
    </row>
    <row r="508" spans="1:2" x14ac:dyDescent="0.25">
      <c r="A508" s="56">
        <v>44396</v>
      </c>
      <c r="B508" s="55">
        <v>103</v>
      </c>
    </row>
    <row r="509" spans="1:2" x14ac:dyDescent="0.25">
      <c r="A509" s="56">
        <v>44393</v>
      </c>
      <c r="B509" s="55">
        <v>100</v>
      </c>
    </row>
    <row r="510" spans="1:2" x14ac:dyDescent="0.25">
      <c r="A510" s="56">
        <v>44392</v>
      </c>
      <c r="B510" s="55">
        <v>107</v>
      </c>
    </row>
    <row r="511" spans="1:2" x14ac:dyDescent="0.25">
      <c r="A511" s="56">
        <v>44391</v>
      </c>
      <c r="B511" s="55">
        <v>105</v>
      </c>
    </row>
    <row r="512" spans="1:2" x14ac:dyDescent="0.25">
      <c r="A512" s="56">
        <v>44390</v>
      </c>
      <c r="B512" s="55">
        <v>107</v>
      </c>
    </row>
    <row r="513" spans="1:2" x14ac:dyDescent="0.25">
      <c r="A513" s="56">
        <v>44389</v>
      </c>
      <c r="B513" s="55">
        <v>107</v>
      </c>
    </row>
    <row r="514" spans="1:2" x14ac:dyDescent="0.25">
      <c r="A514" s="56">
        <v>44386</v>
      </c>
      <c r="B514" s="55">
        <v>105</v>
      </c>
    </row>
    <row r="515" spans="1:2" x14ac:dyDescent="0.25">
      <c r="A515" s="56">
        <v>44385</v>
      </c>
      <c r="B515" s="55">
        <v>104</v>
      </c>
    </row>
    <row r="516" spans="1:2" x14ac:dyDescent="0.25">
      <c r="A516" s="56">
        <v>44384</v>
      </c>
      <c r="B516" s="55">
        <v>107</v>
      </c>
    </row>
    <row r="517" spans="1:2" x14ac:dyDescent="0.25">
      <c r="A517" s="56">
        <v>44383</v>
      </c>
      <c r="B517" s="55">
        <v>103</v>
      </c>
    </row>
    <row r="518" spans="1:2" x14ac:dyDescent="0.25">
      <c r="A518" s="56">
        <v>44382</v>
      </c>
      <c r="B518" s="55">
        <v>106</v>
      </c>
    </row>
    <row r="519" spans="1:2" x14ac:dyDescent="0.25">
      <c r="A519" s="56">
        <v>44379</v>
      </c>
      <c r="B519" s="55">
        <v>105</v>
      </c>
    </row>
    <row r="520" spans="1:2" x14ac:dyDescent="0.25">
      <c r="A520" s="56">
        <v>44378</v>
      </c>
      <c r="B520" s="55">
        <v>106</v>
      </c>
    </row>
    <row r="521" spans="1:2" x14ac:dyDescent="0.25">
      <c r="A521" s="56">
        <v>44377</v>
      </c>
      <c r="B521" s="55">
        <v>108</v>
      </c>
    </row>
    <row r="522" spans="1:2" x14ac:dyDescent="0.25">
      <c r="A522" s="56">
        <v>44376</v>
      </c>
      <c r="B522" s="55">
        <v>105</v>
      </c>
    </row>
    <row r="523" spans="1:2" x14ac:dyDescent="0.25">
      <c r="A523" s="56">
        <v>44375</v>
      </c>
      <c r="B523" s="55">
        <v>105</v>
      </c>
    </row>
    <row r="524" spans="1:2" x14ac:dyDescent="0.25">
      <c r="A524" s="56">
        <v>44372</v>
      </c>
      <c r="B524" s="55">
        <v>107</v>
      </c>
    </row>
    <row r="525" spans="1:2" x14ac:dyDescent="0.25">
      <c r="A525" s="56">
        <v>44371</v>
      </c>
      <c r="B525" s="55">
        <v>107</v>
      </c>
    </row>
    <row r="526" spans="1:2" x14ac:dyDescent="0.25">
      <c r="A526" s="56">
        <v>44370</v>
      </c>
      <c r="B526" s="55">
        <v>109</v>
      </c>
    </row>
    <row r="527" spans="1:2" x14ac:dyDescent="0.25">
      <c r="A527" s="56">
        <v>44369</v>
      </c>
      <c r="B527" s="55">
        <v>108</v>
      </c>
    </row>
    <row r="528" spans="1:2" x14ac:dyDescent="0.25">
      <c r="A528" s="56">
        <v>44368</v>
      </c>
      <c r="B528" s="55">
        <v>108</v>
      </c>
    </row>
    <row r="529" spans="1:2" x14ac:dyDescent="0.25">
      <c r="A529" s="56">
        <v>44365</v>
      </c>
      <c r="B529" s="55">
        <v>110</v>
      </c>
    </row>
    <row r="530" spans="1:2" x14ac:dyDescent="0.25">
      <c r="A530" s="56">
        <v>44364</v>
      </c>
      <c r="B530" s="55">
        <v>110</v>
      </c>
    </row>
    <row r="531" spans="1:2" x14ac:dyDescent="0.25">
      <c r="A531" s="56">
        <v>44363</v>
      </c>
      <c r="B531" s="55">
        <v>108</v>
      </c>
    </row>
    <row r="532" spans="1:2" x14ac:dyDescent="0.25">
      <c r="A532" s="56">
        <v>44362</v>
      </c>
      <c r="B532" s="55">
        <v>106</v>
      </c>
    </row>
    <row r="533" spans="1:2" x14ac:dyDescent="0.25">
      <c r="A533" s="56">
        <v>44361</v>
      </c>
      <c r="B533" s="55">
        <v>106</v>
      </c>
    </row>
    <row r="534" spans="1:2" x14ac:dyDescent="0.25">
      <c r="A534" s="56">
        <v>44358</v>
      </c>
      <c r="B534" s="55">
        <v>103</v>
      </c>
    </row>
    <row r="535" spans="1:2" x14ac:dyDescent="0.25">
      <c r="A535" s="56">
        <v>44357</v>
      </c>
      <c r="B535" s="55">
        <v>107</v>
      </c>
    </row>
    <row r="536" spans="1:2" x14ac:dyDescent="0.25">
      <c r="A536" s="56">
        <v>44356</v>
      </c>
      <c r="B536" s="55">
        <v>109</v>
      </c>
    </row>
    <row r="537" spans="1:2" x14ac:dyDescent="0.25">
      <c r="A537" s="56">
        <v>44355</v>
      </c>
      <c r="B537" s="55">
        <v>105</v>
      </c>
    </row>
    <row r="538" spans="1:2" x14ac:dyDescent="0.25">
      <c r="A538" s="56">
        <v>44354</v>
      </c>
      <c r="B538" s="55">
        <v>105</v>
      </c>
    </row>
    <row r="539" spans="1:2" x14ac:dyDescent="0.25">
      <c r="A539" s="56">
        <v>44351</v>
      </c>
      <c r="B539" s="55">
        <v>105</v>
      </c>
    </row>
    <row r="540" spans="1:2" x14ac:dyDescent="0.25">
      <c r="A540" s="56">
        <v>44350</v>
      </c>
      <c r="B540" s="55">
        <v>105</v>
      </c>
    </row>
    <row r="541" spans="1:2" x14ac:dyDescent="0.25">
      <c r="A541" s="56">
        <v>44349</v>
      </c>
      <c r="B541" s="55">
        <v>108</v>
      </c>
    </row>
    <row r="542" spans="1:2" x14ac:dyDescent="0.25">
      <c r="A542" s="56">
        <v>44348</v>
      </c>
      <c r="B542" s="55">
        <v>105</v>
      </c>
    </row>
    <row r="543" spans="1:2" x14ac:dyDescent="0.25">
      <c r="A543" s="56">
        <v>44347</v>
      </c>
      <c r="B543" s="55">
        <v>105</v>
      </c>
    </row>
    <row r="544" spans="1:2" x14ac:dyDescent="0.25">
      <c r="A544" s="56">
        <v>44344</v>
      </c>
      <c r="B544" s="55">
        <v>110</v>
      </c>
    </row>
    <row r="545" spans="1:2" x14ac:dyDescent="0.25">
      <c r="A545" s="56">
        <v>44343</v>
      </c>
      <c r="B545" s="55">
        <v>110</v>
      </c>
    </row>
    <row r="546" spans="1:2" x14ac:dyDescent="0.25">
      <c r="A546" s="56">
        <v>44342</v>
      </c>
      <c r="B546" s="55">
        <v>118</v>
      </c>
    </row>
    <row r="547" spans="1:2" x14ac:dyDescent="0.25">
      <c r="A547" s="56">
        <v>44341</v>
      </c>
      <c r="B547" s="55">
        <v>118</v>
      </c>
    </row>
    <row r="548" spans="1:2" x14ac:dyDescent="0.25">
      <c r="A548" s="56">
        <v>44340</v>
      </c>
      <c r="B548" s="55">
        <v>115</v>
      </c>
    </row>
    <row r="549" spans="1:2" x14ac:dyDescent="0.25">
      <c r="A549" s="56">
        <v>44337</v>
      </c>
      <c r="B549" s="55">
        <v>116</v>
      </c>
    </row>
    <row r="550" spans="1:2" x14ac:dyDescent="0.25">
      <c r="A550" s="56">
        <v>44336</v>
      </c>
      <c r="B550" s="55">
        <v>120</v>
      </c>
    </row>
    <row r="551" spans="1:2" x14ac:dyDescent="0.25">
      <c r="A551" s="56">
        <v>44335</v>
      </c>
      <c r="B551" s="55">
        <v>120</v>
      </c>
    </row>
    <row r="552" spans="1:2" x14ac:dyDescent="0.25">
      <c r="A552" s="56">
        <v>44334</v>
      </c>
      <c r="B552" s="55">
        <v>120</v>
      </c>
    </row>
    <row r="553" spans="1:2" x14ac:dyDescent="0.25">
      <c r="A553" s="56">
        <v>44333</v>
      </c>
      <c r="B553" s="55">
        <v>120</v>
      </c>
    </row>
    <row r="554" spans="1:2" x14ac:dyDescent="0.25">
      <c r="A554" s="56">
        <v>44330</v>
      </c>
      <c r="B554" s="55">
        <v>120</v>
      </c>
    </row>
    <row r="555" spans="1:2" x14ac:dyDescent="0.25">
      <c r="A555" s="56">
        <v>44329</v>
      </c>
      <c r="B555" s="55">
        <v>120</v>
      </c>
    </row>
    <row r="556" spans="1:2" x14ac:dyDescent="0.25">
      <c r="A556" s="56">
        <v>44328</v>
      </c>
      <c r="B556" s="55">
        <v>120</v>
      </c>
    </row>
    <row r="557" spans="1:2" x14ac:dyDescent="0.25">
      <c r="A557" s="56">
        <v>44327</v>
      </c>
      <c r="B557" s="55">
        <v>120</v>
      </c>
    </row>
    <row r="558" spans="1:2" x14ac:dyDescent="0.25">
      <c r="A558" s="56">
        <v>44326</v>
      </c>
      <c r="B558" s="55">
        <v>125</v>
      </c>
    </row>
    <row r="559" spans="1:2" x14ac:dyDescent="0.25">
      <c r="A559" s="56">
        <v>44323</v>
      </c>
      <c r="B559" s="55">
        <v>115</v>
      </c>
    </row>
    <row r="560" spans="1:2" x14ac:dyDescent="0.25">
      <c r="A560" s="56">
        <v>44322</v>
      </c>
      <c r="B560" s="55">
        <v>120</v>
      </c>
    </row>
    <row r="561" spans="1:2" x14ac:dyDescent="0.25">
      <c r="A561" s="56">
        <v>44321</v>
      </c>
      <c r="B561" s="55">
        <v>125</v>
      </c>
    </row>
    <row r="562" spans="1:2" x14ac:dyDescent="0.25">
      <c r="A562" s="56">
        <v>44320</v>
      </c>
      <c r="B562" s="55">
        <v>120</v>
      </c>
    </row>
    <row r="563" spans="1:2" x14ac:dyDescent="0.25">
      <c r="A563" s="56">
        <v>44319</v>
      </c>
      <c r="B563" s="55">
        <v>115</v>
      </c>
    </row>
    <row r="564" spans="1:2" x14ac:dyDescent="0.25">
      <c r="A564" s="56">
        <v>44316</v>
      </c>
      <c r="B564" s="55">
        <v>120</v>
      </c>
    </row>
    <row r="565" spans="1:2" x14ac:dyDescent="0.25">
      <c r="A565" s="56">
        <v>44315</v>
      </c>
      <c r="B565" s="55">
        <v>120</v>
      </c>
    </row>
    <row r="566" spans="1:2" x14ac:dyDescent="0.25">
      <c r="A566" s="56">
        <v>44314</v>
      </c>
      <c r="B566" s="55">
        <v>120</v>
      </c>
    </row>
    <row r="567" spans="1:2" x14ac:dyDescent="0.25">
      <c r="A567" s="56">
        <v>44313</v>
      </c>
      <c r="B567" s="55">
        <v>114</v>
      </c>
    </row>
    <row r="568" spans="1:2" x14ac:dyDescent="0.25">
      <c r="A568" s="56">
        <v>44312</v>
      </c>
      <c r="B568" s="55">
        <v>117</v>
      </c>
    </row>
    <row r="569" spans="1:2" x14ac:dyDescent="0.25">
      <c r="A569" s="56">
        <v>44309</v>
      </c>
      <c r="B569" s="55">
        <v>115</v>
      </c>
    </row>
    <row r="570" spans="1:2" x14ac:dyDescent="0.25">
      <c r="A570" s="56">
        <v>44308</v>
      </c>
      <c r="B570" s="55">
        <v>112</v>
      </c>
    </row>
    <row r="571" spans="1:2" x14ac:dyDescent="0.25">
      <c r="A571" s="56">
        <v>44307</v>
      </c>
      <c r="B571" s="55">
        <v>115</v>
      </c>
    </row>
    <row r="572" spans="1:2" x14ac:dyDescent="0.25">
      <c r="A572" s="56">
        <v>44306</v>
      </c>
      <c r="B572" s="55">
        <v>115</v>
      </c>
    </row>
    <row r="573" spans="1:2" x14ac:dyDescent="0.25">
      <c r="A573" s="56">
        <v>44305</v>
      </c>
      <c r="B573" s="55">
        <v>115</v>
      </c>
    </row>
    <row r="574" spans="1:2" x14ac:dyDescent="0.25">
      <c r="A574" s="56">
        <v>44302</v>
      </c>
      <c r="B574" s="55">
        <v>110</v>
      </c>
    </row>
    <row r="575" spans="1:2" x14ac:dyDescent="0.25">
      <c r="A575" s="56">
        <v>44301</v>
      </c>
      <c r="B575" s="55">
        <v>115</v>
      </c>
    </row>
    <row r="576" spans="1:2" x14ac:dyDescent="0.25">
      <c r="A576" s="56">
        <v>44300</v>
      </c>
      <c r="B576" s="55">
        <v>120</v>
      </c>
    </row>
    <row r="577" spans="1:2" x14ac:dyDescent="0.25">
      <c r="A577" s="56">
        <v>44299</v>
      </c>
      <c r="B577" s="55">
        <v>120</v>
      </c>
    </row>
    <row r="578" spans="1:2" x14ac:dyDescent="0.25">
      <c r="A578" s="56">
        <v>44298</v>
      </c>
      <c r="B578" s="55">
        <v>114</v>
      </c>
    </row>
    <row r="579" spans="1:2" x14ac:dyDescent="0.25">
      <c r="A579" s="56">
        <v>44295</v>
      </c>
      <c r="B579" s="55">
        <v>106</v>
      </c>
    </row>
    <row r="580" spans="1:2" x14ac:dyDescent="0.25">
      <c r="A580" s="56">
        <v>44294</v>
      </c>
      <c r="B580" s="55">
        <v>102</v>
      </c>
    </row>
    <row r="581" spans="1:2" x14ac:dyDescent="0.25">
      <c r="A581" s="56">
        <v>44293</v>
      </c>
      <c r="B581" s="55">
        <v>99</v>
      </c>
    </row>
    <row r="582" spans="1:2" x14ac:dyDescent="0.25">
      <c r="A582" s="56">
        <v>44292</v>
      </c>
      <c r="B582" s="55">
        <v>95</v>
      </c>
    </row>
    <row r="583" spans="1:2" x14ac:dyDescent="0.25">
      <c r="A583" s="56">
        <v>44291</v>
      </c>
      <c r="B583" s="55">
        <v>98</v>
      </c>
    </row>
    <row r="584" spans="1:2" x14ac:dyDescent="0.25">
      <c r="A584" s="56">
        <v>44288</v>
      </c>
      <c r="B584" s="55">
        <v>96</v>
      </c>
    </row>
    <row r="585" spans="1:2" x14ac:dyDescent="0.25">
      <c r="A585" s="56">
        <v>44287</v>
      </c>
      <c r="B585" s="55">
        <v>96</v>
      </c>
    </row>
    <row r="586" spans="1:2" x14ac:dyDescent="0.25">
      <c r="A586" s="56">
        <v>44286</v>
      </c>
      <c r="B586" s="55">
        <v>95</v>
      </c>
    </row>
    <row r="587" spans="1:2" x14ac:dyDescent="0.25">
      <c r="A587" s="56">
        <v>44285</v>
      </c>
      <c r="B587" s="55">
        <v>96</v>
      </c>
    </row>
    <row r="588" spans="1:2" x14ac:dyDescent="0.25">
      <c r="A588" s="56">
        <v>44284</v>
      </c>
      <c r="B588" s="55">
        <v>97</v>
      </c>
    </row>
    <row r="589" spans="1:2" x14ac:dyDescent="0.25">
      <c r="A589" s="56">
        <v>44281</v>
      </c>
      <c r="B589" s="55">
        <v>95</v>
      </c>
    </row>
    <row r="590" spans="1:2" x14ac:dyDescent="0.25">
      <c r="A590" s="56">
        <v>44280</v>
      </c>
      <c r="B590" s="55">
        <v>97</v>
      </c>
    </row>
    <row r="591" spans="1:2" x14ac:dyDescent="0.25">
      <c r="A591" s="56">
        <v>44279</v>
      </c>
      <c r="B591" s="55">
        <v>97</v>
      </c>
    </row>
    <row r="592" spans="1:2" x14ac:dyDescent="0.25">
      <c r="A592" s="56">
        <v>44278</v>
      </c>
      <c r="B592" s="55">
        <v>97</v>
      </c>
    </row>
    <row r="593" spans="1:2" x14ac:dyDescent="0.25">
      <c r="A593" s="56">
        <v>44277</v>
      </c>
      <c r="B593" s="55">
        <v>97</v>
      </c>
    </row>
    <row r="594" spans="1:2" x14ac:dyDescent="0.25">
      <c r="A594" s="56">
        <v>44274</v>
      </c>
      <c r="B594" s="55">
        <v>97</v>
      </c>
    </row>
    <row r="595" spans="1:2" x14ac:dyDescent="0.25">
      <c r="A595" s="56">
        <v>44273</v>
      </c>
      <c r="B595" s="55">
        <v>98</v>
      </c>
    </row>
    <row r="596" spans="1:2" x14ac:dyDescent="0.25">
      <c r="A596" s="56">
        <v>44272</v>
      </c>
      <c r="B596" s="55">
        <v>100</v>
      </c>
    </row>
    <row r="597" spans="1:2" x14ac:dyDescent="0.25">
      <c r="A597" s="56">
        <v>44271</v>
      </c>
      <c r="B597" s="55">
        <v>94</v>
      </c>
    </row>
    <row r="598" spans="1:2" x14ac:dyDescent="0.25">
      <c r="A598" s="56">
        <v>44270</v>
      </c>
      <c r="B598" s="55">
        <v>99</v>
      </c>
    </row>
    <row r="599" spans="1:2" x14ac:dyDescent="0.25">
      <c r="A599" s="56">
        <v>44267</v>
      </c>
      <c r="B599" s="55">
        <v>100</v>
      </c>
    </row>
    <row r="600" spans="1:2" x14ac:dyDescent="0.25">
      <c r="A600" s="56">
        <v>44266</v>
      </c>
      <c r="B600" s="55">
        <v>95</v>
      </c>
    </row>
    <row r="601" spans="1:2" x14ac:dyDescent="0.25">
      <c r="A601" s="56">
        <v>44265</v>
      </c>
      <c r="B601" s="55">
        <v>95</v>
      </c>
    </row>
    <row r="602" spans="1:2" x14ac:dyDescent="0.25">
      <c r="A602" s="56">
        <v>44264</v>
      </c>
      <c r="B602" s="55">
        <v>100</v>
      </c>
    </row>
    <row r="603" spans="1:2" x14ac:dyDescent="0.25">
      <c r="A603" s="56">
        <v>44263</v>
      </c>
      <c r="B603" s="55">
        <v>99</v>
      </c>
    </row>
    <row r="604" spans="1:2" x14ac:dyDescent="0.25">
      <c r="A604" s="56">
        <v>44260</v>
      </c>
      <c r="B604" s="55">
        <v>101</v>
      </c>
    </row>
    <row r="605" spans="1:2" x14ac:dyDescent="0.25">
      <c r="A605" s="56">
        <v>44259</v>
      </c>
      <c r="B605" s="55">
        <v>102</v>
      </c>
    </row>
    <row r="606" spans="1:2" x14ac:dyDescent="0.25">
      <c r="A606" s="56">
        <v>44258</v>
      </c>
      <c r="B606" s="55">
        <v>105</v>
      </c>
    </row>
    <row r="607" spans="1:2" x14ac:dyDescent="0.25">
      <c r="A607" s="56">
        <v>44257</v>
      </c>
      <c r="B607" s="55">
        <v>108</v>
      </c>
    </row>
    <row r="608" spans="1:2" x14ac:dyDescent="0.25">
      <c r="A608" s="56">
        <v>44256</v>
      </c>
      <c r="B608" s="55">
        <v>107</v>
      </c>
    </row>
    <row r="609" spans="1:2" x14ac:dyDescent="0.25">
      <c r="A609" s="56">
        <v>44253</v>
      </c>
      <c r="B609" s="55">
        <v>112</v>
      </c>
    </row>
    <row r="610" spans="1:2" x14ac:dyDescent="0.25">
      <c r="A610" s="56">
        <v>44252</v>
      </c>
      <c r="B610" s="55">
        <v>108</v>
      </c>
    </row>
    <row r="611" spans="1:2" x14ac:dyDescent="0.25">
      <c r="A611" s="56">
        <v>44251</v>
      </c>
      <c r="B611" s="55">
        <v>107</v>
      </c>
    </row>
    <row r="612" spans="1:2" x14ac:dyDescent="0.25">
      <c r="A612" s="56">
        <v>44250</v>
      </c>
      <c r="B612" s="55">
        <v>110</v>
      </c>
    </row>
    <row r="613" spans="1:2" x14ac:dyDescent="0.25">
      <c r="A613" s="56">
        <v>44249</v>
      </c>
      <c r="B613" s="55">
        <v>105</v>
      </c>
    </row>
    <row r="614" spans="1:2" x14ac:dyDescent="0.25">
      <c r="A614" s="56">
        <v>44246</v>
      </c>
      <c r="B614" s="55">
        <v>103</v>
      </c>
    </row>
    <row r="615" spans="1:2" x14ac:dyDescent="0.25">
      <c r="A615" s="56">
        <v>44245</v>
      </c>
      <c r="B615" s="55">
        <v>103</v>
      </c>
    </row>
    <row r="616" spans="1:2" x14ac:dyDescent="0.25">
      <c r="A616" s="56">
        <v>44244</v>
      </c>
      <c r="B616" s="55">
        <v>109</v>
      </c>
    </row>
    <row r="617" spans="1:2" x14ac:dyDescent="0.25">
      <c r="A617" s="56">
        <v>44243</v>
      </c>
      <c r="B617" s="55">
        <v>110</v>
      </c>
    </row>
    <row r="618" spans="1:2" x14ac:dyDescent="0.25">
      <c r="A618" s="56">
        <v>44242</v>
      </c>
      <c r="B618" s="55">
        <v>108</v>
      </c>
    </row>
    <row r="619" spans="1:2" x14ac:dyDescent="0.25">
      <c r="A619" s="56">
        <v>44239</v>
      </c>
      <c r="B619" s="55">
        <v>110</v>
      </c>
    </row>
    <row r="620" spans="1:2" x14ac:dyDescent="0.25">
      <c r="A620" s="56">
        <v>44238</v>
      </c>
      <c r="B620" s="55">
        <v>110</v>
      </c>
    </row>
    <row r="621" spans="1:2" x14ac:dyDescent="0.25">
      <c r="A621" s="56">
        <v>44237</v>
      </c>
      <c r="B621" s="55">
        <v>111</v>
      </c>
    </row>
    <row r="622" spans="1:2" x14ac:dyDescent="0.25">
      <c r="A622" s="56">
        <v>44236</v>
      </c>
      <c r="B622" s="55">
        <v>112</v>
      </c>
    </row>
    <row r="623" spans="1:2" x14ac:dyDescent="0.25">
      <c r="A623" s="56">
        <v>44235</v>
      </c>
      <c r="B623" s="55">
        <v>108</v>
      </c>
    </row>
    <row r="624" spans="1:2" x14ac:dyDescent="0.25">
      <c r="A624" s="56">
        <v>44232</v>
      </c>
      <c r="B624" s="55">
        <v>112</v>
      </c>
    </row>
    <row r="625" spans="1:2" x14ac:dyDescent="0.25">
      <c r="A625" s="56">
        <v>44231</v>
      </c>
      <c r="B625" s="55">
        <v>113</v>
      </c>
    </row>
    <row r="626" spans="1:2" x14ac:dyDescent="0.25">
      <c r="A626" s="56">
        <v>44230</v>
      </c>
      <c r="B626" s="55">
        <v>114</v>
      </c>
    </row>
    <row r="627" spans="1:2" x14ac:dyDescent="0.25">
      <c r="A627" s="56">
        <v>44229</v>
      </c>
      <c r="B627" s="55">
        <v>111</v>
      </c>
    </row>
    <row r="628" spans="1:2" x14ac:dyDescent="0.25">
      <c r="A628" s="56">
        <v>44228</v>
      </c>
      <c r="B628" s="55">
        <v>112</v>
      </c>
    </row>
    <row r="629" spans="1:2" x14ac:dyDescent="0.25">
      <c r="A629" s="56">
        <v>44225</v>
      </c>
      <c r="B629" s="55">
        <v>114</v>
      </c>
    </row>
    <row r="630" spans="1:2" x14ac:dyDescent="0.25">
      <c r="A630" s="56">
        <v>44224</v>
      </c>
      <c r="B630" s="55">
        <v>115</v>
      </c>
    </row>
    <row r="631" spans="1:2" x14ac:dyDescent="0.25">
      <c r="A631" s="56">
        <v>44223</v>
      </c>
      <c r="B631" s="55">
        <v>113</v>
      </c>
    </row>
    <row r="632" spans="1:2" x14ac:dyDescent="0.25">
      <c r="A632" s="56">
        <v>44222</v>
      </c>
      <c r="B632" s="55">
        <v>114</v>
      </c>
    </row>
    <row r="633" spans="1:2" x14ac:dyDescent="0.25">
      <c r="A633" s="56">
        <v>44221</v>
      </c>
      <c r="B633" s="55">
        <v>112</v>
      </c>
    </row>
    <row r="634" spans="1:2" x14ac:dyDescent="0.25">
      <c r="A634" s="56">
        <v>44218</v>
      </c>
      <c r="B634" s="55">
        <v>112</v>
      </c>
    </row>
    <row r="635" spans="1:2" x14ac:dyDescent="0.25">
      <c r="A635" s="56">
        <v>44217</v>
      </c>
      <c r="B635" s="55">
        <v>113</v>
      </c>
    </row>
    <row r="636" spans="1:2" x14ac:dyDescent="0.25">
      <c r="A636" s="56">
        <v>44216</v>
      </c>
      <c r="B636" s="55">
        <v>110</v>
      </c>
    </row>
    <row r="637" spans="1:2" x14ac:dyDescent="0.25">
      <c r="A637" s="56">
        <v>44215</v>
      </c>
      <c r="B637" s="55">
        <v>110</v>
      </c>
    </row>
    <row r="638" spans="1:2" x14ac:dyDescent="0.25">
      <c r="A638" s="56">
        <v>44214</v>
      </c>
      <c r="B638" s="55">
        <v>110</v>
      </c>
    </row>
    <row r="639" spans="1:2" x14ac:dyDescent="0.25">
      <c r="A639" s="56">
        <v>44211</v>
      </c>
      <c r="B639" s="55">
        <v>113</v>
      </c>
    </row>
    <row r="640" spans="1:2" x14ac:dyDescent="0.25">
      <c r="A640" s="56">
        <v>44210</v>
      </c>
      <c r="B640" s="55">
        <v>112</v>
      </c>
    </row>
    <row r="641" spans="1:2" x14ac:dyDescent="0.25">
      <c r="A641" s="56">
        <v>44209</v>
      </c>
      <c r="B641" s="55">
        <v>114</v>
      </c>
    </row>
    <row r="642" spans="1:2" x14ac:dyDescent="0.25">
      <c r="A642" s="56">
        <v>44208</v>
      </c>
      <c r="B642" s="55">
        <v>115</v>
      </c>
    </row>
    <row r="643" spans="1:2" x14ac:dyDescent="0.25">
      <c r="A643" s="56">
        <v>44207</v>
      </c>
      <c r="B643" s="55">
        <v>113</v>
      </c>
    </row>
    <row r="644" spans="1:2" x14ac:dyDescent="0.25">
      <c r="A644" s="56">
        <v>44204</v>
      </c>
      <c r="B644" s="55">
        <v>113</v>
      </c>
    </row>
    <row r="645" spans="1:2" x14ac:dyDescent="0.25">
      <c r="A645" s="56">
        <v>44203</v>
      </c>
      <c r="B645" s="55">
        <v>110</v>
      </c>
    </row>
    <row r="646" spans="1:2" x14ac:dyDescent="0.25">
      <c r="A646" s="56">
        <v>44202</v>
      </c>
      <c r="B646" s="55">
        <v>112</v>
      </c>
    </row>
    <row r="647" spans="1:2" x14ac:dyDescent="0.25">
      <c r="A647" s="56">
        <v>44201</v>
      </c>
      <c r="B647" s="55">
        <v>111</v>
      </c>
    </row>
    <row r="648" spans="1:2" x14ac:dyDescent="0.25">
      <c r="A648" s="56">
        <v>44200</v>
      </c>
      <c r="B648" s="55">
        <v>110</v>
      </c>
    </row>
    <row r="649" spans="1:2" x14ac:dyDescent="0.25">
      <c r="A649" s="56">
        <v>43831</v>
      </c>
      <c r="B649" s="55">
        <v>115</v>
      </c>
    </row>
    <row r="650" spans="1:2" x14ac:dyDescent="0.25">
      <c r="A650" s="56">
        <v>44196</v>
      </c>
      <c r="B650" s="55">
        <v>115</v>
      </c>
    </row>
    <row r="651" spans="1:2" x14ac:dyDescent="0.25">
      <c r="A651" s="56">
        <v>44195</v>
      </c>
      <c r="B651" s="55">
        <v>115</v>
      </c>
    </row>
    <row r="652" spans="1:2" x14ac:dyDescent="0.25">
      <c r="A652" s="56">
        <v>44194</v>
      </c>
      <c r="B652" s="55">
        <v>127</v>
      </c>
    </row>
    <row r="653" spans="1:2" x14ac:dyDescent="0.25">
      <c r="A653" s="56">
        <v>44193</v>
      </c>
      <c r="B653" s="55">
        <v>127</v>
      </c>
    </row>
    <row r="654" spans="1:2" x14ac:dyDescent="0.25">
      <c r="A654" s="56">
        <v>44190</v>
      </c>
      <c r="B654" s="55">
        <v>127</v>
      </c>
    </row>
    <row r="655" spans="1:2" x14ac:dyDescent="0.25">
      <c r="A655" s="56">
        <v>44189</v>
      </c>
      <c r="B655" s="55">
        <v>127</v>
      </c>
    </row>
    <row r="656" spans="1:2" x14ac:dyDescent="0.25">
      <c r="A656" s="56">
        <v>44188</v>
      </c>
      <c r="B656" s="55">
        <v>127</v>
      </c>
    </row>
    <row r="657" spans="1:2" x14ac:dyDescent="0.25">
      <c r="A657" s="56">
        <v>44187</v>
      </c>
      <c r="B657" s="55">
        <v>130</v>
      </c>
    </row>
    <row r="658" spans="1:2" x14ac:dyDescent="0.25">
      <c r="A658" s="56">
        <v>44186</v>
      </c>
      <c r="B658" s="55">
        <v>127</v>
      </c>
    </row>
    <row r="659" spans="1:2" x14ac:dyDescent="0.25">
      <c r="A659" s="56">
        <v>44183</v>
      </c>
      <c r="B659" s="55">
        <v>126</v>
      </c>
    </row>
    <row r="660" spans="1:2" x14ac:dyDescent="0.25">
      <c r="A660" s="56">
        <v>44182</v>
      </c>
      <c r="B660" s="55">
        <v>129</v>
      </c>
    </row>
    <row r="661" spans="1:2" x14ac:dyDescent="0.25">
      <c r="A661" s="56">
        <v>44181</v>
      </c>
      <c r="B661" s="55">
        <v>127</v>
      </c>
    </row>
    <row r="662" spans="1:2" x14ac:dyDescent="0.25">
      <c r="A662" s="56">
        <v>44180</v>
      </c>
      <c r="B662" s="55">
        <v>127</v>
      </c>
    </row>
    <row r="663" spans="1:2" x14ac:dyDescent="0.25">
      <c r="A663" s="56">
        <v>44179</v>
      </c>
      <c r="B663" s="55">
        <v>127</v>
      </c>
    </row>
    <row r="664" spans="1:2" x14ac:dyDescent="0.25">
      <c r="A664" s="56">
        <v>44176</v>
      </c>
      <c r="B664" s="55">
        <v>128</v>
      </c>
    </row>
    <row r="665" spans="1:2" x14ac:dyDescent="0.25">
      <c r="A665" s="56">
        <v>44175</v>
      </c>
      <c r="B665" s="55">
        <v>127</v>
      </c>
    </row>
    <row r="666" spans="1:2" x14ac:dyDescent="0.25">
      <c r="A666" s="56">
        <v>44174</v>
      </c>
      <c r="B666" s="55">
        <v>130</v>
      </c>
    </row>
    <row r="667" spans="1:2" x14ac:dyDescent="0.25">
      <c r="A667" s="56">
        <v>44173</v>
      </c>
      <c r="B667" s="55">
        <v>130</v>
      </c>
    </row>
    <row r="668" spans="1:2" x14ac:dyDescent="0.25">
      <c r="A668" s="56">
        <v>44172</v>
      </c>
      <c r="B668" s="55">
        <v>112</v>
      </c>
    </row>
    <row r="669" spans="1:2" x14ac:dyDescent="0.25">
      <c r="A669" s="56">
        <v>44169</v>
      </c>
      <c r="B669" s="55">
        <v>122</v>
      </c>
    </row>
    <row r="670" spans="1:2" x14ac:dyDescent="0.25">
      <c r="A670" s="56">
        <v>44168</v>
      </c>
      <c r="B670" s="55">
        <v>120</v>
      </c>
    </row>
    <row r="671" spans="1:2" x14ac:dyDescent="0.25">
      <c r="A671" s="56">
        <v>44167</v>
      </c>
      <c r="B671" s="55">
        <v>120</v>
      </c>
    </row>
    <row r="672" spans="1:2" x14ac:dyDescent="0.25">
      <c r="A672" s="56">
        <v>44166</v>
      </c>
      <c r="B672" s="55">
        <v>119</v>
      </c>
    </row>
    <row r="673" spans="1:2" x14ac:dyDescent="0.25">
      <c r="A673" s="56">
        <v>44165</v>
      </c>
      <c r="B673" s="55">
        <v>118</v>
      </c>
    </row>
    <row r="674" spans="1:2" x14ac:dyDescent="0.25">
      <c r="A674" s="56">
        <v>44162</v>
      </c>
      <c r="B674" s="55">
        <v>118</v>
      </c>
    </row>
    <row r="675" spans="1:2" x14ac:dyDescent="0.25">
      <c r="A675" s="56">
        <v>44161</v>
      </c>
      <c r="B675" s="55">
        <v>110</v>
      </c>
    </row>
    <row r="676" spans="1:2" x14ac:dyDescent="0.25">
      <c r="A676" s="56">
        <v>44160</v>
      </c>
      <c r="B676" s="55">
        <v>115</v>
      </c>
    </row>
    <row r="677" spans="1:2" x14ac:dyDescent="0.25">
      <c r="A677" s="56">
        <v>44159</v>
      </c>
      <c r="B677" s="55">
        <v>115</v>
      </c>
    </row>
    <row r="678" spans="1:2" x14ac:dyDescent="0.25">
      <c r="A678" s="56">
        <v>44158</v>
      </c>
      <c r="B678" s="55">
        <v>115</v>
      </c>
    </row>
    <row r="679" spans="1:2" x14ac:dyDescent="0.25">
      <c r="A679" s="56">
        <v>44155</v>
      </c>
      <c r="B679" s="55">
        <v>120</v>
      </c>
    </row>
    <row r="680" spans="1:2" x14ac:dyDescent="0.25">
      <c r="A680" s="56">
        <v>44154</v>
      </c>
      <c r="B680" s="55">
        <v>120</v>
      </c>
    </row>
    <row r="681" spans="1:2" x14ac:dyDescent="0.25">
      <c r="A681" s="56">
        <v>44153</v>
      </c>
      <c r="B681" s="55">
        <v>122</v>
      </c>
    </row>
    <row r="682" spans="1:2" x14ac:dyDescent="0.25">
      <c r="A682" s="56">
        <v>44152</v>
      </c>
      <c r="B682" s="55">
        <v>117</v>
      </c>
    </row>
    <row r="683" spans="1:2" x14ac:dyDescent="0.25">
      <c r="A683" s="56">
        <v>44151</v>
      </c>
      <c r="B683" s="55">
        <v>118</v>
      </c>
    </row>
    <row r="684" spans="1:2" x14ac:dyDescent="0.25">
      <c r="A684" s="56">
        <v>44148</v>
      </c>
      <c r="B684" s="55">
        <v>117</v>
      </c>
    </row>
    <row r="685" spans="1:2" x14ac:dyDescent="0.25">
      <c r="A685" s="56">
        <v>44147</v>
      </c>
      <c r="B685" s="55">
        <v>118</v>
      </c>
    </row>
    <row r="686" spans="1:2" x14ac:dyDescent="0.25">
      <c r="A686" s="56">
        <v>44146</v>
      </c>
      <c r="B686" s="55">
        <v>115</v>
      </c>
    </row>
    <row r="687" spans="1:2" x14ac:dyDescent="0.25">
      <c r="A687" s="56">
        <v>44145</v>
      </c>
      <c r="B687" s="55">
        <v>122</v>
      </c>
    </row>
    <row r="688" spans="1:2" x14ac:dyDescent="0.25">
      <c r="A688" s="56">
        <v>44144</v>
      </c>
      <c r="B688" s="55">
        <v>123</v>
      </c>
    </row>
    <row r="689" spans="1:2" x14ac:dyDescent="0.25">
      <c r="A689" s="56">
        <v>44141</v>
      </c>
      <c r="B689" s="55">
        <v>118</v>
      </c>
    </row>
    <row r="690" spans="1:2" x14ac:dyDescent="0.25">
      <c r="A690" s="56">
        <v>44140</v>
      </c>
      <c r="B690" s="55">
        <v>123</v>
      </c>
    </row>
    <row r="691" spans="1:2" x14ac:dyDescent="0.25">
      <c r="A691" s="56">
        <v>44139</v>
      </c>
      <c r="B691" s="55">
        <v>128</v>
      </c>
    </row>
    <row r="692" spans="1:2" x14ac:dyDescent="0.25">
      <c r="A692" s="56">
        <v>44138</v>
      </c>
      <c r="B692" s="55">
        <v>124</v>
      </c>
    </row>
    <row r="693" spans="1:2" x14ac:dyDescent="0.25">
      <c r="A693" s="56">
        <v>44137</v>
      </c>
      <c r="B693" s="55">
        <v>122</v>
      </c>
    </row>
    <row r="694" spans="1:2" x14ac:dyDescent="0.25">
      <c r="A694" s="56">
        <v>44134</v>
      </c>
      <c r="B694" s="55">
        <v>122</v>
      </c>
    </row>
    <row r="695" spans="1:2" x14ac:dyDescent="0.25">
      <c r="A695" s="56">
        <v>44133</v>
      </c>
      <c r="B695" s="55">
        <v>122</v>
      </c>
    </row>
    <row r="696" spans="1:2" x14ac:dyDescent="0.25">
      <c r="A696" s="56">
        <v>44132</v>
      </c>
      <c r="B696" s="55">
        <v>122</v>
      </c>
    </row>
    <row r="697" spans="1:2" x14ac:dyDescent="0.25">
      <c r="A697" s="56">
        <v>44131</v>
      </c>
      <c r="B697" s="55">
        <v>122</v>
      </c>
    </row>
    <row r="698" spans="1:2" x14ac:dyDescent="0.25">
      <c r="A698" s="56">
        <v>44130</v>
      </c>
      <c r="B698" s="55">
        <v>124</v>
      </c>
    </row>
    <row r="699" spans="1:2" x14ac:dyDescent="0.25">
      <c r="A699" s="56">
        <v>44127</v>
      </c>
      <c r="B699" s="55">
        <v>124</v>
      </c>
    </row>
    <row r="700" spans="1:2" x14ac:dyDescent="0.25">
      <c r="A700" s="56">
        <v>44126</v>
      </c>
      <c r="B700" s="55">
        <v>123</v>
      </c>
    </row>
    <row r="701" spans="1:2" x14ac:dyDescent="0.25">
      <c r="A701" s="56">
        <v>44125</v>
      </c>
      <c r="B701" s="55">
        <v>124</v>
      </c>
    </row>
    <row r="702" spans="1:2" x14ac:dyDescent="0.25">
      <c r="A702" s="56">
        <v>44124</v>
      </c>
      <c r="B702" s="55">
        <v>122</v>
      </c>
    </row>
    <row r="703" spans="1:2" x14ac:dyDescent="0.25">
      <c r="A703" s="56">
        <v>44123</v>
      </c>
      <c r="B703" s="55">
        <v>122</v>
      </c>
    </row>
    <row r="704" spans="1:2" x14ac:dyDescent="0.25">
      <c r="A704" s="56">
        <v>44120</v>
      </c>
      <c r="B704" s="55">
        <v>122</v>
      </c>
    </row>
    <row r="705" spans="1:2" x14ac:dyDescent="0.25">
      <c r="A705" s="56">
        <v>44119</v>
      </c>
      <c r="B705" s="55">
        <v>121</v>
      </c>
    </row>
    <row r="706" spans="1:2" x14ac:dyDescent="0.25">
      <c r="A706" s="56">
        <v>44118</v>
      </c>
      <c r="B706" s="55">
        <v>126</v>
      </c>
    </row>
    <row r="707" spans="1:2" x14ac:dyDescent="0.25">
      <c r="A707" s="56">
        <v>44117</v>
      </c>
      <c r="B707" s="55">
        <v>122</v>
      </c>
    </row>
    <row r="708" spans="1:2" x14ac:dyDescent="0.25">
      <c r="A708" s="56">
        <v>44116</v>
      </c>
      <c r="B708" s="55">
        <v>120</v>
      </c>
    </row>
    <row r="709" spans="1:2" x14ac:dyDescent="0.25">
      <c r="A709" s="56">
        <v>44113</v>
      </c>
      <c r="B709" s="55">
        <v>120</v>
      </c>
    </row>
    <row r="710" spans="1:2" x14ac:dyDescent="0.25">
      <c r="A710" s="56">
        <v>44112</v>
      </c>
      <c r="B710" s="55">
        <v>122</v>
      </c>
    </row>
    <row r="711" spans="1:2" x14ac:dyDescent="0.25">
      <c r="A711" s="56">
        <v>44111</v>
      </c>
      <c r="B711" s="55">
        <v>125</v>
      </c>
    </row>
    <row r="712" spans="1:2" x14ac:dyDescent="0.25">
      <c r="A712" s="56">
        <v>44110</v>
      </c>
      <c r="B712" s="55">
        <v>124</v>
      </c>
    </row>
    <row r="713" spans="1:2" x14ac:dyDescent="0.25">
      <c r="A713" s="56">
        <v>44109</v>
      </c>
      <c r="B713" s="55">
        <v>125</v>
      </c>
    </row>
    <row r="714" spans="1:2" x14ac:dyDescent="0.25">
      <c r="A714" s="56">
        <v>44106</v>
      </c>
      <c r="B714" s="55">
        <v>126</v>
      </c>
    </row>
    <row r="715" spans="1:2" x14ac:dyDescent="0.25">
      <c r="A715" s="56">
        <v>44105</v>
      </c>
      <c r="B715" s="55">
        <v>126</v>
      </c>
    </row>
    <row r="716" spans="1:2" x14ac:dyDescent="0.25">
      <c r="A716" s="56">
        <v>44104</v>
      </c>
      <c r="B716" s="55">
        <v>128</v>
      </c>
    </row>
    <row r="717" spans="1:2" x14ac:dyDescent="0.25">
      <c r="A717" s="56">
        <v>44103</v>
      </c>
      <c r="B717" s="55">
        <v>128</v>
      </c>
    </row>
    <row r="718" spans="1:2" x14ac:dyDescent="0.25">
      <c r="A718" s="56">
        <v>44102</v>
      </c>
      <c r="B718" s="55">
        <v>117</v>
      </c>
    </row>
    <row r="719" spans="1:2" x14ac:dyDescent="0.25">
      <c r="A719" s="56">
        <v>44099</v>
      </c>
      <c r="B719" s="55">
        <v>117.5</v>
      </c>
    </row>
    <row r="720" spans="1:2" x14ac:dyDescent="0.25">
      <c r="A720" s="56">
        <v>44098</v>
      </c>
      <c r="B720" s="55">
        <v>117</v>
      </c>
    </row>
    <row r="721" spans="1:2" x14ac:dyDescent="0.25">
      <c r="A721" s="56">
        <v>44097</v>
      </c>
      <c r="B721" s="55">
        <v>120</v>
      </c>
    </row>
    <row r="722" spans="1:2" x14ac:dyDescent="0.25">
      <c r="A722" s="56">
        <v>44096</v>
      </c>
      <c r="B722" s="55">
        <v>120</v>
      </c>
    </row>
    <row r="723" spans="1:2" x14ac:dyDescent="0.25">
      <c r="A723" s="56">
        <v>44095</v>
      </c>
      <c r="B723" s="55">
        <v>119</v>
      </c>
    </row>
    <row r="724" spans="1:2" x14ac:dyDescent="0.25">
      <c r="A724" s="56">
        <v>44092</v>
      </c>
      <c r="B724" s="55">
        <v>121</v>
      </c>
    </row>
    <row r="725" spans="1:2" x14ac:dyDescent="0.25">
      <c r="A725" s="56">
        <v>44091</v>
      </c>
      <c r="B725" s="55">
        <v>119</v>
      </c>
    </row>
    <row r="726" spans="1:2" x14ac:dyDescent="0.25">
      <c r="A726" s="56">
        <v>44090</v>
      </c>
      <c r="B726" s="55">
        <v>122</v>
      </c>
    </row>
    <row r="727" spans="1:2" x14ac:dyDescent="0.25">
      <c r="A727" s="56">
        <v>44089</v>
      </c>
      <c r="B727" s="55">
        <v>124</v>
      </c>
    </row>
    <row r="728" spans="1:2" x14ac:dyDescent="0.25">
      <c r="A728" s="56">
        <v>44088</v>
      </c>
      <c r="B728" s="55">
        <v>121</v>
      </c>
    </row>
    <row r="729" spans="1:2" x14ac:dyDescent="0.25">
      <c r="A729" s="56">
        <v>44085</v>
      </c>
      <c r="B729" s="55">
        <v>122</v>
      </c>
    </row>
    <row r="730" spans="1:2" x14ac:dyDescent="0.25">
      <c r="A730" s="56">
        <v>44084</v>
      </c>
      <c r="B730" s="55">
        <v>124</v>
      </c>
    </row>
    <row r="731" spans="1:2" x14ac:dyDescent="0.25">
      <c r="A731" s="56">
        <v>44083</v>
      </c>
      <c r="B731" s="55">
        <v>120</v>
      </c>
    </row>
    <row r="732" spans="1:2" x14ac:dyDescent="0.25">
      <c r="A732" s="56">
        <v>44082</v>
      </c>
      <c r="B732" s="55">
        <v>125</v>
      </c>
    </row>
    <row r="733" spans="1:2" x14ac:dyDescent="0.25">
      <c r="A733" s="56">
        <v>44081</v>
      </c>
      <c r="B733" s="55">
        <v>124</v>
      </c>
    </row>
    <row r="734" spans="1:2" x14ac:dyDescent="0.25">
      <c r="A734" s="56">
        <v>44078</v>
      </c>
      <c r="B734" s="55">
        <v>124</v>
      </c>
    </row>
    <row r="735" spans="1:2" x14ac:dyDescent="0.25">
      <c r="A735" s="56">
        <v>44077</v>
      </c>
      <c r="B735" s="55">
        <v>125</v>
      </c>
    </row>
    <row r="736" spans="1:2" x14ac:dyDescent="0.25">
      <c r="A736" s="56">
        <v>44076</v>
      </c>
      <c r="B736" s="55">
        <v>123</v>
      </c>
    </row>
    <row r="737" spans="1:2" x14ac:dyDescent="0.25">
      <c r="A737" s="56">
        <v>44075</v>
      </c>
      <c r="B737" s="55">
        <v>126</v>
      </c>
    </row>
    <row r="738" spans="1:2" x14ac:dyDescent="0.25">
      <c r="A738" s="56">
        <v>44074</v>
      </c>
      <c r="B738" s="55">
        <v>126</v>
      </c>
    </row>
    <row r="739" spans="1:2" x14ac:dyDescent="0.25">
      <c r="A739" s="56">
        <v>44071</v>
      </c>
      <c r="B739" s="55">
        <v>125</v>
      </c>
    </row>
    <row r="740" spans="1:2" x14ac:dyDescent="0.25">
      <c r="A740" s="56">
        <v>44070</v>
      </c>
      <c r="B740" s="55">
        <v>125</v>
      </c>
    </row>
    <row r="741" spans="1:2" x14ac:dyDescent="0.25">
      <c r="A741" s="56">
        <v>44069</v>
      </c>
      <c r="B741" s="55">
        <v>127</v>
      </c>
    </row>
    <row r="742" spans="1:2" x14ac:dyDescent="0.25">
      <c r="A742" s="56">
        <v>44068</v>
      </c>
      <c r="B742" s="55">
        <v>124</v>
      </c>
    </row>
    <row r="743" spans="1:2" x14ac:dyDescent="0.25">
      <c r="A743" s="56">
        <v>44067</v>
      </c>
      <c r="B743" s="55">
        <v>120</v>
      </c>
    </row>
    <row r="744" spans="1:2" x14ac:dyDescent="0.25">
      <c r="A744" s="56">
        <v>44064</v>
      </c>
      <c r="B744" s="55">
        <v>120</v>
      </c>
    </row>
    <row r="745" spans="1:2" x14ac:dyDescent="0.25">
      <c r="A745" s="56">
        <v>44063</v>
      </c>
      <c r="B745" s="55">
        <v>120</v>
      </c>
    </row>
    <row r="746" spans="1:2" x14ac:dyDescent="0.25">
      <c r="A746" s="56">
        <v>44062</v>
      </c>
      <c r="B746" s="55">
        <v>120</v>
      </c>
    </row>
    <row r="747" spans="1:2" x14ac:dyDescent="0.25">
      <c r="A747" s="56">
        <v>44061</v>
      </c>
      <c r="B747" s="55">
        <v>120</v>
      </c>
    </row>
    <row r="748" spans="1:2" x14ac:dyDescent="0.25">
      <c r="A748" s="56">
        <v>44060</v>
      </c>
      <c r="B748" s="55">
        <v>120</v>
      </c>
    </row>
    <row r="749" spans="1:2" x14ac:dyDescent="0.25">
      <c r="A749" s="56">
        <v>44057</v>
      </c>
      <c r="B749" s="55">
        <v>120</v>
      </c>
    </row>
    <row r="750" spans="1:2" x14ac:dyDescent="0.25">
      <c r="A750" s="56">
        <v>44056</v>
      </c>
      <c r="B750" s="55">
        <v>121</v>
      </c>
    </row>
    <row r="751" spans="1:2" x14ac:dyDescent="0.25">
      <c r="A751" s="56">
        <v>44055</v>
      </c>
      <c r="B751" s="55">
        <v>125</v>
      </c>
    </row>
    <row r="752" spans="1:2" x14ac:dyDescent="0.25">
      <c r="A752" s="56">
        <v>44054</v>
      </c>
      <c r="B752" s="55">
        <v>121</v>
      </c>
    </row>
    <row r="753" spans="1:2" x14ac:dyDescent="0.25">
      <c r="A753" s="56">
        <v>44053</v>
      </c>
      <c r="B753" s="55">
        <v>125</v>
      </c>
    </row>
    <row r="754" spans="1:2" x14ac:dyDescent="0.25">
      <c r="A754" s="56">
        <v>44050</v>
      </c>
      <c r="B754" s="55">
        <v>125</v>
      </c>
    </row>
    <row r="755" spans="1:2" x14ac:dyDescent="0.25">
      <c r="A755" s="56">
        <v>44049</v>
      </c>
      <c r="B755" s="55">
        <v>128</v>
      </c>
    </row>
    <row r="756" spans="1:2" x14ac:dyDescent="0.25">
      <c r="A756" s="56">
        <v>44048</v>
      </c>
      <c r="B756" s="55">
        <v>132</v>
      </c>
    </row>
    <row r="757" spans="1:2" x14ac:dyDescent="0.25">
      <c r="A757" s="56">
        <v>44047</v>
      </c>
      <c r="B757" s="55">
        <v>130</v>
      </c>
    </row>
    <row r="758" spans="1:2" x14ac:dyDescent="0.25">
      <c r="A758" s="56">
        <v>44046</v>
      </c>
      <c r="B758" s="55">
        <v>128</v>
      </c>
    </row>
    <row r="759" spans="1:2" x14ac:dyDescent="0.25">
      <c r="A759" s="56">
        <v>44043</v>
      </c>
      <c r="B759" s="55">
        <v>130</v>
      </c>
    </row>
    <row r="760" spans="1:2" x14ac:dyDescent="0.25">
      <c r="A760" s="56">
        <v>44042</v>
      </c>
      <c r="B760" s="55">
        <v>130</v>
      </c>
    </row>
    <row r="761" spans="1:2" x14ac:dyDescent="0.25">
      <c r="A761" s="56">
        <v>44041</v>
      </c>
      <c r="B761" s="55">
        <v>128</v>
      </c>
    </row>
    <row r="762" spans="1:2" x14ac:dyDescent="0.25">
      <c r="A762" s="56">
        <v>44040</v>
      </c>
      <c r="B762" s="55">
        <v>131</v>
      </c>
    </row>
    <row r="763" spans="1:2" x14ac:dyDescent="0.25">
      <c r="A763" s="56">
        <v>44039</v>
      </c>
      <c r="B763" s="55">
        <v>131</v>
      </c>
    </row>
    <row r="764" spans="1:2" x14ac:dyDescent="0.25">
      <c r="A764" s="56">
        <v>44036</v>
      </c>
      <c r="B764" s="55">
        <v>132</v>
      </c>
    </row>
    <row r="765" spans="1:2" x14ac:dyDescent="0.25">
      <c r="A765" s="56">
        <v>44035</v>
      </c>
      <c r="B765" s="55">
        <v>131</v>
      </c>
    </row>
    <row r="766" spans="1:2" x14ac:dyDescent="0.25">
      <c r="A766" s="56">
        <v>44034</v>
      </c>
      <c r="B766" s="55">
        <v>135</v>
      </c>
    </row>
    <row r="767" spans="1:2" x14ac:dyDescent="0.25">
      <c r="A767" s="56">
        <v>44033</v>
      </c>
      <c r="B767" s="55">
        <v>135</v>
      </c>
    </row>
    <row r="768" spans="1:2" x14ac:dyDescent="0.25">
      <c r="A768" s="56">
        <v>44032</v>
      </c>
      <c r="B768" s="55">
        <v>135</v>
      </c>
    </row>
    <row r="769" spans="1:2" x14ac:dyDescent="0.25">
      <c r="A769" s="56">
        <v>44029</v>
      </c>
      <c r="B769" s="55">
        <v>140</v>
      </c>
    </row>
    <row r="770" spans="1:2" x14ac:dyDescent="0.25">
      <c r="A770" s="56">
        <v>44028</v>
      </c>
      <c r="B770" s="55">
        <v>138</v>
      </c>
    </row>
    <row r="771" spans="1:2" x14ac:dyDescent="0.25">
      <c r="A771" s="56">
        <v>44027</v>
      </c>
      <c r="B771" s="55">
        <v>145</v>
      </c>
    </row>
    <row r="772" spans="1:2" x14ac:dyDescent="0.25">
      <c r="A772" s="56">
        <v>44026</v>
      </c>
      <c r="B772" s="55">
        <v>142</v>
      </c>
    </row>
    <row r="773" spans="1:2" x14ac:dyDescent="0.25">
      <c r="A773" s="56">
        <v>44025</v>
      </c>
      <c r="B773" s="55">
        <v>141</v>
      </c>
    </row>
    <row r="774" spans="1:2" x14ac:dyDescent="0.25">
      <c r="A774" s="56">
        <v>44022</v>
      </c>
      <c r="B774" s="55">
        <v>140</v>
      </c>
    </row>
    <row r="775" spans="1:2" x14ac:dyDescent="0.25">
      <c r="A775" s="56">
        <v>44021</v>
      </c>
      <c r="B775" s="55">
        <v>143</v>
      </c>
    </row>
    <row r="776" spans="1:2" x14ac:dyDescent="0.25">
      <c r="A776" s="56">
        <v>44020</v>
      </c>
      <c r="B776" s="55">
        <v>147</v>
      </c>
    </row>
    <row r="777" spans="1:2" x14ac:dyDescent="0.25">
      <c r="A777" s="56">
        <v>44019</v>
      </c>
      <c r="B777" s="55">
        <v>141</v>
      </c>
    </row>
    <row r="778" spans="1:2" x14ac:dyDescent="0.25">
      <c r="A778" s="56">
        <v>44018</v>
      </c>
      <c r="B778" s="55">
        <v>145</v>
      </c>
    </row>
    <row r="779" spans="1:2" x14ac:dyDescent="0.25">
      <c r="A779" s="56">
        <v>44015</v>
      </c>
      <c r="B779" s="55">
        <v>146</v>
      </c>
    </row>
    <row r="780" spans="1:2" x14ac:dyDescent="0.25">
      <c r="A780" s="56">
        <v>44014</v>
      </c>
      <c r="B780" s="55">
        <v>142</v>
      </c>
    </row>
    <row r="781" spans="1:2" x14ac:dyDescent="0.25">
      <c r="A781" s="56">
        <v>44013</v>
      </c>
      <c r="B781" s="55">
        <v>146</v>
      </c>
    </row>
    <row r="782" spans="1:2" x14ac:dyDescent="0.25">
      <c r="A782" s="56">
        <v>44012</v>
      </c>
      <c r="B782" s="55">
        <v>143</v>
      </c>
    </row>
    <row r="783" spans="1:2" x14ac:dyDescent="0.25">
      <c r="A783" s="56">
        <v>44011</v>
      </c>
      <c r="B783" s="55">
        <v>140</v>
      </c>
    </row>
    <row r="784" spans="1:2" x14ac:dyDescent="0.25">
      <c r="A784" s="56">
        <v>44008</v>
      </c>
      <c r="B784" s="55">
        <v>140</v>
      </c>
    </row>
    <row r="785" spans="1:2" x14ac:dyDescent="0.25">
      <c r="A785" s="56">
        <v>44007</v>
      </c>
      <c r="B785" s="55">
        <v>145</v>
      </c>
    </row>
    <row r="786" spans="1:2" x14ac:dyDescent="0.25">
      <c r="A786" s="56">
        <v>44006</v>
      </c>
      <c r="B786" s="55">
        <v>149</v>
      </c>
    </row>
    <row r="787" spans="1:2" x14ac:dyDescent="0.25">
      <c r="A787" s="56">
        <v>44005</v>
      </c>
      <c r="B787" s="55">
        <v>145</v>
      </c>
    </row>
    <row r="788" spans="1:2" x14ac:dyDescent="0.25">
      <c r="A788" s="56">
        <v>44004</v>
      </c>
      <c r="B788" s="55">
        <v>146</v>
      </c>
    </row>
    <row r="789" spans="1:2" x14ac:dyDescent="0.25">
      <c r="A789" s="56">
        <v>44001</v>
      </c>
      <c r="B789" s="55">
        <v>148</v>
      </c>
    </row>
    <row r="790" spans="1:2" x14ac:dyDescent="0.25">
      <c r="A790" s="56">
        <v>44000</v>
      </c>
      <c r="B790" s="55">
        <v>147</v>
      </c>
    </row>
    <row r="791" spans="1:2" x14ac:dyDescent="0.25">
      <c r="A791" s="56">
        <v>43999</v>
      </c>
      <c r="B791" s="55">
        <v>152</v>
      </c>
    </row>
    <row r="792" spans="1:2" x14ac:dyDescent="0.25">
      <c r="A792" s="56">
        <v>43998</v>
      </c>
      <c r="B792" s="55">
        <v>148</v>
      </c>
    </row>
    <row r="793" spans="1:2" x14ac:dyDescent="0.25">
      <c r="A793" s="56">
        <v>43997</v>
      </c>
      <c r="B793" s="55">
        <v>150</v>
      </c>
    </row>
    <row r="794" spans="1:2" x14ac:dyDescent="0.25">
      <c r="A794" s="56">
        <v>43994</v>
      </c>
      <c r="B794" s="55">
        <v>150</v>
      </c>
    </row>
    <row r="795" spans="1:2" x14ac:dyDescent="0.25">
      <c r="A795" s="56">
        <v>43993</v>
      </c>
      <c r="B795" s="55">
        <v>150</v>
      </c>
    </row>
    <row r="796" spans="1:2" x14ac:dyDescent="0.25">
      <c r="A796" s="56">
        <v>43992</v>
      </c>
      <c r="B796" s="55">
        <v>155</v>
      </c>
    </row>
    <row r="797" spans="1:2" x14ac:dyDescent="0.25">
      <c r="A797" s="56">
        <v>43991</v>
      </c>
      <c r="B797" s="55">
        <v>155</v>
      </c>
    </row>
    <row r="798" spans="1:2" x14ac:dyDescent="0.25">
      <c r="A798" s="56">
        <v>43990</v>
      </c>
      <c r="B798" s="55">
        <v>155</v>
      </c>
    </row>
    <row r="799" spans="1:2" x14ac:dyDescent="0.25">
      <c r="A799" s="56">
        <v>43987</v>
      </c>
      <c r="B799" s="55">
        <v>160</v>
      </c>
    </row>
    <row r="800" spans="1:2" x14ac:dyDescent="0.25">
      <c r="A800" s="56">
        <v>43986</v>
      </c>
      <c r="B800" s="55">
        <v>160</v>
      </c>
    </row>
    <row r="801" spans="1:2" x14ac:dyDescent="0.25">
      <c r="A801" s="56">
        <v>43985</v>
      </c>
      <c r="B801" s="55">
        <v>165</v>
      </c>
    </row>
    <row r="802" spans="1:2" x14ac:dyDescent="0.25">
      <c r="A802" s="56">
        <v>43984</v>
      </c>
      <c r="B802" s="55">
        <v>165</v>
      </c>
    </row>
    <row r="803" spans="1:2" x14ac:dyDescent="0.25">
      <c r="A803" s="56">
        <v>43983</v>
      </c>
      <c r="B803" s="55">
        <v>165</v>
      </c>
    </row>
    <row r="804" spans="1:2" x14ac:dyDescent="0.25">
      <c r="A804" s="56">
        <v>43980</v>
      </c>
      <c r="B804" s="55">
        <v>165</v>
      </c>
    </row>
    <row r="805" spans="1:2" x14ac:dyDescent="0.25">
      <c r="A805" s="56">
        <v>43979</v>
      </c>
      <c r="B805" s="55">
        <v>170</v>
      </c>
    </row>
    <row r="806" spans="1:2" x14ac:dyDescent="0.25">
      <c r="A806" s="56">
        <v>43978</v>
      </c>
      <c r="B806" s="55">
        <v>170</v>
      </c>
    </row>
    <row r="807" spans="1:2" x14ac:dyDescent="0.25">
      <c r="A807" s="56">
        <v>43977</v>
      </c>
      <c r="B807" s="55">
        <v>165</v>
      </c>
    </row>
    <row r="808" spans="1:2" x14ac:dyDescent="0.25">
      <c r="A808" s="56">
        <v>43976</v>
      </c>
      <c r="B808" s="55">
        <v>170</v>
      </c>
    </row>
    <row r="809" spans="1:2" x14ac:dyDescent="0.25">
      <c r="A809" s="56">
        <v>43973</v>
      </c>
      <c r="B809" s="55">
        <v>170</v>
      </c>
    </row>
    <row r="810" spans="1:2" x14ac:dyDescent="0.25">
      <c r="A810" s="56">
        <v>43972</v>
      </c>
      <c r="B810" s="55">
        <v>170</v>
      </c>
    </row>
    <row r="811" spans="1:2" x14ac:dyDescent="0.25">
      <c r="A811" s="56">
        <v>43971</v>
      </c>
      <c r="B811" s="55">
        <v>170</v>
      </c>
    </row>
    <row r="812" spans="1:2" x14ac:dyDescent="0.25">
      <c r="A812" s="56">
        <v>43970</v>
      </c>
      <c r="B812" s="55">
        <v>170</v>
      </c>
    </row>
    <row r="813" spans="1:2" x14ac:dyDescent="0.25">
      <c r="A813" s="56">
        <v>43969</v>
      </c>
      <c r="B813" s="55">
        <v>182</v>
      </c>
    </row>
    <row r="814" spans="1:2" x14ac:dyDescent="0.25">
      <c r="A814" s="56">
        <v>43966</v>
      </c>
      <c r="B814" s="55">
        <v>170</v>
      </c>
    </row>
    <row r="815" spans="1:2" x14ac:dyDescent="0.25">
      <c r="A815" s="56">
        <v>43965</v>
      </c>
      <c r="B815" s="55">
        <v>170</v>
      </c>
    </row>
    <row r="816" spans="1:2" x14ac:dyDescent="0.25">
      <c r="A816" s="56">
        <v>43964</v>
      </c>
      <c r="B816" s="55">
        <v>175</v>
      </c>
    </row>
    <row r="817" spans="1:2" x14ac:dyDescent="0.25">
      <c r="A817" s="56">
        <v>43963</v>
      </c>
      <c r="B817" s="55">
        <v>175</v>
      </c>
    </row>
    <row r="818" spans="1:2" x14ac:dyDescent="0.25">
      <c r="A818" s="56">
        <v>43962</v>
      </c>
      <c r="B818" s="55">
        <v>177</v>
      </c>
    </row>
    <row r="819" spans="1:2" x14ac:dyDescent="0.25">
      <c r="A819" s="56">
        <v>43959</v>
      </c>
      <c r="B819" s="55">
        <v>175</v>
      </c>
    </row>
    <row r="820" spans="1:2" x14ac:dyDescent="0.25">
      <c r="A820" s="56">
        <v>43958</v>
      </c>
      <c r="B820" s="55">
        <v>175</v>
      </c>
    </row>
    <row r="821" spans="1:2" x14ac:dyDescent="0.25">
      <c r="A821" s="56">
        <v>43957</v>
      </c>
      <c r="B821" s="55">
        <v>175</v>
      </c>
    </row>
    <row r="822" spans="1:2" x14ac:dyDescent="0.25">
      <c r="A822" s="56">
        <v>43956</v>
      </c>
      <c r="B822" s="55">
        <v>175</v>
      </c>
    </row>
    <row r="823" spans="1:2" x14ac:dyDescent="0.25">
      <c r="A823" s="56">
        <v>43955</v>
      </c>
      <c r="B823" s="55">
        <v>175</v>
      </c>
    </row>
    <row r="824" spans="1:2" x14ac:dyDescent="0.25">
      <c r="A824" s="56">
        <v>43952</v>
      </c>
      <c r="B824" s="55">
        <v>170</v>
      </c>
    </row>
    <row r="825" spans="1:2" x14ac:dyDescent="0.25">
      <c r="A825" s="56">
        <v>43951</v>
      </c>
      <c r="B825" s="55">
        <v>170</v>
      </c>
    </row>
    <row r="826" spans="1:2" x14ac:dyDescent="0.25">
      <c r="A826" s="56">
        <v>43950</v>
      </c>
      <c r="B826" s="55">
        <v>180</v>
      </c>
    </row>
    <row r="827" spans="1:2" x14ac:dyDescent="0.25">
      <c r="A827" s="56">
        <v>43949</v>
      </c>
      <c r="B827" s="55">
        <v>175</v>
      </c>
    </row>
    <row r="828" spans="1:2" x14ac:dyDescent="0.25">
      <c r="A828" s="56">
        <v>43948</v>
      </c>
      <c r="B828" s="55">
        <v>170</v>
      </c>
    </row>
    <row r="829" spans="1:2" x14ac:dyDescent="0.25">
      <c r="A829" s="56">
        <v>43945</v>
      </c>
      <c r="B829" s="55">
        <v>165</v>
      </c>
    </row>
    <row r="830" spans="1:2" x14ac:dyDescent="0.25">
      <c r="A830" s="56">
        <v>43944</v>
      </c>
      <c r="B830" s="55">
        <v>160</v>
      </c>
    </row>
    <row r="831" spans="1:2" x14ac:dyDescent="0.25">
      <c r="A831" s="56">
        <v>43943</v>
      </c>
      <c r="B831" s="55">
        <v>160</v>
      </c>
    </row>
    <row r="832" spans="1:2" x14ac:dyDescent="0.25">
      <c r="A832" s="56">
        <v>43942</v>
      </c>
      <c r="B832" s="55">
        <v>150</v>
      </c>
    </row>
    <row r="833" spans="1:2" x14ac:dyDescent="0.25">
      <c r="A833" s="56">
        <v>43941</v>
      </c>
      <c r="B833" s="55">
        <v>140</v>
      </c>
    </row>
    <row r="834" spans="1:2" x14ac:dyDescent="0.25">
      <c r="A834" s="56">
        <v>43938</v>
      </c>
      <c r="B834" s="55">
        <v>140</v>
      </c>
    </row>
    <row r="835" spans="1:2" x14ac:dyDescent="0.25">
      <c r="A835" s="56">
        <v>43937</v>
      </c>
      <c r="B835" s="55">
        <v>150</v>
      </c>
    </row>
    <row r="836" spans="1:2" x14ac:dyDescent="0.25">
      <c r="A836" s="56">
        <v>43936</v>
      </c>
      <c r="B836" s="55">
        <v>145</v>
      </c>
    </row>
    <row r="837" spans="1:2" x14ac:dyDescent="0.25">
      <c r="A837" s="56">
        <v>43935</v>
      </c>
      <c r="B837" s="55">
        <v>155</v>
      </c>
    </row>
    <row r="838" spans="1:2" x14ac:dyDescent="0.25">
      <c r="A838" s="56">
        <v>43934</v>
      </c>
      <c r="B838" s="55">
        <v>155</v>
      </c>
    </row>
    <row r="839" spans="1:2" x14ac:dyDescent="0.25">
      <c r="A839" s="56">
        <v>43931</v>
      </c>
      <c r="B839" s="55">
        <v>160</v>
      </c>
    </row>
    <row r="840" spans="1:2" x14ac:dyDescent="0.25">
      <c r="A840" s="56">
        <v>43930</v>
      </c>
      <c r="B840" s="55">
        <v>160</v>
      </c>
    </row>
    <row r="841" spans="1:2" x14ac:dyDescent="0.25">
      <c r="A841" s="56">
        <v>43929</v>
      </c>
      <c r="B841" s="55">
        <v>153</v>
      </c>
    </row>
    <row r="842" spans="1:2" x14ac:dyDescent="0.25">
      <c r="A842" s="56">
        <v>43928</v>
      </c>
      <c r="B842" s="55">
        <v>153</v>
      </c>
    </row>
    <row r="843" spans="1:2" x14ac:dyDescent="0.25">
      <c r="A843" s="56">
        <v>43927</v>
      </c>
      <c r="B843" s="55">
        <v>160</v>
      </c>
    </row>
    <row r="844" spans="1:2" x14ac:dyDescent="0.25">
      <c r="A844" s="56">
        <v>43924</v>
      </c>
      <c r="B844" s="55">
        <v>155</v>
      </c>
    </row>
    <row r="845" spans="1:2" x14ac:dyDescent="0.25">
      <c r="A845" s="56">
        <v>43923</v>
      </c>
      <c r="B845" s="55">
        <v>150</v>
      </c>
    </row>
    <row r="846" spans="1:2" x14ac:dyDescent="0.25">
      <c r="A846" s="56">
        <v>43922</v>
      </c>
      <c r="B846" s="55">
        <v>150</v>
      </c>
    </row>
    <row r="847" spans="1:2" x14ac:dyDescent="0.25">
      <c r="A847" s="56">
        <v>43921</v>
      </c>
      <c r="B847" s="55">
        <v>137</v>
      </c>
    </row>
    <row r="848" spans="1:2" x14ac:dyDescent="0.25">
      <c r="A848" s="56">
        <v>43920</v>
      </c>
      <c r="B848" s="55">
        <v>138</v>
      </c>
    </row>
    <row r="849" spans="1:2" x14ac:dyDescent="0.25">
      <c r="A849" s="56">
        <v>43917</v>
      </c>
      <c r="B849" s="55">
        <v>130</v>
      </c>
    </row>
    <row r="850" spans="1:2" x14ac:dyDescent="0.25">
      <c r="A850" s="56">
        <v>43916</v>
      </c>
      <c r="B850" s="55">
        <v>135</v>
      </c>
    </row>
    <row r="851" spans="1:2" x14ac:dyDescent="0.25">
      <c r="A851" s="56">
        <v>43915</v>
      </c>
      <c r="B851" s="55">
        <v>138</v>
      </c>
    </row>
    <row r="852" spans="1:2" x14ac:dyDescent="0.25">
      <c r="A852" s="56">
        <v>43914</v>
      </c>
      <c r="B852" s="55">
        <v>138</v>
      </c>
    </row>
    <row r="853" spans="1:2" x14ac:dyDescent="0.25">
      <c r="A853" s="56">
        <v>43913</v>
      </c>
      <c r="B853" s="55">
        <v>145</v>
      </c>
    </row>
    <row r="854" spans="1:2" x14ac:dyDescent="0.25">
      <c r="A854" s="56">
        <v>43910</v>
      </c>
      <c r="B854" s="55">
        <v>165</v>
      </c>
    </row>
    <row r="855" spans="1:2" x14ac:dyDescent="0.25">
      <c r="A855" s="56">
        <v>43909</v>
      </c>
      <c r="B855" s="55">
        <v>165</v>
      </c>
    </row>
    <row r="856" spans="1:2" x14ac:dyDescent="0.25">
      <c r="A856" s="56">
        <v>43908</v>
      </c>
      <c r="B856" s="55">
        <v>170</v>
      </c>
    </row>
    <row r="857" spans="1:2" x14ac:dyDescent="0.25">
      <c r="A857" s="56">
        <v>43907</v>
      </c>
      <c r="B857" s="55">
        <v>177</v>
      </c>
    </row>
    <row r="858" spans="1:2" x14ac:dyDescent="0.25">
      <c r="A858" s="56">
        <v>43906</v>
      </c>
      <c r="B858" s="55">
        <v>180</v>
      </c>
    </row>
    <row r="859" spans="1:2" x14ac:dyDescent="0.25">
      <c r="A859" s="56">
        <v>43903</v>
      </c>
      <c r="B859" s="55">
        <v>180</v>
      </c>
    </row>
    <row r="860" spans="1:2" x14ac:dyDescent="0.25">
      <c r="A860" s="56">
        <v>43902</v>
      </c>
      <c r="B860" s="55">
        <v>155</v>
      </c>
    </row>
    <row r="861" spans="1:2" x14ac:dyDescent="0.25">
      <c r="A861" s="56">
        <v>43901</v>
      </c>
      <c r="B861" s="55">
        <v>145</v>
      </c>
    </row>
    <row r="862" spans="1:2" x14ac:dyDescent="0.25">
      <c r="A862" s="56">
        <v>43900</v>
      </c>
      <c r="B862" s="55">
        <v>150</v>
      </c>
    </row>
    <row r="863" spans="1:2" x14ac:dyDescent="0.25">
      <c r="A863" s="56">
        <v>43899</v>
      </c>
      <c r="B863" s="55">
        <v>150</v>
      </c>
    </row>
    <row r="864" spans="1:2" x14ac:dyDescent="0.25">
      <c r="A864" s="56">
        <v>43896</v>
      </c>
      <c r="B864" s="55">
        <v>130</v>
      </c>
    </row>
    <row r="865" spans="1:2" x14ac:dyDescent="0.25">
      <c r="A865" s="56">
        <v>43895</v>
      </c>
      <c r="B865" s="55">
        <v>110</v>
      </c>
    </row>
    <row r="866" spans="1:2" x14ac:dyDescent="0.25">
      <c r="A866" s="56">
        <v>43894</v>
      </c>
      <c r="B866" s="55">
        <v>120</v>
      </c>
    </row>
    <row r="867" spans="1:2" x14ac:dyDescent="0.25">
      <c r="A867" s="56">
        <v>43893</v>
      </c>
      <c r="B867" s="55">
        <v>115</v>
      </c>
    </row>
    <row r="868" spans="1:2" x14ac:dyDescent="0.25">
      <c r="A868" s="56">
        <v>43892</v>
      </c>
      <c r="B868" s="55">
        <v>115</v>
      </c>
    </row>
    <row r="869" spans="1:2" x14ac:dyDescent="0.25">
      <c r="A869" s="56">
        <v>43889</v>
      </c>
      <c r="B869" s="55">
        <v>115</v>
      </c>
    </row>
    <row r="870" spans="1:2" x14ac:dyDescent="0.25">
      <c r="A870" s="56">
        <v>43888</v>
      </c>
      <c r="B870" s="55">
        <v>115</v>
      </c>
    </row>
    <row r="871" spans="1:2" x14ac:dyDescent="0.25">
      <c r="A871" s="56">
        <v>43887</v>
      </c>
      <c r="B871" s="55">
        <v>110</v>
      </c>
    </row>
    <row r="872" spans="1:2" x14ac:dyDescent="0.25">
      <c r="A872" s="56">
        <v>43886</v>
      </c>
      <c r="B872" s="55">
        <v>108</v>
      </c>
    </row>
    <row r="873" spans="1:2" x14ac:dyDescent="0.25">
      <c r="A873" s="56">
        <v>43885</v>
      </c>
      <c r="B873" s="55">
        <v>105</v>
      </c>
    </row>
    <row r="874" spans="1:2" x14ac:dyDescent="0.25">
      <c r="A874" s="56">
        <v>43882</v>
      </c>
      <c r="B874" s="55">
        <v>105</v>
      </c>
    </row>
    <row r="875" spans="1:2" x14ac:dyDescent="0.25">
      <c r="A875" s="56">
        <v>43881</v>
      </c>
      <c r="B875" s="55">
        <v>108</v>
      </c>
    </row>
    <row r="876" spans="1:2" x14ac:dyDescent="0.25">
      <c r="A876" s="56">
        <v>43880</v>
      </c>
      <c r="B876" s="55">
        <v>112</v>
      </c>
    </row>
    <row r="877" spans="1:2" x14ac:dyDescent="0.25">
      <c r="A877" s="56">
        <v>43879</v>
      </c>
      <c r="B877" s="55">
        <v>105</v>
      </c>
    </row>
    <row r="878" spans="1:2" x14ac:dyDescent="0.25">
      <c r="A878" s="56">
        <v>43878</v>
      </c>
      <c r="B878" s="55">
        <v>106</v>
      </c>
    </row>
    <row r="879" spans="1:2" x14ac:dyDescent="0.25">
      <c r="A879" s="56">
        <v>43875</v>
      </c>
      <c r="B879" s="55">
        <v>106</v>
      </c>
    </row>
    <row r="880" spans="1:2" x14ac:dyDescent="0.25">
      <c r="A880" s="56">
        <v>43874</v>
      </c>
      <c r="B880" s="55">
        <v>104</v>
      </c>
    </row>
    <row r="881" spans="1:2" x14ac:dyDescent="0.25">
      <c r="A881" s="56">
        <v>43873</v>
      </c>
      <c r="B881" s="55">
        <v>107</v>
      </c>
    </row>
    <row r="882" spans="1:2" x14ac:dyDescent="0.25">
      <c r="A882" s="56">
        <v>43872</v>
      </c>
      <c r="B882" s="55">
        <v>108</v>
      </c>
    </row>
    <row r="883" spans="1:2" x14ac:dyDescent="0.25">
      <c r="A883" s="56">
        <v>43871</v>
      </c>
      <c r="B883" s="55">
        <v>106</v>
      </c>
    </row>
    <row r="884" spans="1:2" x14ac:dyDescent="0.25">
      <c r="A884" s="56">
        <v>43868</v>
      </c>
      <c r="B884" s="55">
        <v>107</v>
      </c>
    </row>
    <row r="885" spans="1:2" x14ac:dyDescent="0.25">
      <c r="A885" s="56">
        <v>43867</v>
      </c>
      <c r="B885" s="55">
        <v>108</v>
      </c>
    </row>
    <row r="886" spans="1:2" x14ac:dyDescent="0.25">
      <c r="A886" s="56">
        <v>43866</v>
      </c>
      <c r="B886" s="55">
        <v>109</v>
      </c>
    </row>
    <row r="887" spans="1:2" x14ac:dyDescent="0.25">
      <c r="A887" s="56">
        <v>43865</v>
      </c>
      <c r="B887" s="55">
        <v>110</v>
      </c>
    </row>
    <row r="888" spans="1:2" x14ac:dyDescent="0.25">
      <c r="A888" s="56">
        <v>43864</v>
      </c>
      <c r="B888" s="55">
        <v>111</v>
      </c>
    </row>
    <row r="889" spans="1:2" x14ac:dyDescent="0.25">
      <c r="A889" s="56">
        <v>43861</v>
      </c>
      <c r="B889" s="55">
        <v>111</v>
      </c>
    </row>
    <row r="890" spans="1:2" x14ac:dyDescent="0.25">
      <c r="A890" s="56">
        <v>43860</v>
      </c>
      <c r="B890" s="55">
        <v>110</v>
      </c>
    </row>
    <row r="891" spans="1:2" x14ac:dyDescent="0.25">
      <c r="A891" s="56">
        <v>43859</v>
      </c>
      <c r="B891" s="55">
        <v>110</v>
      </c>
    </row>
    <row r="892" spans="1:2" x14ac:dyDescent="0.25">
      <c r="A892" s="56">
        <v>43858</v>
      </c>
      <c r="B892" s="55">
        <v>110</v>
      </c>
    </row>
    <row r="893" spans="1:2" x14ac:dyDescent="0.25">
      <c r="A893" s="56">
        <v>43857</v>
      </c>
      <c r="B893" s="55">
        <v>111</v>
      </c>
    </row>
    <row r="894" spans="1:2" x14ac:dyDescent="0.25">
      <c r="A894" s="56">
        <v>43854</v>
      </c>
      <c r="B894" s="55">
        <v>108</v>
      </c>
    </row>
    <row r="895" spans="1:2" x14ac:dyDescent="0.25">
      <c r="A895" s="56">
        <v>43853</v>
      </c>
      <c r="B895" s="55">
        <v>107</v>
      </c>
    </row>
    <row r="896" spans="1:2" x14ac:dyDescent="0.25">
      <c r="A896" s="56">
        <v>43852</v>
      </c>
      <c r="B896" s="55">
        <v>108</v>
      </c>
    </row>
    <row r="897" spans="1:2" x14ac:dyDescent="0.25">
      <c r="A897" s="56">
        <v>43851</v>
      </c>
      <c r="B897" s="55">
        <v>108</v>
      </c>
    </row>
    <row r="898" spans="1:2" x14ac:dyDescent="0.25">
      <c r="A898" s="56">
        <v>43850</v>
      </c>
      <c r="B898" s="55">
        <v>107</v>
      </c>
    </row>
    <row r="899" spans="1:2" x14ac:dyDescent="0.25">
      <c r="A899" s="56">
        <v>43847</v>
      </c>
      <c r="B899" s="55">
        <v>105</v>
      </c>
    </row>
    <row r="900" spans="1:2" x14ac:dyDescent="0.25">
      <c r="A900" s="56">
        <v>43846</v>
      </c>
      <c r="B900" s="55">
        <v>108</v>
      </c>
    </row>
    <row r="901" spans="1:2" x14ac:dyDescent="0.25">
      <c r="A901" s="56">
        <v>43845</v>
      </c>
      <c r="B901" s="55">
        <v>106</v>
      </c>
    </row>
    <row r="902" spans="1:2" x14ac:dyDescent="0.25">
      <c r="A902" s="56">
        <v>43844</v>
      </c>
      <c r="B902" s="55">
        <v>107</v>
      </c>
    </row>
    <row r="903" spans="1:2" x14ac:dyDescent="0.25">
      <c r="A903" s="56">
        <v>43843</v>
      </c>
      <c r="B903" s="55">
        <v>107</v>
      </c>
    </row>
    <row r="904" spans="1:2" x14ac:dyDescent="0.25">
      <c r="A904" s="56">
        <v>43840</v>
      </c>
      <c r="B904" s="55">
        <v>107</v>
      </c>
    </row>
    <row r="905" spans="1:2" x14ac:dyDescent="0.25">
      <c r="A905" s="56">
        <v>43839</v>
      </c>
      <c r="B905" s="55">
        <v>108</v>
      </c>
    </row>
    <row r="906" spans="1:2" x14ac:dyDescent="0.25">
      <c r="A906" s="56">
        <v>43838</v>
      </c>
      <c r="B906" s="55">
        <v>114</v>
      </c>
    </row>
    <row r="907" spans="1:2" x14ac:dyDescent="0.25">
      <c r="A907" s="56">
        <v>43837</v>
      </c>
      <c r="B907" s="55">
        <v>111</v>
      </c>
    </row>
    <row r="908" spans="1:2" x14ac:dyDescent="0.25">
      <c r="A908" s="56">
        <v>43836</v>
      </c>
      <c r="B908" s="55">
        <v>111</v>
      </c>
    </row>
    <row r="909" spans="1:2" x14ac:dyDescent="0.25">
      <c r="A909" s="56">
        <v>43833</v>
      </c>
      <c r="B909" s="55">
        <v>112</v>
      </c>
    </row>
    <row r="910" spans="1:2" x14ac:dyDescent="0.25">
      <c r="A910" s="56">
        <v>43832</v>
      </c>
      <c r="B910" s="55">
        <v>111</v>
      </c>
    </row>
    <row r="911" spans="1:2" x14ac:dyDescent="0.25">
      <c r="A911" s="56">
        <v>43466</v>
      </c>
      <c r="B911" s="55">
        <v>116</v>
      </c>
    </row>
    <row r="912" spans="1:2" x14ac:dyDescent="0.25">
      <c r="A912" s="56">
        <v>43830</v>
      </c>
      <c r="B912" s="55">
        <v>116</v>
      </c>
    </row>
    <row r="913" spans="1:2" x14ac:dyDescent="0.25">
      <c r="A913" s="56">
        <v>43829</v>
      </c>
      <c r="B913" s="55">
        <v>117</v>
      </c>
    </row>
    <row r="914" spans="1:2" x14ac:dyDescent="0.25">
      <c r="A914" s="56">
        <v>43826</v>
      </c>
      <c r="B914" s="55">
        <v>116</v>
      </c>
    </row>
    <row r="915" spans="1:2" x14ac:dyDescent="0.25">
      <c r="A915" s="56">
        <v>43825</v>
      </c>
      <c r="B915" s="55">
        <v>118</v>
      </c>
    </row>
    <row r="916" spans="1:2" x14ac:dyDescent="0.25">
      <c r="A916" s="56">
        <v>43824</v>
      </c>
      <c r="B916" s="55">
        <v>118</v>
      </c>
    </row>
    <row r="917" spans="1:2" x14ac:dyDescent="0.25">
      <c r="A917" s="56">
        <v>43823</v>
      </c>
      <c r="B917" s="55">
        <v>118</v>
      </c>
    </row>
    <row r="918" spans="1:2" x14ac:dyDescent="0.25">
      <c r="A918" s="56">
        <v>43822</v>
      </c>
      <c r="B918" s="55">
        <v>118</v>
      </c>
    </row>
    <row r="919" spans="1:2" x14ac:dyDescent="0.25">
      <c r="A919" s="56">
        <v>43819</v>
      </c>
      <c r="B919" s="55">
        <v>119</v>
      </c>
    </row>
    <row r="920" spans="1:2" x14ac:dyDescent="0.25">
      <c r="A920" s="56">
        <v>43818</v>
      </c>
      <c r="B920" s="55">
        <v>117</v>
      </c>
    </row>
    <row r="921" spans="1:2" x14ac:dyDescent="0.25">
      <c r="A921" s="56">
        <v>43817</v>
      </c>
      <c r="B921" s="55">
        <v>120</v>
      </c>
    </row>
    <row r="922" spans="1:2" x14ac:dyDescent="0.25">
      <c r="A922" s="56">
        <v>43816</v>
      </c>
      <c r="B922" s="55">
        <v>117</v>
      </c>
    </row>
    <row r="923" spans="1:2" x14ac:dyDescent="0.25">
      <c r="A923" s="56">
        <v>43815</v>
      </c>
      <c r="B923" s="55">
        <v>121</v>
      </c>
    </row>
    <row r="924" spans="1:2" x14ac:dyDescent="0.25">
      <c r="A924" s="56">
        <v>43812</v>
      </c>
      <c r="B924" s="55">
        <v>120</v>
      </c>
    </row>
    <row r="925" spans="1:2" x14ac:dyDescent="0.25">
      <c r="A925" s="56">
        <v>43811</v>
      </c>
      <c r="B925" s="55">
        <v>121</v>
      </c>
    </row>
    <row r="926" spans="1:2" x14ac:dyDescent="0.25">
      <c r="A926" s="56">
        <v>43810</v>
      </c>
      <c r="B926" s="55">
        <v>120</v>
      </c>
    </row>
    <row r="927" spans="1:2" x14ac:dyDescent="0.25">
      <c r="A927" s="56">
        <v>43809</v>
      </c>
      <c r="B927" s="55">
        <v>120</v>
      </c>
    </row>
    <row r="928" spans="1:2" x14ac:dyDescent="0.25">
      <c r="A928" s="56">
        <v>43808</v>
      </c>
      <c r="B928" s="55">
        <v>120</v>
      </c>
    </row>
    <row r="929" spans="1:2" x14ac:dyDescent="0.25">
      <c r="A929" s="56">
        <v>43805</v>
      </c>
      <c r="B929" s="55">
        <v>122</v>
      </c>
    </row>
    <row r="930" spans="1:2" x14ac:dyDescent="0.25">
      <c r="A930" s="56">
        <v>43804</v>
      </c>
      <c r="B930" s="55">
        <v>122</v>
      </c>
    </row>
    <row r="931" spans="1:2" x14ac:dyDescent="0.25">
      <c r="A931" s="56">
        <v>43803</v>
      </c>
      <c r="B931" s="55">
        <v>123</v>
      </c>
    </row>
    <row r="932" spans="1:2" x14ac:dyDescent="0.25">
      <c r="A932" s="56">
        <v>43802</v>
      </c>
      <c r="B932" s="55">
        <v>126</v>
      </c>
    </row>
    <row r="933" spans="1:2" x14ac:dyDescent="0.25">
      <c r="A933" s="56">
        <v>43801</v>
      </c>
      <c r="B933" s="55">
        <v>124</v>
      </c>
    </row>
    <row r="934" spans="1:2" x14ac:dyDescent="0.25">
      <c r="A934" s="56">
        <v>43798</v>
      </c>
      <c r="B934" s="55">
        <v>124</v>
      </c>
    </row>
    <row r="935" spans="1:2" x14ac:dyDescent="0.25">
      <c r="A935" s="56">
        <v>43797</v>
      </c>
      <c r="B935" s="55">
        <v>126</v>
      </c>
    </row>
    <row r="936" spans="1:2" x14ac:dyDescent="0.25">
      <c r="A936" s="56">
        <v>43796</v>
      </c>
      <c r="B936" s="55">
        <v>124</v>
      </c>
    </row>
    <row r="937" spans="1:2" x14ac:dyDescent="0.25">
      <c r="A937" s="56">
        <v>43795</v>
      </c>
      <c r="B937" s="55">
        <v>129</v>
      </c>
    </row>
    <row r="938" spans="1:2" x14ac:dyDescent="0.25">
      <c r="A938" s="56">
        <v>43794</v>
      </c>
      <c r="B938" s="55">
        <v>132</v>
      </c>
    </row>
    <row r="939" spans="1:2" x14ac:dyDescent="0.25">
      <c r="A939" s="56">
        <v>43791</v>
      </c>
      <c r="B939" s="55">
        <v>129</v>
      </c>
    </row>
    <row r="940" spans="1:2" x14ac:dyDescent="0.25">
      <c r="A940" s="56">
        <v>43790</v>
      </c>
      <c r="B940" s="55">
        <v>125</v>
      </c>
    </row>
    <row r="941" spans="1:2" x14ac:dyDescent="0.25">
      <c r="A941" s="56">
        <v>43789</v>
      </c>
      <c r="B941" s="55">
        <v>130</v>
      </c>
    </row>
    <row r="942" spans="1:2" x14ac:dyDescent="0.25">
      <c r="A942" s="56">
        <v>43788</v>
      </c>
      <c r="B942" s="55">
        <v>129</v>
      </c>
    </row>
    <row r="943" spans="1:2" x14ac:dyDescent="0.25">
      <c r="A943" s="56">
        <v>43787</v>
      </c>
      <c r="B943" s="55">
        <v>132</v>
      </c>
    </row>
    <row r="944" spans="1:2" x14ac:dyDescent="0.25">
      <c r="A944" s="56">
        <v>43784</v>
      </c>
      <c r="B944" s="55">
        <v>132</v>
      </c>
    </row>
    <row r="945" spans="1:2" x14ac:dyDescent="0.25">
      <c r="A945" s="56">
        <v>43783</v>
      </c>
      <c r="B945" s="55">
        <v>132</v>
      </c>
    </row>
    <row r="946" spans="1:2" x14ac:dyDescent="0.25">
      <c r="A946" s="56">
        <v>43782</v>
      </c>
      <c r="B946" s="55">
        <v>134</v>
      </c>
    </row>
    <row r="947" spans="1:2" x14ac:dyDescent="0.25">
      <c r="A947" s="56">
        <v>43781</v>
      </c>
      <c r="B947" s="55">
        <v>130</v>
      </c>
    </row>
    <row r="948" spans="1:2" x14ac:dyDescent="0.25">
      <c r="A948" s="56">
        <v>43780</v>
      </c>
      <c r="B948" s="55">
        <v>128</v>
      </c>
    </row>
    <row r="949" spans="1:2" x14ac:dyDescent="0.25">
      <c r="A949" s="56">
        <v>43777</v>
      </c>
      <c r="B949" s="55">
        <v>127</v>
      </c>
    </row>
    <row r="950" spans="1:2" x14ac:dyDescent="0.25">
      <c r="A950" s="56">
        <v>43776</v>
      </c>
      <c r="B950" s="55">
        <v>128</v>
      </c>
    </row>
    <row r="951" spans="1:2" x14ac:dyDescent="0.25">
      <c r="A951" s="56">
        <v>43775</v>
      </c>
      <c r="B951" s="55">
        <v>130</v>
      </c>
    </row>
    <row r="952" spans="1:2" x14ac:dyDescent="0.25">
      <c r="A952" s="56">
        <v>43774</v>
      </c>
      <c r="B952" s="55">
        <v>129</v>
      </c>
    </row>
    <row r="953" spans="1:2" x14ac:dyDescent="0.25">
      <c r="A953" s="56">
        <v>43773</v>
      </c>
      <c r="B953" s="55">
        <v>130</v>
      </c>
    </row>
    <row r="954" spans="1:2" x14ac:dyDescent="0.25">
      <c r="A954" s="56">
        <v>43770</v>
      </c>
      <c r="B954" s="55">
        <v>130</v>
      </c>
    </row>
    <row r="955" spans="1:2" x14ac:dyDescent="0.25">
      <c r="A955" s="56">
        <v>43769</v>
      </c>
      <c r="B955" s="55">
        <v>128</v>
      </c>
    </row>
    <row r="956" spans="1:2" x14ac:dyDescent="0.25">
      <c r="A956" s="56">
        <v>43768</v>
      </c>
      <c r="B956" s="55">
        <v>130</v>
      </c>
    </row>
    <row r="957" spans="1:2" x14ac:dyDescent="0.25">
      <c r="A957" s="56">
        <v>43767</v>
      </c>
      <c r="B957" s="55">
        <v>129</v>
      </c>
    </row>
    <row r="958" spans="1:2" x14ac:dyDescent="0.25">
      <c r="A958" s="56">
        <v>43766</v>
      </c>
      <c r="B958" s="55">
        <v>131</v>
      </c>
    </row>
    <row r="959" spans="1:2" x14ac:dyDescent="0.25">
      <c r="A959" s="56">
        <v>43763</v>
      </c>
      <c r="B959" s="55">
        <v>131</v>
      </c>
    </row>
    <row r="960" spans="1:2" x14ac:dyDescent="0.25">
      <c r="A960" s="56">
        <v>43762</v>
      </c>
      <c r="B960" s="55">
        <v>130</v>
      </c>
    </row>
    <row r="961" spans="1:2" x14ac:dyDescent="0.25">
      <c r="A961" s="56">
        <v>43761</v>
      </c>
      <c r="B961" s="55">
        <v>133</v>
      </c>
    </row>
    <row r="962" spans="1:2" x14ac:dyDescent="0.25">
      <c r="A962" s="56">
        <v>43760</v>
      </c>
      <c r="B962" s="55">
        <v>130</v>
      </c>
    </row>
    <row r="963" spans="1:2" x14ac:dyDescent="0.25">
      <c r="A963" s="56">
        <v>43759</v>
      </c>
      <c r="B963" s="55">
        <v>133</v>
      </c>
    </row>
    <row r="964" spans="1:2" x14ac:dyDescent="0.25">
      <c r="A964" s="56">
        <v>43756</v>
      </c>
      <c r="B964" s="55">
        <v>130</v>
      </c>
    </row>
    <row r="965" spans="1:2" x14ac:dyDescent="0.25">
      <c r="A965" s="56">
        <v>43755</v>
      </c>
      <c r="B965" s="55">
        <v>132</v>
      </c>
    </row>
    <row r="966" spans="1:2" x14ac:dyDescent="0.25">
      <c r="A966" s="56">
        <v>43754</v>
      </c>
      <c r="B966" s="55">
        <v>132</v>
      </c>
    </row>
    <row r="967" spans="1:2" x14ac:dyDescent="0.25">
      <c r="A967" s="56">
        <v>43753</v>
      </c>
      <c r="B967" s="55">
        <v>130</v>
      </c>
    </row>
    <row r="968" spans="1:2" x14ac:dyDescent="0.25">
      <c r="A968" s="56">
        <v>43752</v>
      </c>
      <c r="B968" s="55">
        <v>130</v>
      </c>
    </row>
    <row r="969" spans="1:2" x14ac:dyDescent="0.25">
      <c r="A969" s="56">
        <v>43749</v>
      </c>
      <c r="B969" s="55">
        <v>130</v>
      </c>
    </row>
    <row r="970" spans="1:2" x14ac:dyDescent="0.25">
      <c r="A970" s="56">
        <v>43748</v>
      </c>
      <c r="B970" s="55">
        <v>132</v>
      </c>
    </row>
    <row r="971" spans="1:2" x14ac:dyDescent="0.25">
      <c r="A971" s="56">
        <v>43747</v>
      </c>
      <c r="B971" s="55">
        <v>136</v>
      </c>
    </row>
    <row r="972" spans="1:2" x14ac:dyDescent="0.25">
      <c r="A972" s="56">
        <v>43746</v>
      </c>
      <c r="B972" s="55">
        <v>134</v>
      </c>
    </row>
    <row r="973" spans="1:2" x14ac:dyDescent="0.25">
      <c r="A973" s="56">
        <v>43745</v>
      </c>
      <c r="B973" s="55">
        <v>136</v>
      </c>
    </row>
    <row r="974" spans="1:2" x14ac:dyDescent="0.25">
      <c r="A974" s="56">
        <v>43742</v>
      </c>
      <c r="B974" s="55">
        <v>136</v>
      </c>
    </row>
    <row r="975" spans="1:2" x14ac:dyDescent="0.25">
      <c r="A975" s="56">
        <v>43741</v>
      </c>
      <c r="B975" s="55">
        <v>135</v>
      </c>
    </row>
    <row r="976" spans="1:2" x14ac:dyDescent="0.25">
      <c r="A976" s="56">
        <v>43740</v>
      </c>
      <c r="B976" s="55">
        <v>137</v>
      </c>
    </row>
    <row r="977" spans="1:2" x14ac:dyDescent="0.25">
      <c r="A977" s="56">
        <v>43739</v>
      </c>
      <c r="B977" s="55">
        <v>136</v>
      </c>
    </row>
    <row r="978" spans="1:2" x14ac:dyDescent="0.25">
      <c r="A978" s="56">
        <v>43738</v>
      </c>
      <c r="B978" s="55">
        <v>138</v>
      </c>
    </row>
    <row r="979" spans="1:2" x14ac:dyDescent="0.25">
      <c r="A979" s="56">
        <v>43735</v>
      </c>
      <c r="B979" s="55">
        <v>135</v>
      </c>
    </row>
    <row r="980" spans="1:2" x14ac:dyDescent="0.25">
      <c r="A980" s="56">
        <v>43734</v>
      </c>
      <c r="B980" s="55">
        <v>135</v>
      </c>
    </row>
    <row r="981" spans="1:2" x14ac:dyDescent="0.25">
      <c r="A981" s="56">
        <v>43733</v>
      </c>
      <c r="B981" s="55">
        <v>136</v>
      </c>
    </row>
    <row r="982" spans="1:2" x14ac:dyDescent="0.25">
      <c r="A982" s="56">
        <v>43732</v>
      </c>
      <c r="B982" s="55">
        <v>136</v>
      </c>
    </row>
    <row r="983" spans="1:2" x14ac:dyDescent="0.25">
      <c r="A983" s="56">
        <v>43731</v>
      </c>
      <c r="B983" s="55">
        <v>138</v>
      </c>
    </row>
    <row r="984" spans="1:2" x14ac:dyDescent="0.25">
      <c r="A984" s="56">
        <v>43728</v>
      </c>
      <c r="B984" s="55">
        <v>137</v>
      </c>
    </row>
    <row r="985" spans="1:2" x14ac:dyDescent="0.25">
      <c r="A985" s="56">
        <v>43727</v>
      </c>
      <c r="B985" s="55">
        <v>136</v>
      </c>
    </row>
    <row r="986" spans="1:2" x14ac:dyDescent="0.25">
      <c r="A986" s="56">
        <v>43726</v>
      </c>
      <c r="B986" s="55">
        <v>137</v>
      </c>
    </row>
    <row r="987" spans="1:2" x14ac:dyDescent="0.25">
      <c r="A987" s="56">
        <v>43725</v>
      </c>
      <c r="B987" s="55">
        <v>135</v>
      </c>
    </row>
    <row r="988" spans="1:2" x14ac:dyDescent="0.25">
      <c r="A988" s="56">
        <v>43724</v>
      </c>
      <c r="B988" s="55">
        <v>137</v>
      </c>
    </row>
    <row r="989" spans="1:2" x14ac:dyDescent="0.25">
      <c r="A989" s="56">
        <v>43721</v>
      </c>
      <c r="B989" s="55">
        <v>137</v>
      </c>
    </row>
    <row r="990" spans="1:2" x14ac:dyDescent="0.25">
      <c r="A990" s="56">
        <v>43720</v>
      </c>
      <c r="B990" s="55">
        <v>138</v>
      </c>
    </row>
    <row r="991" spans="1:2" x14ac:dyDescent="0.25">
      <c r="A991" s="56">
        <v>43719</v>
      </c>
      <c r="B991" s="55">
        <v>138</v>
      </c>
    </row>
    <row r="992" spans="1:2" x14ac:dyDescent="0.25">
      <c r="A992" s="56">
        <v>43718</v>
      </c>
      <c r="B992" s="55">
        <v>137</v>
      </c>
    </row>
    <row r="993" spans="1:2" x14ac:dyDescent="0.25">
      <c r="A993" s="56">
        <v>43717</v>
      </c>
      <c r="B993" s="55">
        <v>137</v>
      </c>
    </row>
    <row r="994" spans="1:2" x14ac:dyDescent="0.25">
      <c r="A994" s="56">
        <v>43714</v>
      </c>
      <c r="B994" s="55">
        <v>140</v>
      </c>
    </row>
    <row r="995" spans="1:2" x14ac:dyDescent="0.25">
      <c r="A995" s="56">
        <v>43713</v>
      </c>
      <c r="B995" s="55">
        <v>140</v>
      </c>
    </row>
    <row r="996" spans="1:2" x14ac:dyDescent="0.25">
      <c r="A996" s="56">
        <v>43712</v>
      </c>
      <c r="B996" s="55">
        <v>140</v>
      </c>
    </row>
    <row r="997" spans="1:2" x14ac:dyDescent="0.25">
      <c r="A997" s="56">
        <v>43711</v>
      </c>
      <c r="B997" s="55">
        <v>142</v>
      </c>
    </row>
    <row r="998" spans="1:2" x14ac:dyDescent="0.25">
      <c r="A998" s="56">
        <v>43710</v>
      </c>
      <c r="B998" s="55">
        <v>145</v>
      </c>
    </row>
    <row r="999" spans="1:2" x14ac:dyDescent="0.25">
      <c r="A999" s="56">
        <v>43707</v>
      </c>
      <c r="B999" s="55">
        <v>145</v>
      </c>
    </row>
    <row r="1000" spans="1:2" x14ac:dyDescent="0.25">
      <c r="A1000" s="56">
        <v>43706</v>
      </c>
      <c r="B1000" s="55">
        <v>146</v>
      </c>
    </row>
    <row r="1001" spans="1:2" x14ac:dyDescent="0.25">
      <c r="A1001" s="56">
        <v>43705</v>
      </c>
      <c r="B1001" s="55">
        <v>148</v>
      </c>
    </row>
    <row r="1002" spans="1:2" x14ac:dyDescent="0.25">
      <c r="A1002" s="56">
        <v>43704</v>
      </c>
      <c r="B1002" s="55">
        <v>148</v>
      </c>
    </row>
    <row r="1003" spans="1:2" x14ac:dyDescent="0.25">
      <c r="A1003" s="56">
        <v>43703</v>
      </c>
      <c r="B1003" s="55">
        <v>152</v>
      </c>
    </row>
    <row r="1004" spans="1:2" x14ac:dyDescent="0.25">
      <c r="A1004" s="56">
        <v>43700</v>
      </c>
      <c r="B1004" s="55">
        <v>146</v>
      </c>
    </row>
    <row r="1005" spans="1:2" x14ac:dyDescent="0.25">
      <c r="A1005" s="56">
        <v>43699</v>
      </c>
      <c r="B1005" s="55">
        <v>148</v>
      </c>
    </row>
    <row r="1006" spans="1:2" x14ac:dyDescent="0.25">
      <c r="A1006" s="56">
        <v>43698</v>
      </c>
      <c r="B1006" s="55">
        <v>152</v>
      </c>
    </row>
    <row r="1007" spans="1:2" x14ac:dyDescent="0.25">
      <c r="A1007" s="56">
        <v>43697</v>
      </c>
      <c r="B1007" s="55">
        <v>151</v>
      </c>
    </row>
    <row r="1008" spans="1:2" x14ac:dyDescent="0.25">
      <c r="A1008" s="56">
        <v>43696</v>
      </c>
      <c r="B1008" s="55">
        <v>140</v>
      </c>
    </row>
    <row r="1009" spans="1:2" x14ac:dyDescent="0.25">
      <c r="A1009" s="56">
        <v>43693</v>
      </c>
      <c r="B1009" s="55">
        <v>140</v>
      </c>
    </row>
    <row r="1010" spans="1:2" x14ac:dyDescent="0.25">
      <c r="A1010" s="56">
        <v>43692</v>
      </c>
      <c r="B1010" s="55">
        <v>140</v>
      </c>
    </row>
    <row r="1011" spans="1:2" x14ac:dyDescent="0.25">
      <c r="A1011" s="56">
        <v>43691</v>
      </c>
      <c r="B1011" s="55">
        <v>140</v>
      </c>
    </row>
    <row r="1012" spans="1:2" x14ac:dyDescent="0.25">
      <c r="A1012" s="56">
        <v>43690</v>
      </c>
      <c r="B1012" s="55">
        <v>140</v>
      </c>
    </row>
    <row r="1013" spans="1:2" x14ac:dyDescent="0.25">
      <c r="A1013" s="56">
        <v>43689</v>
      </c>
      <c r="B1013" s="55">
        <v>145</v>
      </c>
    </row>
    <row r="1014" spans="1:2" x14ac:dyDescent="0.25">
      <c r="A1014" s="56">
        <v>43686</v>
      </c>
      <c r="B1014" s="55">
        <v>145</v>
      </c>
    </row>
    <row r="1015" spans="1:2" x14ac:dyDescent="0.25">
      <c r="A1015" s="56">
        <v>43685</v>
      </c>
      <c r="B1015" s="55">
        <v>145</v>
      </c>
    </row>
    <row r="1016" spans="1:2" x14ac:dyDescent="0.25">
      <c r="A1016" s="56">
        <v>43684</v>
      </c>
      <c r="B1016" s="55">
        <v>150</v>
      </c>
    </row>
    <row r="1017" spans="1:2" x14ac:dyDescent="0.25">
      <c r="A1017" s="56">
        <v>43683</v>
      </c>
      <c r="B1017" s="55">
        <v>145</v>
      </c>
    </row>
    <row r="1018" spans="1:2" x14ac:dyDescent="0.25">
      <c r="A1018" s="56">
        <v>43682</v>
      </c>
      <c r="B1018" s="55">
        <v>145</v>
      </c>
    </row>
    <row r="1019" spans="1:2" x14ac:dyDescent="0.25">
      <c r="A1019" s="56">
        <v>43679</v>
      </c>
      <c r="B1019" s="55">
        <v>140</v>
      </c>
    </row>
    <row r="1020" spans="1:2" x14ac:dyDescent="0.25">
      <c r="A1020" s="56">
        <v>43678</v>
      </c>
      <c r="B1020" s="55">
        <v>130</v>
      </c>
    </row>
    <row r="1021" spans="1:2" x14ac:dyDescent="0.25">
      <c r="A1021" s="56">
        <v>43677</v>
      </c>
      <c r="B1021" s="55">
        <v>142</v>
      </c>
    </row>
    <row r="1022" spans="1:2" x14ac:dyDescent="0.25">
      <c r="A1022" s="56">
        <v>43676</v>
      </c>
      <c r="B1022" s="55">
        <v>134</v>
      </c>
    </row>
    <row r="1023" spans="1:2" x14ac:dyDescent="0.25">
      <c r="A1023" s="56">
        <v>43675</v>
      </c>
      <c r="B1023" s="55">
        <v>134</v>
      </c>
    </row>
    <row r="1024" spans="1:2" x14ac:dyDescent="0.25">
      <c r="A1024" s="56">
        <v>43672</v>
      </c>
      <c r="B1024" s="55">
        <v>134</v>
      </c>
    </row>
    <row r="1025" spans="1:2" x14ac:dyDescent="0.25">
      <c r="A1025" s="56">
        <v>43671</v>
      </c>
      <c r="B1025" s="55">
        <v>134</v>
      </c>
    </row>
    <row r="1026" spans="1:2" x14ac:dyDescent="0.25">
      <c r="A1026" s="56">
        <v>43670</v>
      </c>
      <c r="B1026" s="55">
        <v>130</v>
      </c>
    </row>
    <row r="1027" spans="1:2" x14ac:dyDescent="0.25">
      <c r="A1027" s="56">
        <v>43669</v>
      </c>
      <c r="B1027" s="55">
        <v>137</v>
      </c>
    </row>
    <row r="1028" spans="1:2" x14ac:dyDescent="0.25">
      <c r="A1028" s="56">
        <v>43668</v>
      </c>
      <c r="B1028" s="55">
        <v>137</v>
      </c>
    </row>
    <row r="1029" spans="1:2" x14ac:dyDescent="0.25">
      <c r="A1029" s="56">
        <v>43665</v>
      </c>
      <c r="B1029" s="55">
        <v>130</v>
      </c>
    </row>
    <row r="1030" spans="1:2" x14ac:dyDescent="0.25">
      <c r="A1030" s="56">
        <v>43664</v>
      </c>
      <c r="B1030" s="55">
        <v>135</v>
      </c>
    </row>
    <row r="1031" spans="1:2" x14ac:dyDescent="0.25">
      <c r="A1031" s="56">
        <v>43663</v>
      </c>
      <c r="B1031" s="55">
        <v>135</v>
      </c>
    </row>
    <row r="1032" spans="1:2" x14ac:dyDescent="0.25">
      <c r="A1032" s="56">
        <v>43662</v>
      </c>
      <c r="B1032" s="55">
        <v>135</v>
      </c>
    </row>
    <row r="1033" spans="1:2" x14ac:dyDescent="0.25">
      <c r="A1033" s="56">
        <v>43661</v>
      </c>
      <c r="B1033" s="55">
        <v>138</v>
      </c>
    </row>
    <row r="1034" spans="1:2" x14ac:dyDescent="0.25">
      <c r="A1034" s="56">
        <v>43658</v>
      </c>
      <c r="B1034" s="55">
        <v>142</v>
      </c>
    </row>
    <row r="1035" spans="1:2" x14ac:dyDescent="0.25">
      <c r="A1035" s="56">
        <v>43657</v>
      </c>
      <c r="B1035" s="55">
        <v>140</v>
      </c>
    </row>
    <row r="1036" spans="1:2" x14ac:dyDescent="0.25">
      <c r="A1036" s="56">
        <v>43656</v>
      </c>
      <c r="B1036" s="55">
        <v>140</v>
      </c>
    </row>
    <row r="1037" spans="1:2" x14ac:dyDescent="0.25">
      <c r="A1037" s="56">
        <v>43655</v>
      </c>
      <c r="B1037" s="55">
        <v>140</v>
      </c>
    </row>
    <row r="1038" spans="1:2" x14ac:dyDescent="0.25">
      <c r="A1038" s="56">
        <v>43654</v>
      </c>
      <c r="B1038" s="55">
        <v>140</v>
      </c>
    </row>
    <row r="1039" spans="1:2" x14ac:dyDescent="0.25">
      <c r="A1039" s="56">
        <v>43651</v>
      </c>
      <c r="B1039" s="55">
        <v>142</v>
      </c>
    </row>
    <row r="1040" spans="1:2" x14ac:dyDescent="0.25">
      <c r="A1040" s="56">
        <v>43650</v>
      </c>
      <c r="B1040" s="55">
        <v>143</v>
      </c>
    </row>
    <row r="1041" spans="1:2" x14ac:dyDescent="0.25">
      <c r="A1041" s="56">
        <v>43649</v>
      </c>
      <c r="B1041" s="55">
        <v>155</v>
      </c>
    </row>
    <row r="1042" spans="1:2" x14ac:dyDescent="0.25">
      <c r="A1042" s="56">
        <v>43648</v>
      </c>
      <c r="B1042" s="55">
        <v>140</v>
      </c>
    </row>
    <row r="1043" spans="1:2" x14ac:dyDescent="0.25">
      <c r="A1043" s="56">
        <v>43647</v>
      </c>
      <c r="B1043" s="55">
        <v>140</v>
      </c>
    </row>
    <row r="1044" spans="1:2" x14ac:dyDescent="0.25">
      <c r="A1044" s="56">
        <v>43644</v>
      </c>
      <c r="B1044" s="55">
        <v>140</v>
      </c>
    </row>
    <row r="1045" spans="1:2" x14ac:dyDescent="0.25">
      <c r="A1045" s="56">
        <v>43643</v>
      </c>
      <c r="B1045" s="55">
        <v>140</v>
      </c>
    </row>
    <row r="1046" spans="1:2" x14ac:dyDescent="0.25">
      <c r="A1046" s="56">
        <v>43642</v>
      </c>
      <c r="B1046" s="55">
        <v>145</v>
      </c>
    </row>
    <row r="1047" spans="1:2" x14ac:dyDescent="0.25">
      <c r="A1047" s="56">
        <v>43641</v>
      </c>
      <c r="B1047" s="55">
        <v>150</v>
      </c>
    </row>
    <row r="1048" spans="1:2" x14ac:dyDescent="0.25">
      <c r="A1048" s="56">
        <v>43640</v>
      </c>
      <c r="B1048" s="55">
        <v>145</v>
      </c>
    </row>
    <row r="1049" spans="1:2" x14ac:dyDescent="0.25">
      <c r="A1049" s="56">
        <v>43637</v>
      </c>
      <c r="B1049" s="55">
        <v>150</v>
      </c>
    </row>
    <row r="1050" spans="1:2" x14ac:dyDescent="0.25">
      <c r="A1050" s="56">
        <v>43636</v>
      </c>
      <c r="B1050" s="55">
        <v>145</v>
      </c>
    </row>
    <row r="1051" spans="1:2" x14ac:dyDescent="0.25">
      <c r="A1051" s="56">
        <v>43635</v>
      </c>
      <c r="B1051" s="55">
        <v>145</v>
      </c>
    </row>
    <row r="1052" spans="1:2" x14ac:dyDescent="0.25">
      <c r="A1052" s="56">
        <v>43634</v>
      </c>
      <c r="B1052" s="55">
        <v>140</v>
      </c>
    </row>
    <row r="1053" spans="1:2" x14ac:dyDescent="0.25">
      <c r="A1053" s="56">
        <v>43633</v>
      </c>
      <c r="B1053" s="55">
        <v>141</v>
      </c>
    </row>
    <row r="1054" spans="1:2" x14ac:dyDescent="0.25">
      <c r="A1054" s="56">
        <v>43630</v>
      </c>
      <c r="B1054" s="55">
        <v>140</v>
      </c>
    </row>
    <row r="1055" spans="1:2" x14ac:dyDescent="0.25">
      <c r="A1055" s="56">
        <v>43629</v>
      </c>
      <c r="B1055" s="55">
        <v>145</v>
      </c>
    </row>
    <row r="1056" spans="1:2" x14ac:dyDescent="0.25">
      <c r="A1056" s="56">
        <v>43628</v>
      </c>
      <c r="B1056" s="55">
        <v>150</v>
      </c>
    </row>
    <row r="1057" spans="1:2" x14ac:dyDescent="0.25">
      <c r="A1057" s="56">
        <v>43627</v>
      </c>
      <c r="B1057" s="55">
        <v>170</v>
      </c>
    </row>
    <row r="1058" spans="1:2" x14ac:dyDescent="0.25">
      <c r="A1058" s="56">
        <v>43626</v>
      </c>
      <c r="B1058" s="55">
        <v>155</v>
      </c>
    </row>
    <row r="1059" spans="1:2" x14ac:dyDescent="0.25">
      <c r="A1059" s="56">
        <v>43623</v>
      </c>
      <c r="B1059" s="55">
        <v>155</v>
      </c>
    </row>
    <row r="1060" spans="1:2" x14ac:dyDescent="0.25">
      <c r="A1060" s="56">
        <v>43622</v>
      </c>
      <c r="B1060" s="55">
        <v>155</v>
      </c>
    </row>
    <row r="1061" spans="1:2" x14ac:dyDescent="0.25">
      <c r="A1061" s="56">
        <v>43621</v>
      </c>
      <c r="B1061" s="55">
        <v>155</v>
      </c>
    </row>
    <row r="1062" spans="1:2" x14ac:dyDescent="0.25">
      <c r="A1062" s="56">
        <v>43620</v>
      </c>
      <c r="B1062" s="55">
        <v>155</v>
      </c>
    </row>
    <row r="1063" spans="1:2" x14ac:dyDescent="0.25">
      <c r="A1063" s="56">
        <v>43619</v>
      </c>
      <c r="B1063" s="55">
        <v>155</v>
      </c>
    </row>
    <row r="1064" spans="1:2" x14ac:dyDescent="0.25">
      <c r="A1064" s="56">
        <v>43616</v>
      </c>
      <c r="B1064" s="55">
        <v>155</v>
      </c>
    </row>
    <row r="1065" spans="1:2" x14ac:dyDescent="0.25">
      <c r="A1065" s="56">
        <v>43615</v>
      </c>
      <c r="B1065" s="55">
        <v>160</v>
      </c>
    </row>
    <row r="1066" spans="1:2" x14ac:dyDescent="0.25">
      <c r="A1066" s="56">
        <v>43614</v>
      </c>
      <c r="B1066" s="55">
        <v>160</v>
      </c>
    </row>
    <row r="1067" spans="1:2" x14ac:dyDescent="0.25">
      <c r="A1067" s="56">
        <v>43613</v>
      </c>
      <c r="B1067" s="55">
        <v>158</v>
      </c>
    </row>
    <row r="1068" spans="1:2" x14ac:dyDescent="0.25">
      <c r="A1068" s="56">
        <v>43612</v>
      </c>
      <c r="B1068" s="55">
        <v>168</v>
      </c>
    </row>
    <row r="1069" spans="1:2" x14ac:dyDescent="0.25">
      <c r="A1069" s="56">
        <v>43609</v>
      </c>
      <c r="B1069" s="55">
        <v>172</v>
      </c>
    </row>
    <row r="1070" spans="1:2" x14ac:dyDescent="0.25">
      <c r="A1070" s="56">
        <v>43608</v>
      </c>
      <c r="B1070" s="55">
        <v>160</v>
      </c>
    </row>
    <row r="1071" spans="1:2" x14ac:dyDescent="0.25">
      <c r="A1071" s="56">
        <v>43607</v>
      </c>
      <c r="B1071" s="55">
        <v>175</v>
      </c>
    </row>
    <row r="1072" spans="1:2" x14ac:dyDescent="0.25">
      <c r="A1072" s="56">
        <v>43606</v>
      </c>
      <c r="B1072" s="55">
        <v>179</v>
      </c>
    </row>
    <row r="1073" spans="1:2" x14ac:dyDescent="0.25">
      <c r="A1073" s="56">
        <v>43605</v>
      </c>
      <c r="B1073" s="55">
        <v>165</v>
      </c>
    </row>
    <row r="1074" spans="1:2" x14ac:dyDescent="0.25">
      <c r="A1074" s="56">
        <v>43602</v>
      </c>
      <c r="B1074" s="55">
        <v>165</v>
      </c>
    </row>
    <row r="1075" spans="1:2" x14ac:dyDescent="0.25">
      <c r="A1075" s="56">
        <v>43601</v>
      </c>
      <c r="B1075" s="55">
        <v>165</v>
      </c>
    </row>
    <row r="1076" spans="1:2" x14ac:dyDescent="0.25">
      <c r="A1076" s="56">
        <v>43600</v>
      </c>
      <c r="B1076" s="55">
        <v>182</v>
      </c>
    </row>
    <row r="1077" spans="1:2" x14ac:dyDescent="0.25">
      <c r="A1077" s="56">
        <v>43599</v>
      </c>
      <c r="B1077" s="55">
        <v>170</v>
      </c>
    </row>
    <row r="1078" spans="1:2" x14ac:dyDescent="0.25">
      <c r="A1078" s="56">
        <v>43598</v>
      </c>
      <c r="B1078" s="55">
        <v>155</v>
      </c>
    </row>
    <row r="1079" spans="1:2" x14ac:dyDescent="0.25">
      <c r="A1079" s="56">
        <v>43595</v>
      </c>
      <c r="B1079" s="55">
        <v>152</v>
      </c>
    </row>
    <row r="1080" spans="1:2" x14ac:dyDescent="0.25">
      <c r="A1080" s="56">
        <v>43594</v>
      </c>
      <c r="B1080" s="55">
        <v>155</v>
      </c>
    </row>
    <row r="1081" spans="1:2" x14ac:dyDescent="0.25">
      <c r="A1081" s="56">
        <v>43593</v>
      </c>
      <c r="B1081" s="55">
        <v>162</v>
      </c>
    </row>
    <row r="1082" spans="1:2" x14ac:dyDescent="0.25">
      <c r="A1082" s="56">
        <v>43592</v>
      </c>
      <c r="B1082" s="55">
        <v>155</v>
      </c>
    </row>
    <row r="1083" spans="1:2" x14ac:dyDescent="0.25">
      <c r="A1083" s="56">
        <v>43591</v>
      </c>
      <c r="B1083" s="55">
        <v>157</v>
      </c>
    </row>
    <row r="1084" spans="1:2" x14ac:dyDescent="0.25">
      <c r="A1084" s="56">
        <v>43588</v>
      </c>
      <c r="B1084" s="55">
        <v>162</v>
      </c>
    </row>
    <row r="1085" spans="1:2" x14ac:dyDescent="0.25">
      <c r="A1085" s="56">
        <v>43587</v>
      </c>
      <c r="B1085" s="55">
        <v>170</v>
      </c>
    </row>
    <row r="1086" spans="1:2" x14ac:dyDescent="0.25">
      <c r="A1086" s="56">
        <v>43586</v>
      </c>
      <c r="B1086" s="55">
        <v>175</v>
      </c>
    </row>
    <row r="1087" spans="1:2" x14ac:dyDescent="0.25">
      <c r="A1087" s="56">
        <v>43585</v>
      </c>
      <c r="B1087" s="55">
        <v>175</v>
      </c>
    </row>
    <row r="1088" spans="1:2" x14ac:dyDescent="0.25">
      <c r="A1088" s="56">
        <v>43584</v>
      </c>
      <c r="B1088" s="55">
        <v>160</v>
      </c>
    </row>
    <row r="1089" spans="1:2" x14ac:dyDescent="0.25">
      <c r="A1089" s="56">
        <v>43581</v>
      </c>
      <c r="B1089" s="55">
        <v>160</v>
      </c>
    </row>
    <row r="1090" spans="1:2" x14ac:dyDescent="0.25">
      <c r="A1090" s="56">
        <v>43580</v>
      </c>
      <c r="B1090" s="55">
        <v>155</v>
      </c>
    </row>
    <row r="1091" spans="1:2" x14ac:dyDescent="0.25">
      <c r="A1091" s="56">
        <v>43579</v>
      </c>
      <c r="B1091" s="55">
        <v>160</v>
      </c>
    </row>
    <row r="1092" spans="1:2" x14ac:dyDescent="0.25">
      <c r="A1092" s="56">
        <v>43578</v>
      </c>
      <c r="B1092" s="55">
        <v>160</v>
      </c>
    </row>
    <row r="1093" spans="1:2" x14ac:dyDescent="0.25">
      <c r="A1093" s="56">
        <v>43577</v>
      </c>
      <c r="B1093" s="55">
        <v>166</v>
      </c>
    </row>
    <row r="1094" spans="1:2" x14ac:dyDescent="0.25">
      <c r="A1094" s="56">
        <v>43574</v>
      </c>
      <c r="B1094" s="55">
        <v>165</v>
      </c>
    </row>
    <row r="1095" spans="1:2" x14ac:dyDescent="0.25">
      <c r="A1095" s="56">
        <v>43573</v>
      </c>
      <c r="B1095" s="55">
        <v>165</v>
      </c>
    </row>
    <row r="1096" spans="1:2" x14ac:dyDescent="0.25">
      <c r="A1096" s="56">
        <v>43572</v>
      </c>
      <c r="B1096" s="55">
        <v>170</v>
      </c>
    </row>
    <row r="1097" spans="1:2" x14ac:dyDescent="0.25">
      <c r="A1097" s="56">
        <v>43571</v>
      </c>
      <c r="B1097" s="55">
        <v>170</v>
      </c>
    </row>
    <row r="1098" spans="1:2" x14ac:dyDescent="0.25">
      <c r="A1098" s="56">
        <v>43570</v>
      </c>
      <c r="B1098" s="55">
        <v>170</v>
      </c>
    </row>
    <row r="1099" spans="1:2" x14ac:dyDescent="0.25">
      <c r="A1099" s="56">
        <v>43567</v>
      </c>
      <c r="B1099" s="55">
        <v>165</v>
      </c>
    </row>
    <row r="1100" spans="1:2" x14ac:dyDescent="0.25">
      <c r="A1100" s="56">
        <v>43566</v>
      </c>
      <c r="B1100" s="55">
        <v>160</v>
      </c>
    </row>
    <row r="1101" spans="1:2" x14ac:dyDescent="0.25">
      <c r="A1101" s="56">
        <v>43565</v>
      </c>
      <c r="B1101" s="55">
        <v>169</v>
      </c>
    </row>
    <row r="1102" spans="1:2" x14ac:dyDescent="0.25">
      <c r="A1102" s="56">
        <v>43564</v>
      </c>
      <c r="B1102" s="55">
        <v>150</v>
      </c>
    </row>
    <row r="1103" spans="1:2" x14ac:dyDescent="0.25">
      <c r="A1103" s="56">
        <v>43563</v>
      </c>
      <c r="B1103" s="55">
        <v>150</v>
      </c>
    </row>
    <row r="1104" spans="1:2" x14ac:dyDescent="0.25">
      <c r="A1104" s="56">
        <v>43560</v>
      </c>
      <c r="B1104" s="55">
        <v>150</v>
      </c>
    </row>
    <row r="1105" spans="1:2" x14ac:dyDescent="0.25">
      <c r="A1105" s="56">
        <v>43559</v>
      </c>
      <c r="B1105" s="55">
        <v>150</v>
      </c>
    </row>
    <row r="1106" spans="1:2" x14ac:dyDescent="0.25">
      <c r="A1106" s="56">
        <v>43558</v>
      </c>
      <c r="B1106" s="55">
        <v>145</v>
      </c>
    </row>
    <row r="1107" spans="1:2" x14ac:dyDescent="0.25">
      <c r="A1107" s="56">
        <v>43557</v>
      </c>
      <c r="B1107" s="55">
        <v>145</v>
      </c>
    </row>
    <row r="1108" spans="1:2" x14ac:dyDescent="0.25">
      <c r="A1108" s="56">
        <v>43556</v>
      </c>
      <c r="B1108" s="55">
        <v>160</v>
      </c>
    </row>
    <row r="1109" spans="1:2" x14ac:dyDescent="0.25">
      <c r="A1109" s="56">
        <v>43553</v>
      </c>
      <c r="B1109" s="55">
        <v>155</v>
      </c>
    </row>
    <row r="1110" spans="1:2" x14ac:dyDescent="0.25">
      <c r="A1110" s="56">
        <v>43552</v>
      </c>
      <c r="B1110" s="55">
        <v>155</v>
      </c>
    </row>
    <row r="1111" spans="1:2" x14ac:dyDescent="0.25">
      <c r="A1111" s="56">
        <v>43551</v>
      </c>
      <c r="B1111" s="55">
        <v>155</v>
      </c>
    </row>
    <row r="1112" spans="1:2" x14ac:dyDescent="0.25">
      <c r="A1112" s="56">
        <v>43550</v>
      </c>
      <c r="B1112" s="55">
        <v>150</v>
      </c>
    </row>
    <row r="1113" spans="1:2" x14ac:dyDescent="0.25">
      <c r="A1113" s="56">
        <v>43549</v>
      </c>
      <c r="B1113" s="55">
        <v>150</v>
      </c>
    </row>
    <row r="1114" spans="1:2" x14ac:dyDescent="0.25">
      <c r="A1114" s="56">
        <v>43546</v>
      </c>
      <c r="B1114" s="55">
        <v>155</v>
      </c>
    </row>
    <row r="1115" spans="1:2" x14ac:dyDescent="0.25">
      <c r="A1115" s="56">
        <v>43545</v>
      </c>
      <c r="B1115" s="55">
        <v>148</v>
      </c>
    </row>
    <row r="1116" spans="1:2" x14ac:dyDescent="0.25">
      <c r="A1116" s="56">
        <v>43544</v>
      </c>
      <c r="B1116" s="55">
        <v>155</v>
      </c>
    </row>
    <row r="1117" spans="1:2" x14ac:dyDescent="0.25">
      <c r="A1117" s="56">
        <v>43543</v>
      </c>
      <c r="B1117" s="55">
        <v>152</v>
      </c>
    </row>
    <row r="1118" spans="1:2" x14ac:dyDescent="0.25">
      <c r="A1118" s="56">
        <v>43542</v>
      </c>
      <c r="B1118" s="55">
        <v>155</v>
      </c>
    </row>
    <row r="1119" spans="1:2" x14ac:dyDescent="0.25">
      <c r="A1119" s="56">
        <v>43539</v>
      </c>
      <c r="B1119" s="55">
        <v>147</v>
      </c>
    </row>
    <row r="1120" spans="1:2" x14ac:dyDescent="0.25">
      <c r="A1120" s="56">
        <v>43538</v>
      </c>
      <c r="B1120" s="55">
        <v>150</v>
      </c>
    </row>
    <row r="1121" spans="1:2" x14ac:dyDescent="0.25">
      <c r="A1121" s="56">
        <v>43537</v>
      </c>
      <c r="B1121" s="55">
        <v>154</v>
      </c>
    </row>
    <row r="1122" spans="1:2" x14ac:dyDescent="0.25">
      <c r="A1122" s="56">
        <v>43536</v>
      </c>
      <c r="B1122" s="55">
        <v>155</v>
      </c>
    </row>
    <row r="1123" spans="1:2" x14ac:dyDescent="0.25">
      <c r="A1123" s="56">
        <v>43535</v>
      </c>
      <c r="B1123" s="55">
        <v>150</v>
      </c>
    </row>
    <row r="1124" spans="1:2" x14ac:dyDescent="0.25">
      <c r="A1124" s="56">
        <v>43532</v>
      </c>
      <c r="B1124" s="55">
        <v>145</v>
      </c>
    </row>
    <row r="1125" spans="1:2" x14ac:dyDescent="0.25">
      <c r="A1125" s="56">
        <v>43531</v>
      </c>
      <c r="B1125" s="55">
        <v>133</v>
      </c>
    </row>
    <row r="1126" spans="1:2" x14ac:dyDescent="0.25">
      <c r="A1126" s="56">
        <v>43530</v>
      </c>
      <c r="B1126" s="55">
        <v>133</v>
      </c>
    </row>
    <row r="1127" spans="1:2" x14ac:dyDescent="0.25">
      <c r="A1127" s="56">
        <v>43529</v>
      </c>
      <c r="B1127" s="55">
        <v>140</v>
      </c>
    </row>
    <row r="1128" spans="1:2" x14ac:dyDescent="0.25">
      <c r="A1128" s="56">
        <v>43528</v>
      </c>
      <c r="B1128" s="55">
        <v>140</v>
      </c>
    </row>
    <row r="1129" spans="1:2" x14ac:dyDescent="0.25">
      <c r="A1129" s="56">
        <v>43525</v>
      </c>
      <c r="B1129" s="55">
        <v>135</v>
      </c>
    </row>
    <row r="1130" spans="1:2" x14ac:dyDescent="0.25">
      <c r="A1130" s="56">
        <v>43524</v>
      </c>
      <c r="B1130" s="55">
        <v>140</v>
      </c>
    </row>
    <row r="1131" spans="1:2" x14ac:dyDescent="0.25">
      <c r="A1131" s="56">
        <v>43523</v>
      </c>
      <c r="B1131" s="55">
        <v>138</v>
      </c>
    </row>
    <row r="1132" spans="1:2" x14ac:dyDescent="0.25">
      <c r="A1132" s="56">
        <v>43522</v>
      </c>
      <c r="B1132" s="55">
        <v>130</v>
      </c>
    </row>
    <row r="1133" spans="1:2" x14ac:dyDescent="0.25">
      <c r="A1133" s="56">
        <v>43521</v>
      </c>
      <c r="B1133" s="55">
        <v>130</v>
      </c>
    </row>
    <row r="1134" spans="1:2" x14ac:dyDescent="0.25">
      <c r="A1134" s="56">
        <v>43518</v>
      </c>
      <c r="B1134" s="55">
        <v>130</v>
      </c>
    </row>
    <row r="1135" spans="1:2" x14ac:dyDescent="0.25">
      <c r="A1135" s="56">
        <v>43517</v>
      </c>
      <c r="B1135" s="55">
        <v>140</v>
      </c>
    </row>
    <row r="1136" spans="1:2" x14ac:dyDescent="0.25">
      <c r="A1136" s="56">
        <v>43516</v>
      </c>
      <c r="B1136" s="55">
        <v>140</v>
      </c>
    </row>
    <row r="1137" spans="1:2" x14ac:dyDescent="0.25">
      <c r="A1137" s="56">
        <v>43515</v>
      </c>
      <c r="B1137" s="55">
        <v>140</v>
      </c>
    </row>
    <row r="1138" spans="1:2" x14ac:dyDescent="0.25">
      <c r="A1138" s="56">
        <v>43514</v>
      </c>
      <c r="B1138" s="55">
        <v>140</v>
      </c>
    </row>
    <row r="1139" spans="1:2" x14ac:dyDescent="0.25">
      <c r="A1139" s="56">
        <v>43511</v>
      </c>
      <c r="B1139" s="55">
        <v>140</v>
      </c>
    </row>
    <row r="1140" spans="1:2" x14ac:dyDescent="0.25">
      <c r="A1140" s="56">
        <v>43510</v>
      </c>
      <c r="B1140" s="55">
        <v>140</v>
      </c>
    </row>
    <row r="1141" spans="1:2" x14ac:dyDescent="0.25">
      <c r="A1141" s="56">
        <v>43509</v>
      </c>
      <c r="B1141" s="55">
        <v>142</v>
      </c>
    </row>
    <row r="1142" spans="1:2" x14ac:dyDescent="0.25">
      <c r="A1142" s="56">
        <v>43508</v>
      </c>
      <c r="B1142" s="55">
        <v>142</v>
      </c>
    </row>
    <row r="1143" spans="1:2" x14ac:dyDescent="0.25">
      <c r="A1143" s="56">
        <v>43507</v>
      </c>
      <c r="B1143" s="55">
        <v>142</v>
      </c>
    </row>
    <row r="1144" spans="1:2" x14ac:dyDescent="0.25">
      <c r="A1144" s="56">
        <v>43504</v>
      </c>
      <c r="B1144" s="55">
        <v>145</v>
      </c>
    </row>
    <row r="1145" spans="1:2" x14ac:dyDescent="0.25">
      <c r="A1145" s="56">
        <v>43503</v>
      </c>
      <c r="B1145" s="55">
        <v>145</v>
      </c>
    </row>
    <row r="1146" spans="1:2" x14ac:dyDescent="0.25">
      <c r="A1146" s="56">
        <v>43502</v>
      </c>
      <c r="B1146" s="55">
        <v>145</v>
      </c>
    </row>
    <row r="1147" spans="1:2" x14ac:dyDescent="0.25">
      <c r="A1147" s="56">
        <v>43501</v>
      </c>
      <c r="B1147" s="55">
        <v>145</v>
      </c>
    </row>
    <row r="1148" spans="1:2" x14ac:dyDescent="0.25">
      <c r="A1148" s="56">
        <v>43500</v>
      </c>
      <c r="B1148" s="55">
        <v>145</v>
      </c>
    </row>
    <row r="1149" spans="1:2" x14ac:dyDescent="0.25">
      <c r="A1149" s="56">
        <v>43497</v>
      </c>
      <c r="B1149" s="55">
        <v>140</v>
      </c>
    </row>
    <row r="1150" spans="1:2" x14ac:dyDescent="0.25">
      <c r="A1150" s="56">
        <v>43496</v>
      </c>
      <c r="B1150" s="55">
        <v>145</v>
      </c>
    </row>
    <row r="1151" spans="1:2" x14ac:dyDescent="0.25">
      <c r="A1151" s="56">
        <v>43495</v>
      </c>
      <c r="B1151" s="55">
        <v>152</v>
      </c>
    </row>
    <row r="1152" spans="1:2" x14ac:dyDescent="0.25">
      <c r="A1152" s="56">
        <v>43494</v>
      </c>
      <c r="B1152" s="55">
        <v>156</v>
      </c>
    </row>
    <row r="1153" spans="1:2" x14ac:dyDescent="0.25">
      <c r="A1153" s="56">
        <v>43493</v>
      </c>
      <c r="B1153" s="55">
        <v>142</v>
      </c>
    </row>
    <row r="1154" spans="1:2" x14ac:dyDescent="0.25">
      <c r="A1154" s="56">
        <v>43490</v>
      </c>
      <c r="B1154" s="55">
        <v>151</v>
      </c>
    </row>
    <row r="1155" spans="1:2" x14ac:dyDescent="0.25">
      <c r="A1155" s="56">
        <v>43489</v>
      </c>
      <c r="B1155" s="55">
        <v>155</v>
      </c>
    </row>
    <row r="1156" spans="1:2" x14ac:dyDescent="0.25">
      <c r="A1156" s="56">
        <v>43488</v>
      </c>
      <c r="B1156" s="55">
        <v>153</v>
      </c>
    </row>
    <row r="1157" spans="1:2" x14ac:dyDescent="0.25">
      <c r="A1157" s="56">
        <v>43487</v>
      </c>
      <c r="B1157" s="55">
        <v>160</v>
      </c>
    </row>
    <row r="1158" spans="1:2" x14ac:dyDescent="0.25">
      <c r="A1158" s="56">
        <v>43486</v>
      </c>
      <c r="B1158" s="55">
        <v>145</v>
      </c>
    </row>
    <row r="1159" spans="1:2" x14ac:dyDescent="0.25">
      <c r="A1159" s="56">
        <v>43483</v>
      </c>
      <c r="B1159" s="55">
        <v>140</v>
      </c>
    </row>
    <row r="1160" spans="1:2" x14ac:dyDescent="0.25">
      <c r="A1160" s="56">
        <v>43482</v>
      </c>
      <c r="B1160" s="55">
        <v>140</v>
      </c>
    </row>
    <row r="1161" spans="1:2" x14ac:dyDescent="0.25">
      <c r="A1161" s="56">
        <v>43481</v>
      </c>
      <c r="B1161" s="55">
        <v>142</v>
      </c>
    </row>
    <row r="1162" spans="1:2" x14ac:dyDescent="0.25">
      <c r="A1162" s="56">
        <v>43480</v>
      </c>
      <c r="B1162" s="55">
        <v>146</v>
      </c>
    </row>
    <row r="1163" spans="1:2" x14ac:dyDescent="0.25">
      <c r="A1163" s="56">
        <v>43479</v>
      </c>
      <c r="B1163" s="55">
        <v>142</v>
      </c>
    </row>
    <row r="1164" spans="1:2" x14ac:dyDescent="0.25">
      <c r="A1164" s="56">
        <v>43476</v>
      </c>
      <c r="B1164" s="55">
        <v>144</v>
      </c>
    </row>
    <row r="1165" spans="1:2" x14ac:dyDescent="0.25">
      <c r="A1165" s="56">
        <v>43475</v>
      </c>
      <c r="B1165" s="55">
        <v>130</v>
      </c>
    </row>
    <row r="1166" spans="1:2" x14ac:dyDescent="0.25">
      <c r="A1166" s="56">
        <v>43474</v>
      </c>
      <c r="B1166" s="55">
        <v>135</v>
      </c>
    </row>
    <row r="1167" spans="1:2" x14ac:dyDescent="0.25">
      <c r="A1167" s="56">
        <v>43473</v>
      </c>
      <c r="B1167" s="55">
        <v>135</v>
      </c>
    </row>
    <row r="1168" spans="1:2" x14ac:dyDescent="0.25">
      <c r="A1168" s="56">
        <v>43472</v>
      </c>
      <c r="B1168" s="55">
        <v>145</v>
      </c>
    </row>
    <row r="1169" spans="1:2" x14ac:dyDescent="0.25">
      <c r="A1169" s="56">
        <v>43469</v>
      </c>
      <c r="B1169" s="55">
        <v>133</v>
      </c>
    </row>
    <row r="1170" spans="1:2" x14ac:dyDescent="0.25">
      <c r="A1170" s="56">
        <v>43468</v>
      </c>
      <c r="B1170" s="55">
        <v>140</v>
      </c>
    </row>
    <row r="1171" spans="1:2" x14ac:dyDescent="0.25">
      <c r="A1171" s="56">
        <v>43467</v>
      </c>
      <c r="B1171" s="55">
        <v>140</v>
      </c>
    </row>
    <row r="1172" spans="1:2" x14ac:dyDescent="0.25">
      <c r="A1172" s="56">
        <v>43101</v>
      </c>
      <c r="B1172" s="55">
        <v>140</v>
      </c>
    </row>
    <row r="1173" spans="1:2" x14ac:dyDescent="0.25">
      <c r="A1173" s="56">
        <v>43465</v>
      </c>
      <c r="B1173" s="55">
        <v>140</v>
      </c>
    </row>
    <row r="1174" spans="1:2" x14ac:dyDescent="0.25">
      <c r="A1174" s="56">
        <v>43462</v>
      </c>
      <c r="B1174" s="55">
        <v>150</v>
      </c>
    </row>
    <row r="1175" spans="1:2" x14ac:dyDescent="0.25">
      <c r="A1175" s="56">
        <v>43461</v>
      </c>
      <c r="B1175" s="55">
        <v>135</v>
      </c>
    </row>
    <row r="1176" spans="1:2" x14ac:dyDescent="0.25">
      <c r="A1176" s="56">
        <v>43460</v>
      </c>
      <c r="B1176" s="55">
        <v>155</v>
      </c>
    </row>
    <row r="1177" spans="1:2" x14ac:dyDescent="0.25">
      <c r="A1177" s="56">
        <v>43459</v>
      </c>
      <c r="B1177" s="55">
        <v>151</v>
      </c>
    </row>
    <row r="1178" spans="1:2" x14ac:dyDescent="0.25">
      <c r="A1178" s="56">
        <v>43458</v>
      </c>
      <c r="B1178" s="55">
        <v>151</v>
      </c>
    </row>
    <row r="1179" spans="1:2" x14ac:dyDescent="0.25">
      <c r="A1179" s="56">
        <v>43455</v>
      </c>
      <c r="B1179" s="55">
        <v>151</v>
      </c>
    </row>
    <row r="1180" spans="1:2" x14ac:dyDescent="0.25">
      <c r="A1180" s="56">
        <v>43454</v>
      </c>
      <c r="B1180" s="55">
        <v>155</v>
      </c>
    </row>
    <row r="1181" spans="1:2" x14ac:dyDescent="0.25">
      <c r="A1181" s="56">
        <v>43453</v>
      </c>
      <c r="B1181" s="55">
        <v>155</v>
      </c>
    </row>
    <row r="1182" spans="1:2" x14ac:dyDescent="0.25">
      <c r="A1182" s="56">
        <v>43452</v>
      </c>
      <c r="B1182" s="55">
        <v>159</v>
      </c>
    </row>
    <row r="1183" spans="1:2" x14ac:dyDescent="0.25">
      <c r="A1183" s="56">
        <v>43451</v>
      </c>
      <c r="B1183" s="55">
        <v>160</v>
      </c>
    </row>
    <row r="1184" spans="1:2" x14ac:dyDescent="0.25">
      <c r="A1184" s="56">
        <v>43448</v>
      </c>
      <c r="B1184" s="55">
        <v>160</v>
      </c>
    </row>
    <row r="1185" spans="1:2" x14ac:dyDescent="0.25">
      <c r="A1185" s="56">
        <v>43447</v>
      </c>
      <c r="B1185" s="55">
        <v>160</v>
      </c>
    </row>
    <row r="1186" spans="1:2" x14ac:dyDescent="0.25">
      <c r="A1186" s="56">
        <v>43446</v>
      </c>
      <c r="B1186" s="55">
        <v>160</v>
      </c>
    </row>
    <row r="1187" spans="1:2" x14ac:dyDescent="0.25">
      <c r="A1187" s="56">
        <v>43445</v>
      </c>
      <c r="B1187" s="55">
        <v>165</v>
      </c>
    </row>
    <row r="1188" spans="1:2" x14ac:dyDescent="0.25">
      <c r="A1188" s="56">
        <v>43444</v>
      </c>
      <c r="B1188" s="55">
        <v>165</v>
      </c>
    </row>
    <row r="1189" spans="1:2" x14ac:dyDescent="0.25">
      <c r="A1189" s="56">
        <v>43441</v>
      </c>
      <c r="B1189" s="55">
        <v>165</v>
      </c>
    </row>
    <row r="1190" spans="1:2" x14ac:dyDescent="0.25">
      <c r="A1190" s="56">
        <v>43440</v>
      </c>
      <c r="B1190" s="55">
        <v>165</v>
      </c>
    </row>
    <row r="1191" spans="1:2" x14ac:dyDescent="0.25">
      <c r="A1191" s="56">
        <v>43439</v>
      </c>
      <c r="B1191" s="55">
        <v>165</v>
      </c>
    </row>
    <row r="1192" spans="1:2" x14ac:dyDescent="0.25">
      <c r="A1192" s="56">
        <v>43438</v>
      </c>
      <c r="B1192" s="55">
        <v>167</v>
      </c>
    </row>
    <row r="1193" spans="1:2" x14ac:dyDescent="0.25">
      <c r="A1193" s="56">
        <v>43437</v>
      </c>
      <c r="B1193" s="55">
        <v>170</v>
      </c>
    </row>
    <row r="1194" spans="1:2" x14ac:dyDescent="0.25">
      <c r="A1194" s="56">
        <v>43434</v>
      </c>
      <c r="B1194" s="55">
        <v>170</v>
      </c>
    </row>
    <row r="1195" spans="1:2" x14ac:dyDescent="0.25">
      <c r="A1195" s="56">
        <v>43433</v>
      </c>
      <c r="B1195" s="55">
        <v>173</v>
      </c>
    </row>
    <row r="1196" spans="1:2" x14ac:dyDescent="0.25">
      <c r="A1196" s="56">
        <v>43432</v>
      </c>
      <c r="B1196" s="55">
        <v>170</v>
      </c>
    </row>
    <row r="1197" spans="1:2" x14ac:dyDescent="0.25">
      <c r="A1197" s="56">
        <v>43431</v>
      </c>
      <c r="B1197" s="55">
        <v>170</v>
      </c>
    </row>
    <row r="1198" spans="1:2" x14ac:dyDescent="0.25">
      <c r="A1198" s="56">
        <v>43430</v>
      </c>
      <c r="B1198" s="55">
        <v>170</v>
      </c>
    </row>
    <row r="1199" spans="1:2" x14ac:dyDescent="0.25">
      <c r="A1199" s="56">
        <v>43427</v>
      </c>
      <c r="B1199" s="55">
        <v>180</v>
      </c>
    </row>
    <row r="1200" spans="1:2" x14ac:dyDescent="0.25">
      <c r="A1200" s="56">
        <v>43426</v>
      </c>
      <c r="B1200" s="55">
        <v>180</v>
      </c>
    </row>
    <row r="1201" spans="1:2" x14ac:dyDescent="0.25">
      <c r="A1201" s="56">
        <v>43425</v>
      </c>
      <c r="B1201" s="55">
        <v>180</v>
      </c>
    </row>
    <row r="1202" spans="1:2" x14ac:dyDescent="0.25">
      <c r="A1202" s="56">
        <v>43424</v>
      </c>
      <c r="B1202" s="55">
        <v>178</v>
      </c>
    </row>
    <row r="1203" spans="1:2" x14ac:dyDescent="0.25">
      <c r="A1203" s="56">
        <v>43423</v>
      </c>
      <c r="B1203" s="55">
        <v>178</v>
      </c>
    </row>
    <row r="1204" spans="1:2" x14ac:dyDescent="0.25">
      <c r="A1204" s="56">
        <v>43420</v>
      </c>
      <c r="B1204" s="55">
        <v>180</v>
      </c>
    </row>
    <row r="1205" spans="1:2" x14ac:dyDescent="0.25">
      <c r="A1205" s="56">
        <v>43419</v>
      </c>
      <c r="B1205" s="55">
        <v>180</v>
      </c>
    </row>
    <row r="1206" spans="1:2" x14ac:dyDescent="0.25">
      <c r="A1206" s="56">
        <v>43418</v>
      </c>
      <c r="B1206" s="55">
        <v>187</v>
      </c>
    </row>
    <row r="1207" spans="1:2" x14ac:dyDescent="0.25">
      <c r="A1207" s="56">
        <v>43417</v>
      </c>
      <c r="B1207" s="55">
        <v>185</v>
      </c>
    </row>
    <row r="1208" spans="1:2" x14ac:dyDescent="0.25">
      <c r="A1208" s="56">
        <v>43416</v>
      </c>
      <c r="B1208" s="55">
        <v>185</v>
      </c>
    </row>
    <row r="1209" spans="1:2" x14ac:dyDescent="0.25">
      <c r="A1209" s="56">
        <v>43413</v>
      </c>
      <c r="B1209" s="55">
        <v>175</v>
      </c>
    </row>
    <row r="1210" spans="1:2" x14ac:dyDescent="0.25">
      <c r="A1210" s="56">
        <v>43412</v>
      </c>
      <c r="B1210" s="55">
        <v>170</v>
      </c>
    </row>
    <row r="1211" spans="1:2" x14ac:dyDescent="0.25">
      <c r="A1211" s="56">
        <v>43411</v>
      </c>
      <c r="B1211" s="55">
        <v>180</v>
      </c>
    </row>
    <row r="1212" spans="1:2" x14ac:dyDescent="0.25">
      <c r="A1212" s="56">
        <v>43410</v>
      </c>
      <c r="B1212" s="55">
        <v>178</v>
      </c>
    </row>
    <row r="1213" spans="1:2" x14ac:dyDescent="0.25">
      <c r="A1213" s="56">
        <v>43409</v>
      </c>
      <c r="B1213" s="55">
        <v>180</v>
      </c>
    </row>
    <row r="1214" spans="1:2" x14ac:dyDescent="0.25">
      <c r="A1214" s="56">
        <v>43406</v>
      </c>
      <c r="B1214" s="55">
        <v>180</v>
      </c>
    </row>
    <row r="1215" spans="1:2" x14ac:dyDescent="0.25">
      <c r="A1215" s="56">
        <v>43405</v>
      </c>
      <c r="B1215" s="55">
        <v>185</v>
      </c>
    </row>
    <row r="1216" spans="1:2" x14ac:dyDescent="0.25">
      <c r="A1216" s="56">
        <v>43404</v>
      </c>
      <c r="B1216" s="55">
        <v>190</v>
      </c>
    </row>
    <row r="1217" spans="1:2" x14ac:dyDescent="0.25">
      <c r="A1217" s="56">
        <v>43403</v>
      </c>
      <c r="B1217" s="55">
        <v>185</v>
      </c>
    </row>
    <row r="1218" spans="1:2" x14ac:dyDescent="0.25">
      <c r="A1218" s="56">
        <v>43402</v>
      </c>
      <c r="B1218" s="55">
        <v>180</v>
      </c>
    </row>
    <row r="1219" spans="1:2" x14ac:dyDescent="0.25">
      <c r="A1219" s="56">
        <v>43399</v>
      </c>
      <c r="B1219" s="55">
        <v>185</v>
      </c>
    </row>
    <row r="1220" spans="1:2" x14ac:dyDescent="0.25">
      <c r="A1220" s="56">
        <v>43398</v>
      </c>
      <c r="B1220" s="55">
        <v>188</v>
      </c>
    </row>
    <row r="1221" spans="1:2" x14ac:dyDescent="0.25">
      <c r="A1221" s="56">
        <v>43397</v>
      </c>
      <c r="B1221" s="55">
        <v>180</v>
      </c>
    </row>
    <row r="1222" spans="1:2" x14ac:dyDescent="0.25">
      <c r="A1222" s="56">
        <v>43396</v>
      </c>
      <c r="B1222" s="55">
        <v>180</v>
      </c>
    </row>
    <row r="1223" spans="1:2" x14ac:dyDescent="0.25">
      <c r="A1223" s="56">
        <v>43395</v>
      </c>
      <c r="B1223" s="55">
        <v>195</v>
      </c>
    </row>
    <row r="1224" spans="1:2" x14ac:dyDescent="0.25">
      <c r="A1224" s="56">
        <v>43392</v>
      </c>
      <c r="B1224" s="55">
        <v>195</v>
      </c>
    </row>
    <row r="1225" spans="1:2" x14ac:dyDescent="0.25">
      <c r="A1225" s="56">
        <v>43391</v>
      </c>
      <c r="B1225" s="55">
        <v>195</v>
      </c>
    </row>
    <row r="1226" spans="1:2" x14ac:dyDescent="0.25">
      <c r="A1226" s="56">
        <v>43390</v>
      </c>
      <c r="B1226" s="55">
        <v>198</v>
      </c>
    </row>
    <row r="1227" spans="1:2" x14ac:dyDescent="0.25">
      <c r="A1227" s="56">
        <v>43389</v>
      </c>
      <c r="B1227" s="55">
        <v>190</v>
      </c>
    </row>
    <row r="1228" spans="1:2" x14ac:dyDescent="0.25">
      <c r="A1228" s="56">
        <v>43388</v>
      </c>
      <c r="B1228" s="55">
        <v>198</v>
      </c>
    </row>
    <row r="1229" spans="1:2" x14ac:dyDescent="0.25">
      <c r="A1229" s="56">
        <v>43385</v>
      </c>
      <c r="B1229" s="55">
        <v>199.9</v>
      </c>
    </row>
    <row r="1230" spans="1:2" x14ac:dyDescent="0.25">
      <c r="A1230" s="56">
        <v>43384</v>
      </c>
      <c r="B1230" s="55">
        <v>197</v>
      </c>
    </row>
    <row r="1231" spans="1:2" x14ac:dyDescent="0.25">
      <c r="A1231" s="56">
        <v>43383</v>
      </c>
      <c r="B1231" s="55">
        <v>195</v>
      </c>
    </row>
    <row r="1232" spans="1:2" x14ac:dyDescent="0.25">
      <c r="A1232" s="56">
        <v>43382</v>
      </c>
      <c r="B1232" s="55">
        <v>185</v>
      </c>
    </row>
    <row r="1233" spans="1:2" x14ac:dyDescent="0.25">
      <c r="A1233" s="56">
        <v>43381</v>
      </c>
      <c r="B1233" s="55">
        <v>198</v>
      </c>
    </row>
    <row r="1234" spans="1:2" x14ac:dyDescent="0.25">
      <c r="A1234" s="56">
        <v>43378</v>
      </c>
      <c r="B1234" s="55">
        <v>195</v>
      </c>
    </row>
    <row r="1235" spans="1:2" x14ac:dyDescent="0.25">
      <c r="A1235" s="56">
        <v>43377</v>
      </c>
      <c r="B1235" s="55">
        <v>195</v>
      </c>
    </row>
    <row r="1236" spans="1:2" x14ac:dyDescent="0.25">
      <c r="A1236" s="56">
        <v>43376</v>
      </c>
      <c r="B1236" s="55">
        <v>195</v>
      </c>
    </row>
    <row r="1237" spans="1:2" x14ac:dyDescent="0.25">
      <c r="A1237" s="56">
        <v>43375</v>
      </c>
      <c r="B1237" s="55">
        <v>180</v>
      </c>
    </row>
    <row r="1238" spans="1:2" x14ac:dyDescent="0.25">
      <c r="A1238" s="56">
        <v>43374</v>
      </c>
      <c r="B1238" s="55">
        <v>175</v>
      </c>
    </row>
    <row r="1239" spans="1:2" x14ac:dyDescent="0.25">
      <c r="A1239" s="56">
        <v>43371</v>
      </c>
      <c r="B1239" s="55">
        <v>175</v>
      </c>
    </row>
    <row r="1240" spans="1:2" x14ac:dyDescent="0.25">
      <c r="A1240" s="56">
        <v>43370</v>
      </c>
      <c r="B1240" s="55">
        <v>180</v>
      </c>
    </row>
    <row r="1241" spans="1:2" x14ac:dyDescent="0.25">
      <c r="A1241" s="56">
        <v>43369</v>
      </c>
      <c r="B1241" s="55">
        <v>179</v>
      </c>
    </row>
    <row r="1242" spans="1:2" x14ac:dyDescent="0.25">
      <c r="A1242" s="56">
        <v>43368</v>
      </c>
      <c r="B1242" s="55">
        <v>173</v>
      </c>
    </row>
    <row r="1243" spans="1:2" x14ac:dyDescent="0.25">
      <c r="A1243" s="56">
        <v>43367</v>
      </c>
      <c r="B1243" s="55">
        <v>173</v>
      </c>
    </row>
    <row r="1244" spans="1:2" x14ac:dyDescent="0.25">
      <c r="A1244" s="56">
        <v>43364</v>
      </c>
      <c r="B1244" s="55">
        <v>170</v>
      </c>
    </row>
    <row r="1245" spans="1:2" x14ac:dyDescent="0.25">
      <c r="A1245" s="56">
        <v>43363</v>
      </c>
      <c r="B1245" s="55">
        <v>175</v>
      </c>
    </row>
    <row r="1246" spans="1:2" x14ac:dyDescent="0.25">
      <c r="A1246" s="56">
        <v>43362</v>
      </c>
      <c r="B1246" s="55">
        <v>175</v>
      </c>
    </row>
    <row r="1247" spans="1:2" x14ac:dyDescent="0.25">
      <c r="A1247" s="56">
        <v>43361</v>
      </c>
      <c r="B1247" s="55">
        <v>175</v>
      </c>
    </row>
    <row r="1248" spans="1:2" x14ac:dyDescent="0.25">
      <c r="A1248" s="56">
        <v>43360</v>
      </c>
      <c r="B1248" s="55">
        <v>175</v>
      </c>
    </row>
    <row r="1249" spans="1:2" x14ac:dyDescent="0.25">
      <c r="A1249" s="56">
        <v>43357</v>
      </c>
      <c r="B1249" s="55">
        <v>177</v>
      </c>
    </row>
    <row r="1250" spans="1:2" x14ac:dyDescent="0.25">
      <c r="A1250" s="56">
        <v>43356</v>
      </c>
      <c r="B1250" s="55">
        <v>170</v>
      </c>
    </row>
    <row r="1251" spans="1:2" x14ac:dyDescent="0.25">
      <c r="A1251" s="56">
        <v>43355</v>
      </c>
      <c r="B1251" s="55">
        <v>170</v>
      </c>
    </row>
    <row r="1252" spans="1:2" x14ac:dyDescent="0.25">
      <c r="A1252" s="56">
        <v>43354</v>
      </c>
      <c r="B1252" s="55">
        <v>172</v>
      </c>
    </row>
    <row r="1253" spans="1:2" x14ac:dyDescent="0.25">
      <c r="A1253" s="56">
        <v>43353</v>
      </c>
      <c r="B1253" s="55">
        <v>172</v>
      </c>
    </row>
    <row r="1254" spans="1:2" x14ac:dyDescent="0.25">
      <c r="A1254" s="56">
        <v>43350</v>
      </c>
      <c r="B1254" s="55">
        <v>172</v>
      </c>
    </row>
    <row r="1255" spans="1:2" x14ac:dyDescent="0.25">
      <c r="A1255" s="56">
        <v>43349</v>
      </c>
      <c r="B1255" s="55">
        <v>175</v>
      </c>
    </row>
    <row r="1256" spans="1:2" x14ac:dyDescent="0.25">
      <c r="A1256" s="56">
        <v>43348</v>
      </c>
      <c r="B1256" s="55">
        <v>170</v>
      </c>
    </row>
    <row r="1257" spans="1:2" x14ac:dyDescent="0.25">
      <c r="A1257" s="56">
        <v>43347</v>
      </c>
      <c r="B1257" s="55">
        <v>170</v>
      </c>
    </row>
    <row r="1258" spans="1:2" x14ac:dyDescent="0.25">
      <c r="A1258" s="56">
        <v>43346</v>
      </c>
      <c r="B1258" s="55">
        <v>170</v>
      </c>
    </row>
    <row r="1259" spans="1:2" x14ac:dyDescent="0.25">
      <c r="A1259" s="56">
        <v>43343</v>
      </c>
      <c r="B1259" s="55">
        <v>165</v>
      </c>
    </row>
    <row r="1260" spans="1:2" x14ac:dyDescent="0.25">
      <c r="A1260" s="56">
        <v>43342</v>
      </c>
      <c r="B1260" s="55">
        <v>165</v>
      </c>
    </row>
    <row r="1261" spans="1:2" x14ac:dyDescent="0.25">
      <c r="A1261" s="56">
        <v>43341</v>
      </c>
      <c r="B1261" s="55">
        <v>165</v>
      </c>
    </row>
    <row r="1262" spans="1:2" x14ac:dyDescent="0.25">
      <c r="A1262" s="56">
        <v>43340</v>
      </c>
      <c r="B1262" s="55">
        <v>167</v>
      </c>
    </row>
    <row r="1263" spans="1:2" x14ac:dyDescent="0.25">
      <c r="A1263" s="56">
        <v>43339</v>
      </c>
      <c r="B1263" s="55">
        <v>170</v>
      </c>
    </row>
    <row r="1264" spans="1:2" x14ac:dyDescent="0.25">
      <c r="A1264" s="56">
        <v>43336</v>
      </c>
      <c r="B1264" s="55">
        <v>175</v>
      </c>
    </row>
    <row r="1265" spans="1:2" x14ac:dyDescent="0.25">
      <c r="A1265" s="56">
        <v>43335</v>
      </c>
      <c r="B1265" s="55">
        <v>180</v>
      </c>
    </row>
    <row r="1266" spans="1:2" x14ac:dyDescent="0.25">
      <c r="A1266" s="56">
        <v>43334</v>
      </c>
      <c r="B1266" s="55">
        <v>165</v>
      </c>
    </row>
    <row r="1267" spans="1:2" x14ac:dyDescent="0.25">
      <c r="A1267" s="56">
        <v>43333</v>
      </c>
      <c r="B1267" s="55">
        <v>165</v>
      </c>
    </row>
    <row r="1268" spans="1:2" x14ac:dyDescent="0.25">
      <c r="A1268" s="56">
        <v>43332</v>
      </c>
      <c r="B1268" s="55">
        <v>165</v>
      </c>
    </row>
    <row r="1269" spans="1:2" x14ac:dyDescent="0.25">
      <c r="A1269" s="56">
        <v>43329</v>
      </c>
      <c r="B1269" s="55">
        <v>168</v>
      </c>
    </row>
    <row r="1270" spans="1:2" x14ac:dyDescent="0.25">
      <c r="A1270" s="56">
        <v>43328</v>
      </c>
      <c r="B1270" s="55">
        <v>168</v>
      </c>
    </row>
    <row r="1271" spans="1:2" x14ac:dyDescent="0.25">
      <c r="A1271" s="56">
        <v>43327</v>
      </c>
      <c r="B1271" s="55">
        <v>170</v>
      </c>
    </row>
    <row r="1272" spans="1:2" x14ac:dyDescent="0.25">
      <c r="A1272" s="56">
        <v>43326</v>
      </c>
      <c r="B1272" s="55">
        <v>170</v>
      </c>
    </row>
    <row r="1273" spans="1:2" x14ac:dyDescent="0.25">
      <c r="A1273" s="56">
        <v>43325</v>
      </c>
      <c r="B1273" s="55">
        <v>175</v>
      </c>
    </row>
    <row r="1274" spans="1:2" x14ac:dyDescent="0.25">
      <c r="A1274" s="56">
        <v>43322</v>
      </c>
      <c r="B1274" s="55">
        <v>170</v>
      </c>
    </row>
    <row r="1275" spans="1:2" x14ac:dyDescent="0.25">
      <c r="A1275" s="56">
        <v>43321</v>
      </c>
      <c r="B1275" s="55">
        <v>170</v>
      </c>
    </row>
    <row r="1276" spans="1:2" x14ac:dyDescent="0.25">
      <c r="A1276" s="56">
        <v>43320</v>
      </c>
      <c r="B1276" s="55">
        <v>170</v>
      </c>
    </row>
    <row r="1277" spans="1:2" x14ac:dyDescent="0.25">
      <c r="A1277" s="56">
        <v>43319</v>
      </c>
      <c r="B1277" s="55">
        <v>173</v>
      </c>
    </row>
    <row r="1278" spans="1:2" x14ac:dyDescent="0.25">
      <c r="A1278" s="56">
        <v>43318</v>
      </c>
      <c r="B1278" s="55">
        <v>165</v>
      </c>
    </row>
    <row r="1279" spans="1:2" x14ac:dyDescent="0.25">
      <c r="A1279" s="56">
        <v>43315</v>
      </c>
      <c r="B1279" s="55">
        <v>160</v>
      </c>
    </row>
    <row r="1280" spans="1:2" x14ac:dyDescent="0.25">
      <c r="A1280" s="56">
        <v>43314</v>
      </c>
      <c r="B1280" s="55">
        <v>155</v>
      </c>
    </row>
    <row r="1281" spans="1:2" x14ac:dyDescent="0.25">
      <c r="A1281" s="56">
        <v>43313</v>
      </c>
      <c r="B1281" s="55">
        <v>160</v>
      </c>
    </row>
    <row r="1282" spans="1:2" x14ac:dyDescent="0.25">
      <c r="A1282" s="56">
        <v>43312</v>
      </c>
      <c r="B1282" s="55">
        <v>160</v>
      </c>
    </row>
    <row r="1283" spans="1:2" x14ac:dyDescent="0.25">
      <c r="A1283" s="56">
        <v>43311</v>
      </c>
      <c r="B1283" s="55">
        <v>168</v>
      </c>
    </row>
    <row r="1284" spans="1:2" x14ac:dyDescent="0.25">
      <c r="A1284" s="56">
        <v>43308</v>
      </c>
      <c r="B1284" s="55">
        <v>165</v>
      </c>
    </row>
    <row r="1285" spans="1:2" x14ac:dyDescent="0.25">
      <c r="A1285" s="56">
        <v>43307</v>
      </c>
      <c r="B1285" s="55">
        <v>173</v>
      </c>
    </row>
    <row r="1286" spans="1:2" x14ac:dyDescent="0.25">
      <c r="A1286" s="56">
        <v>43306</v>
      </c>
      <c r="B1286" s="55">
        <v>175</v>
      </c>
    </row>
    <row r="1287" spans="1:2" x14ac:dyDescent="0.25">
      <c r="A1287" s="56">
        <v>43305</v>
      </c>
      <c r="B1287" s="55">
        <v>175</v>
      </c>
    </row>
    <row r="1288" spans="1:2" x14ac:dyDescent="0.25">
      <c r="A1288" s="56">
        <v>43304</v>
      </c>
      <c r="B1288" s="55">
        <v>175</v>
      </c>
    </row>
    <row r="1289" spans="1:2" x14ac:dyDescent="0.25">
      <c r="A1289" s="56">
        <v>43301</v>
      </c>
      <c r="B1289" s="55">
        <v>170</v>
      </c>
    </row>
    <row r="1290" spans="1:2" x14ac:dyDescent="0.25">
      <c r="A1290" s="56">
        <v>43300</v>
      </c>
      <c r="B1290" s="55">
        <v>170</v>
      </c>
    </row>
    <row r="1291" spans="1:2" x14ac:dyDescent="0.25">
      <c r="A1291" s="56">
        <v>43299</v>
      </c>
      <c r="B1291" s="55">
        <v>170</v>
      </c>
    </row>
    <row r="1292" spans="1:2" x14ac:dyDescent="0.25">
      <c r="A1292" s="56">
        <v>43298</v>
      </c>
      <c r="B1292" s="55">
        <v>170</v>
      </c>
    </row>
    <row r="1293" spans="1:2" x14ac:dyDescent="0.25">
      <c r="A1293" s="56">
        <v>43297</v>
      </c>
      <c r="B1293" s="55">
        <v>173</v>
      </c>
    </row>
    <row r="1294" spans="1:2" x14ac:dyDescent="0.25">
      <c r="A1294" s="56">
        <v>43294</v>
      </c>
      <c r="B1294" s="55">
        <v>170</v>
      </c>
    </row>
    <row r="1295" spans="1:2" x14ac:dyDescent="0.25">
      <c r="A1295" s="56">
        <v>43293</v>
      </c>
      <c r="B1295" s="55">
        <v>172</v>
      </c>
    </row>
    <row r="1296" spans="1:2" x14ac:dyDescent="0.25">
      <c r="A1296" s="56">
        <v>43292</v>
      </c>
      <c r="B1296" s="55">
        <v>170</v>
      </c>
    </row>
    <row r="1297" spans="1:2" x14ac:dyDescent="0.25">
      <c r="A1297" s="56">
        <v>43291</v>
      </c>
      <c r="B1297" s="55">
        <v>170</v>
      </c>
    </row>
    <row r="1298" spans="1:2" x14ac:dyDescent="0.25">
      <c r="A1298" s="56">
        <v>43290</v>
      </c>
      <c r="B1298" s="55">
        <v>165</v>
      </c>
    </row>
    <row r="1299" spans="1:2" x14ac:dyDescent="0.25">
      <c r="A1299" s="56">
        <v>43287</v>
      </c>
      <c r="B1299" s="55">
        <v>175</v>
      </c>
    </row>
    <row r="1300" spans="1:2" x14ac:dyDescent="0.25">
      <c r="A1300" s="56">
        <v>43286</v>
      </c>
      <c r="B1300" s="55">
        <v>180</v>
      </c>
    </row>
    <row r="1301" spans="1:2" x14ac:dyDescent="0.25">
      <c r="A1301" s="56">
        <v>43285</v>
      </c>
      <c r="B1301" s="55">
        <v>185</v>
      </c>
    </row>
    <row r="1302" spans="1:2" x14ac:dyDescent="0.25">
      <c r="A1302" s="56">
        <v>43284</v>
      </c>
      <c r="B1302" s="55">
        <v>180</v>
      </c>
    </row>
    <row r="1303" spans="1:2" x14ac:dyDescent="0.25">
      <c r="A1303" s="56">
        <v>43283</v>
      </c>
      <c r="B1303" s="55">
        <v>180</v>
      </c>
    </row>
    <row r="1304" spans="1:2" x14ac:dyDescent="0.25">
      <c r="A1304" s="56">
        <v>43280</v>
      </c>
      <c r="B1304" s="55">
        <v>170</v>
      </c>
    </row>
    <row r="1305" spans="1:2" x14ac:dyDescent="0.25">
      <c r="A1305" s="56">
        <v>43279</v>
      </c>
      <c r="B1305" s="55">
        <v>183</v>
      </c>
    </row>
    <row r="1306" spans="1:2" x14ac:dyDescent="0.25">
      <c r="A1306" s="56">
        <v>43278</v>
      </c>
      <c r="B1306" s="55">
        <v>175</v>
      </c>
    </row>
    <row r="1307" spans="1:2" x14ac:dyDescent="0.25">
      <c r="A1307" s="56">
        <v>43277</v>
      </c>
      <c r="B1307" s="55">
        <v>175</v>
      </c>
    </row>
    <row r="1308" spans="1:2" x14ac:dyDescent="0.25">
      <c r="A1308" s="56">
        <v>43276</v>
      </c>
      <c r="B1308" s="55">
        <v>175</v>
      </c>
    </row>
    <row r="1309" spans="1:2" x14ac:dyDescent="0.25">
      <c r="A1309" s="56">
        <v>43273</v>
      </c>
      <c r="B1309" s="55">
        <v>175</v>
      </c>
    </row>
    <row r="1310" spans="1:2" x14ac:dyDescent="0.25">
      <c r="A1310" s="56">
        <v>43272</v>
      </c>
      <c r="B1310" s="55">
        <v>165</v>
      </c>
    </row>
    <row r="1311" spans="1:2" x14ac:dyDescent="0.25">
      <c r="A1311" s="56">
        <v>43271</v>
      </c>
      <c r="B1311" s="55">
        <v>165</v>
      </c>
    </row>
    <row r="1312" spans="1:2" x14ac:dyDescent="0.25">
      <c r="A1312" s="56">
        <v>43270</v>
      </c>
      <c r="B1312" s="55">
        <v>165</v>
      </c>
    </row>
    <row r="1313" spans="1:2" x14ac:dyDescent="0.25">
      <c r="A1313" s="56">
        <v>43269</v>
      </c>
      <c r="B1313" s="55">
        <v>165</v>
      </c>
    </row>
    <row r="1314" spans="1:2" x14ac:dyDescent="0.25">
      <c r="A1314" s="56">
        <v>43266</v>
      </c>
      <c r="B1314" s="55">
        <v>165</v>
      </c>
    </row>
    <row r="1315" spans="1:2" x14ac:dyDescent="0.25">
      <c r="A1315" s="56">
        <v>43265</v>
      </c>
      <c r="B1315" s="55">
        <v>165</v>
      </c>
    </row>
    <row r="1316" spans="1:2" x14ac:dyDescent="0.25">
      <c r="A1316" s="56">
        <v>43264</v>
      </c>
      <c r="B1316" s="55">
        <v>165</v>
      </c>
    </row>
    <row r="1317" spans="1:2" x14ac:dyDescent="0.25">
      <c r="A1317" s="56">
        <v>43263</v>
      </c>
      <c r="B1317" s="55">
        <v>165</v>
      </c>
    </row>
    <row r="1318" spans="1:2" x14ac:dyDescent="0.25">
      <c r="A1318" s="56">
        <v>43262</v>
      </c>
      <c r="B1318" s="55">
        <v>165</v>
      </c>
    </row>
    <row r="1319" spans="1:2" x14ac:dyDescent="0.25">
      <c r="A1319" s="56">
        <v>43259</v>
      </c>
      <c r="B1319" s="55">
        <v>165</v>
      </c>
    </row>
    <row r="1320" spans="1:2" x14ac:dyDescent="0.25">
      <c r="A1320" s="56">
        <v>43258</v>
      </c>
      <c r="B1320" s="55">
        <v>155</v>
      </c>
    </row>
    <row r="1321" spans="1:2" x14ac:dyDescent="0.25">
      <c r="A1321" s="56">
        <v>43257</v>
      </c>
      <c r="B1321" s="55">
        <v>165</v>
      </c>
    </row>
    <row r="1322" spans="1:2" x14ac:dyDescent="0.25">
      <c r="A1322" s="56">
        <v>43256</v>
      </c>
      <c r="B1322" s="55">
        <v>164.9</v>
      </c>
    </row>
    <row r="1323" spans="1:2" x14ac:dyDescent="0.25">
      <c r="A1323" s="56">
        <v>43255</v>
      </c>
      <c r="B1323" s="55">
        <v>163.9</v>
      </c>
    </row>
    <row r="1324" spans="1:2" x14ac:dyDescent="0.25">
      <c r="A1324" s="56">
        <v>43252</v>
      </c>
      <c r="B1324" s="55">
        <v>160</v>
      </c>
    </row>
    <row r="1325" spans="1:2" x14ac:dyDescent="0.25">
      <c r="A1325" s="56">
        <v>43251</v>
      </c>
      <c r="B1325" s="55">
        <v>160</v>
      </c>
    </row>
    <row r="1326" spans="1:2" x14ac:dyDescent="0.25">
      <c r="A1326" s="56">
        <v>43250</v>
      </c>
      <c r="B1326" s="55">
        <v>162</v>
      </c>
    </row>
    <row r="1327" spans="1:2" x14ac:dyDescent="0.25">
      <c r="A1327" s="56">
        <v>43249</v>
      </c>
      <c r="B1327" s="55">
        <v>160</v>
      </c>
    </row>
    <row r="1328" spans="1:2" x14ac:dyDescent="0.25">
      <c r="A1328" s="56">
        <v>43248</v>
      </c>
      <c r="B1328" s="55">
        <v>160</v>
      </c>
    </row>
    <row r="1329" spans="1:2" x14ac:dyDescent="0.25">
      <c r="A1329" s="56">
        <v>43245</v>
      </c>
      <c r="B1329" s="55">
        <v>165</v>
      </c>
    </row>
    <row r="1330" spans="1:2" x14ac:dyDescent="0.25">
      <c r="A1330" s="56">
        <v>43244</v>
      </c>
      <c r="B1330" s="55">
        <v>165</v>
      </c>
    </row>
    <row r="1331" spans="1:2" x14ac:dyDescent="0.25">
      <c r="A1331" s="56">
        <v>43243</v>
      </c>
      <c r="B1331" s="55">
        <v>166.9</v>
      </c>
    </row>
    <row r="1332" spans="1:2" x14ac:dyDescent="0.25">
      <c r="A1332" s="56">
        <v>43242</v>
      </c>
      <c r="B1332" s="55">
        <v>155</v>
      </c>
    </row>
    <row r="1333" spans="1:2" x14ac:dyDescent="0.25">
      <c r="A1333" s="56">
        <v>43241</v>
      </c>
      <c r="B1333" s="55">
        <v>162</v>
      </c>
    </row>
    <row r="1334" spans="1:2" x14ac:dyDescent="0.25">
      <c r="A1334" s="56">
        <v>43238</v>
      </c>
      <c r="B1334" s="55">
        <v>162</v>
      </c>
    </row>
    <row r="1335" spans="1:2" x14ac:dyDescent="0.25">
      <c r="A1335" s="56">
        <v>43237</v>
      </c>
      <c r="B1335" s="55">
        <v>160</v>
      </c>
    </row>
    <row r="1336" spans="1:2" x14ac:dyDescent="0.25">
      <c r="A1336" s="56">
        <v>43236</v>
      </c>
      <c r="B1336" s="55">
        <v>165</v>
      </c>
    </row>
    <row r="1337" spans="1:2" x14ac:dyDescent="0.25">
      <c r="A1337" s="56">
        <v>43235</v>
      </c>
      <c r="B1337" s="55">
        <v>160</v>
      </c>
    </row>
    <row r="1338" spans="1:2" x14ac:dyDescent="0.25">
      <c r="A1338" s="56">
        <v>43234</v>
      </c>
      <c r="B1338" s="55">
        <v>160</v>
      </c>
    </row>
    <row r="1339" spans="1:2" x14ac:dyDescent="0.25">
      <c r="A1339" s="56">
        <v>43231</v>
      </c>
      <c r="B1339" s="55">
        <v>180</v>
      </c>
    </row>
    <row r="1340" spans="1:2" x14ac:dyDescent="0.25">
      <c r="A1340" s="56">
        <v>43230</v>
      </c>
      <c r="B1340" s="55">
        <v>195</v>
      </c>
    </row>
    <row r="1341" spans="1:2" x14ac:dyDescent="0.25">
      <c r="A1341" s="56">
        <v>43229</v>
      </c>
      <c r="B1341" s="55">
        <v>195</v>
      </c>
    </row>
    <row r="1342" spans="1:2" x14ac:dyDescent="0.25">
      <c r="A1342" s="56">
        <v>43228</v>
      </c>
      <c r="B1342" s="55">
        <v>200</v>
      </c>
    </row>
    <row r="1343" spans="1:2" x14ac:dyDescent="0.25">
      <c r="A1343" s="56">
        <v>43227</v>
      </c>
      <c r="B1343" s="55">
        <v>195</v>
      </c>
    </row>
    <row r="1344" spans="1:2" x14ac:dyDescent="0.25">
      <c r="A1344" s="56">
        <v>43224</v>
      </c>
      <c r="B1344" s="55">
        <v>159.9</v>
      </c>
    </row>
    <row r="1345" spans="1:2" x14ac:dyDescent="0.25">
      <c r="A1345" s="56">
        <v>43223</v>
      </c>
      <c r="B1345" s="55">
        <v>155</v>
      </c>
    </row>
    <row r="1346" spans="1:2" x14ac:dyDescent="0.25">
      <c r="A1346" s="56">
        <v>43222</v>
      </c>
      <c r="B1346" s="55">
        <v>145</v>
      </c>
    </row>
    <row r="1347" spans="1:2" x14ac:dyDescent="0.25">
      <c r="A1347" s="56">
        <v>43221</v>
      </c>
      <c r="B1347" s="55">
        <v>145</v>
      </c>
    </row>
    <row r="1348" spans="1:2" x14ac:dyDescent="0.25">
      <c r="A1348" s="56">
        <v>43220</v>
      </c>
      <c r="B1348" s="55">
        <v>145</v>
      </c>
    </row>
    <row r="1349" spans="1:2" x14ac:dyDescent="0.25">
      <c r="A1349" s="56">
        <v>43217</v>
      </c>
      <c r="B1349" s="55">
        <v>145</v>
      </c>
    </row>
    <row r="1350" spans="1:2" x14ac:dyDescent="0.25">
      <c r="A1350" s="56">
        <v>43216</v>
      </c>
      <c r="B1350" s="55">
        <v>145</v>
      </c>
    </row>
    <row r="1351" spans="1:2" x14ac:dyDescent="0.25">
      <c r="A1351" s="56">
        <v>43215</v>
      </c>
      <c r="B1351" s="55">
        <v>145</v>
      </c>
    </row>
    <row r="1352" spans="1:2" x14ac:dyDescent="0.25">
      <c r="A1352" s="56">
        <v>43214</v>
      </c>
      <c r="B1352" s="55">
        <v>130</v>
      </c>
    </row>
    <row r="1353" spans="1:2" x14ac:dyDescent="0.25">
      <c r="A1353" s="56">
        <v>43213</v>
      </c>
      <c r="B1353" s="55">
        <v>123</v>
      </c>
    </row>
    <row r="1354" spans="1:2" x14ac:dyDescent="0.25">
      <c r="A1354" s="56">
        <v>43210</v>
      </c>
      <c r="B1354" s="55">
        <v>108</v>
      </c>
    </row>
    <row r="1355" spans="1:2" x14ac:dyDescent="0.25">
      <c r="A1355" s="56">
        <v>43209</v>
      </c>
      <c r="B1355" s="55">
        <v>108.9</v>
      </c>
    </row>
    <row r="1356" spans="1:2" x14ac:dyDescent="0.25">
      <c r="A1356" s="56">
        <v>43208</v>
      </c>
      <c r="B1356" s="55">
        <v>107</v>
      </c>
    </row>
    <row r="1357" spans="1:2" x14ac:dyDescent="0.25">
      <c r="A1357" s="56">
        <v>43207</v>
      </c>
      <c r="B1357" s="55">
        <v>107.9</v>
      </c>
    </row>
    <row r="1358" spans="1:2" x14ac:dyDescent="0.25">
      <c r="A1358" s="56">
        <v>43206</v>
      </c>
      <c r="B1358" s="55">
        <v>105.9</v>
      </c>
    </row>
    <row r="1359" spans="1:2" x14ac:dyDescent="0.25">
      <c r="A1359" s="56">
        <v>43203</v>
      </c>
      <c r="B1359" s="55">
        <v>103</v>
      </c>
    </row>
    <row r="1360" spans="1:2" x14ac:dyDescent="0.25">
      <c r="A1360" s="56">
        <v>43202</v>
      </c>
      <c r="B1360" s="55">
        <v>102</v>
      </c>
    </row>
    <row r="1361" spans="1:2" x14ac:dyDescent="0.25">
      <c r="A1361" s="56">
        <v>43201</v>
      </c>
      <c r="B1361" s="55">
        <v>101</v>
      </c>
    </row>
    <row r="1362" spans="1:2" x14ac:dyDescent="0.25">
      <c r="A1362" s="56">
        <v>43200</v>
      </c>
      <c r="B1362" s="55">
        <v>101</v>
      </c>
    </row>
    <row r="1363" spans="1:2" x14ac:dyDescent="0.25">
      <c r="A1363" s="56">
        <v>43199</v>
      </c>
      <c r="B1363" s="55">
        <v>100</v>
      </c>
    </row>
    <row r="1364" spans="1:2" x14ac:dyDescent="0.25">
      <c r="A1364" s="56">
        <v>43196</v>
      </c>
      <c r="B1364" s="55">
        <v>100</v>
      </c>
    </row>
    <row r="1365" spans="1:2" x14ac:dyDescent="0.25">
      <c r="A1365" s="56">
        <v>43195</v>
      </c>
      <c r="B1365" s="55">
        <v>100</v>
      </c>
    </row>
    <row r="1366" spans="1:2" x14ac:dyDescent="0.25">
      <c r="A1366" s="56">
        <v>43194</v>
      </c>
      <c r="B1366" s="55">
        <v>101</v>
      </c>
    </row>
    <row r="1367" spans="1:2" x14ac:dyDescent="0.25">
      <c r="A1367" s="56">
        <v>43193</v>
      </c>
      <c r="B1367" s="55">
        <v>101</v>
      </c>
    </row>
    <row r="1368" spans="1:2" x14ac:dyDescent="0.25">
      <c r="A1368" s="56">
        <v>43192</v>
      </c>
      <c r="B1368" s="55">
        <v>100</v>
      </c>
    </row>
    <row r="1369" spans="1:2" x14ac:dyDescent="0.25">
      <c r="A1369" s="56">
        <v>43189</v>
      </c>
      <c r="B1369" s="55">
        <v>98</v>
      </c>
    </row>
    <row r="1370" spans="1:2" x14ac:dyDescent="0.25">
      <c r="A1370" s="56">
        <v>43188</v>
      </c>
      <c r="B1370" s="55">
        <v>98</v>
      </c>
    </row>
    <row r="1371" spans="1:2" x14ac:dyDescent="0.25">
      <c r="A1371" s="56">
        <v>43187</v>
      </c>
      <c r="B1371" s="55">
        <v>98</v>
      </c>
    </row>
    <row r="1372" spans="1:2" x14ac:dyDescent="0.25">
      <c r="A1372" s="56">
        <v>43186</v>
      </c>
      <c r="B1372" s="55">
        <v>100</v>
      </c>
    </row>
    <row r="1373" spans="1:2" x14ac:dyDescent="0.25">
      <c r="A1373" s="56">
        <v>43185</v>
      </c>
      <c r="B1373" s="55">
        <v>100</v>
      </c>
    </row>
    <row r="1374" spans="1:2" x14ac:dyDescent="0.25">
      <c r="A1374" s="56">
        <v>43182</v>
      </c>
      <c r="B1374" s="55">
        <v>100</v>
      </c>
    </row>
    <row r="1375" spans="1:2" x14ac:dyDescent="0.25">
      <c r="A1375" s="56">
        <v>43181</v>
      </c>
      <c r="B1375" s="55">
        <v>95</v>
      </c>
    </row>
    <row r="1376" spans="1:2" x14ac:dyDescent="0.25">
      <c r="A1376" s="56">
        <v>43180</v>
      </c>
      <c r="B1376" s="55">
        <v>98</v>
      </c>
    </row>
    <row r="1377" spans="1:2" x14ac:dyDescent="0.25">
      <c r="A1377" s="56">
        <v>43179</v>
      </c>
      <c r="B1377" s="55">
        <v>99</v>
      </c>
    </row>
    <row r="1378" spans="1:2" x14ac:dyDescent="0.25">
      <c r="A1378" s="56">
        <v>43178</v>
      </c>
      <c r="B1378" s="55">
        <v>99</v>
      </c>
    </row>
    <row r="1379" spans="1:2" x14ac:dyDescent="0.25">
      <c r="A1379" s="56">
        <v>43175</v>
      </c>
      <c r="B1379" s="55">
        <v>100</v>
      </c>
    </row>
    <row r="1380" spans="1:2" x14ac:dyDescent="0.25">
      <c r="A1380" s="56">
        <v>43174</v>
      </c>
      <c r="B1380" s="55">
        <v>101</v>
      </c>
    </row>
    <row r="1381" spans="1:2" x14ac:dyDescent="0.25">
      <c r="A1381" s="56">
        <v>43173</v>
      </c>
      <c r="B1381" s="55">
        <v>100</v>
      </c>
    </row>
    <row r="1382" spans="1:2" x14ac:dyDescent="0.25">
      <c r="A1382" s="56">
        <v>43172</v>
      </c>
      <c r="B1382" s="55">
        <v>100</v>
      </c>
    </row>
    <row r="1383" spans="1:2" x14ac:dyDescent="0.25">
      <c r="A1383" s="56">
        <v>43171</v>
      </c>
      <c r="B1383" s="55">
        <v>107</v>
      </c>
    </row>
    <row r="1384" spans="1:2" x14ac:dyDescent="0.25">
      <c r="A1384" s="56">
        <v>43168</v>
      </c>
      <c r="B1384" s="55">
        <v>112</v>
      </c>
    </row>
    <row r="1385" spans="1:2" x14ac:dyDescent="0.25">
      <c r="A1385" s="56">
        <v>43167</v>
      </c>
      <c r="B1385" s="55">
        <v>100</v>
      </c>
    </row>
    <row r="1386" spans="1:2" x14ac:dyDescent="0.25">
      <c r="A1386" s="56">
        <v>43166</v>
      </c>
      <c r="B1386" s="55">
        <v>100</v>
      </c>
    </row>
    <row r="1387" spans="1:2" x14ac:dyDescent="0.25">
      <c r="A1387" s="56">
        <v>43165</v>
      </c>
      <c r="B1387" s="55">
        <v>105</v>
      </c>
    </row>
    <row r="1388" spans="1:2" x14ac:dyDescent="0.25">
      <c r="A1388" s="56">
        <v>43164</v>
      </c>
      <c r="B1388" s="55">
        <v>90</v>
      </c>
    </row>
    <row r="1389" spans="1:2" x14ac:dyDescent="0.25">
      <c r="A1389" s="56">
        <v>43161</v>
      </c>
      <c r="B1389" s="55">
        <v>84</v>
      </c>
    </row>
    <row r="1390" spans="1:2" x14ac:dyDescent="0.25">
      <c r="A1390" s="56">
        <v>43160</v>
      </c>
      <c r="B1390" s="55">
        <v>85</v>
      </c>
    </row>
    <row r="1391" spans="1:2" x14ac:dyDescent="0.25">
      <c r="A1391" s="56">
        <v>43159</v>
      </c>
      <c r="B1391" s="55">
        <v>82</v>
      </c>
    </row>
    <row r="1392" spans="1:2" x14ac:dyDescent="0.25">
      <c r="A1392" s="56">
        <v>43158</v>
      </c>
      <c r="B1392" s="55">
        <v>83</v>
      </c>
    </row>
    <row r="1393" spans="1:2" x14ac:dyDescent="0.25">
      <c r="A1393" s="56">
        <v>43157</v>
      </c>
      <c r="B1393" s="55">
        <v>78</v>
      </c>
    </row>
    <row r="1394" spans="1:2" x14ac:dyDescent="0.25">
      <c r="A1394" s="56">
        <v>43154</v>
      </c>
      <c r="B1394" s="55">
        <v>80</v>
      </c>
    </row>
    <row r="1395" spans="1:2" x14ac:dyDescent="0.25">
      <c r="A1395" s="56">
        <v>43153</v>
      </c>
      <c r="B1395" s="55">
        <v>79</v>
      </c>
    </row>
    <row r="1396" spans="1:2" x14ac:dyDescent="0.25">
      <c r="A1396" s="56">
        <v>43152</v>
      </c>
      <c r="B1396" s="55">
        <v>76</v>
      </c>
    </row>
    <row r="1397" spans="1:2" x14ac:dyDescent="0.25">
      <c r="A1397" s="56">
        <v>43151</v>
      </c>
      <c r="B1397" s="55">
        <v>76</v>
      </c>
    </row>
    <row r="1398" spans="1:2" x14ac:dyDescent="0.25">
      <c r="A1398" s="56">
        <v>43150</v>
      </c>
      <c r="B1398" s="55">
        <v>74</v>
      </c>
    </row>
    <row r="1399" spans="1:2" x14ac:dyDescent="0.25">
      <c r="A1399" s="56">
        <v>43147</v>
      </c>
      <c r="B1399" s="55">
        <v>76.900000000000006</v>
      </c>
    </row>
    <row r="1400" spans="1:2" x14ac:dyDescent="0.25">
      <c r="A1400" s="56">
        <v>43146</v>
      </c>
      <c r="B1400" s="55">
        <v>76.900000000000006</v>
      </c>
    </row>
    <row r="1401" spans="1:2" x14ac:dyDescent="0.25">
      <c r="A1401" s="56">
        <v>43145</v>
      </c>
      <c r="B1401" s="55">
        <v>77</v>
      </c>
    </row>
    <row r="1402" spans="1:2" x14ac:dyDescent="0.25">
      <c r="A1402" s="56">
        <v>43144</v>
      </c>
      <c r="B1402" s="55">
        <v>81</v>
      </c>
    </row>
    <row r="1403" spans="1:2" x14ac:dyDescent="0.25">
      <c r="A1403" s="56">
        <v>43143</v>
      </c>
      <c r="B1403" s="55">
        <v>86</v>
      </c>
    </row>
    <row r="1404" spans="1:2" x14ac:dyDescent="0.25">
      <c r="A1404" s="56">
        <v>43140</v>
      </c>
      <c r="B1404" s="55">
        <v>84</v>
      </c>
    </row>
    <row r="1405" spans="1:2" x14ac:dyDescent="0.25">
      <c r="A1405" s="56">
        <v>43139</v>
      </c>
      <c r="B1405" s="55">
        <v>86.9</v>
      </c>
    </row>
    <row r="1406" spans="1:2" x14ac:dyDescent="0.25">
      <c r="A1406" s="56">
        <v>43138</v>
      </c>
      <c r="B1406" s="55">
        <v>83</v>
      </c>
    </row>
    <row r="1407" spans="1:2" x14ac:dyDescent="0.25">
      <c r="A1407" s="56">
        <v>43137</v>
      </c>
      <c r="B1407" s="55">
        <v>86</v>
      </c>
    </row>
    <row r="1408" spans="1:2" x14ac:dyDescent="0.25">
      <c r="A1408" s="56">
        <v>43136</v>
      </c>
      <c r="B1408" s="55">
        <v>87.9</v>
      </c>
    </row>
    <row r="1409" spans="1:2" x14ac:dyDescent="0.25">
      <c r="A1409" s="56">
        <v>43133</v>
      </c>
      <c r="B1409" s="55">
        <v>86</v>
      </c>
    </row>
    <row r="1410" spans="1:2" x14ac:dyDescent="0.25">
      <c r="A1410" s="56">
        <v>43132</v>
      </c>
      <c r="B1410" s="55">
        <v>89</v>
      </c>
    </row>
    <row r="1411" spans="1:2" x14ac:dyDescent="0.25">
      <c r="A1411" s="56">
        <v>43131</v>
      </c>
      <c r="B1411" s="55">
        <v>86</v>
      </c>
    </row>
    <row r="1412" spans="1:2" x14ac:dyDescent="0.25">
      <c r="A1412" s="56">
        <v>43130</v>
      </c>
      <c r="B1412" s="55">
        <v>88</v>
      </c>
    </row>
    <row r="1413" spans="1:2" x14ac:dyDescent="0.25">
      <c r="A1413" s="56">
        <v>43129</v>
      </c>
      <c r="B1413" s="55">
        <v>88</v>
      </c>
    </row>
    <row r="1414" spans="1:2" x14ac:dyDescent="0.25">
      <c r="A1414" s="56">
        <v>43126</v>
      </c>
      <c r="B1414" s="55">
        <v>88</v>
      </c>
    </row>
    <row r="1415" spans="1:2" x14ac:dyDescent="0.25">
      <c r="A1415" s="56">
        <v>43125</v>
      </c>
      <c r="B1415" s="55">
        <v>87</v>
      </c>
    </row>
    <row r="1416" spans="1:2" x14ac:dyDescent="0.25">
      <c r="A1416" s="56">
        <v>43124</v>
      </c>
      <c r="B1416" s="55">
        <v>90</v>
      </c>
    </row>
    <row r="1417" spans="1:2" x14ac:dyDescent="0.25">
      <c r="A1417" s="56">
        <v>43123</v>
      </c>
      <c r="B1417" s="55">
        <v>89</v>
      </c>
    </row>
    <row r="1418" spans="1:2" x14ac:dyDescent="0.25">
      <c r="A1418" s="56">
        <v>43122</v>
      </c>
      <c r="B1418" s="55">
        <v>88</v>
      </c>
    </row>
    <row r="1419" spans="1:2" x14ac:dyDescent="0.25">
      <c r="A1419" s="56">
        <v>43119</v>
      </c>
      <c r="B1419" s="55">
        <v>86</v>
      </c>
    </row>
    <row r="1420" spans="1:2" x14ac:dyDescent="0.25">
      <c r="A1420" s="56">
        <v>43118</v>
      </c>
      <c r="B1420" s="55">
        <v>85</v>
      </c>
    </row>
    <row r="1421" spans="1:2" x14ac:dyDescent="0.25">
      <c r="A1421" s="56">
        <v>43117</v>
      </c>
      <c r="B1421" s="55">
        <v>87</v>
      </c>
    </row>
    <row r="1422" spans="1:2" x14ac:dyDescent="0.25">
      <c r="A1422" s="56">
        <v>43116</v>
      </c>
      <c r="B1422" s="55">
        <v>87</v>
      </c>
    </row>
    <row r="1423" spans="1:2" x14ac:dyDescent="0.25">
      <c r="A1423" s="56">
        <v>43115</v>
      </c>
      <c r="B1423" s="55">
        <v>85</v>
      </c>
    </row>
    <row r="1424" spans="1:2" x14ac:dyDescent="0.25">
      <c r="A1424" s="56">
        <v>43112</v>
      </c>
      <c r="B1424" s="55">
        <v>87.9</v>
      </c>
    </row>
    <row r="1425" spans="1:2" x14ac:dyDescent="0.25">
      <c r="A1425" s="56">
        <v>43111</v>
      </c>
      <c r="B1425" s="55">
        <v>89</v>
      </c>
    </row>
    <row r="1426" spans="1:2" x14ac:dyDescent="0.25">
      <c r="A1426" s="56">
        <v>43110</v>
      </c>
      <c r="B1426" s="55">
        <v>88</v>
      </c>
    </row>
    <row r="1427" spans="1:2" x14ac:dyDescent="0.25">
      <c r="A1427" s="56">
        <v>43109</v>
      </c>
      <c r="B1427" s="55">
        <v>86</v>
      </c>
    </row>
    <row r="1428" spans="1:2" x14ac:dyDescent="0.25">
      <c r="A1428" s="56">
        <v>43108</v>
      </c>
      <c r="B1428" s="55">
        <v>90</v>
      </c>
    </row>
    <row r="1429" spans="1:2" x14ac:dyDescent="0.25">
      <c r="A1429" s="56">
        <v>43105</v>
      </c>
      <c r="B1429" s="55">
        <v>90</v>
      </c>
    </row>
    <row r="1430" spans="1:2" x14ac:dyDescent="0.25">
      <c r="A1430" s="56">
        <v>43104</v>
      </c>
      <c r="B1430" s="55">
        <v>91</v>
      </c>
    </row>
    <row r="1431" spans="1:2" x14ac:dyDescent="0.25">
      <c r="A1431" s="56">
        <v>43103</v>
      </c>
      <c r="B1431" s="55">
        <v>95</v>
      </c>
    </row>
    <row r="1432" spans="1:2" x14ac:dyDescent="0.25">
      <c r="A1432" s="56">
        <v>43102</v>
      </c>
      <c r="B1432" s="55">
        <v>105</v>
      </c>
    </row>
    <row r="1433" spans="1:2" x14ac:dyDescent="0.25">
      <c r="A1433" s="56">
        <v>42736</v>
      </c>
      <c r="B1433" s="55">
        <v>112</v>
      </c>
    </row>
    <row r="1434" spans="1:2" x14ac:dyDescent="0.25">
      <c r="A1434" s="56">
        <v>43098</v>
      </c>
      <c r="B1434" s="55">
        <v>112</v>
      </c>
    </row>
    <row r="1435" spans="1:2" x14ac:dyDescent="0.25">
      <c r="A1435" s="56">
        <v>43097</v>
      </c>
      <c r="B1435" s="55">
        <v>107</v>
      </c>
    </row>
    <row r="1436" spans="1:2" x14ac:dyDescent="0.25">
      <c r="A1436" s="56">
        <v>43096</v>
      </c>
      <c r="B1436" s="55">
        <v>108</v>
      </c>
    </row>
    <row r="1437" spans="1:2" x14ac:dyDescent="0.25">
      <c r="A1437" s="56">
        <v>43095</v>
      </c>
      <c r="B1437" s="55">
        <v>104</v>
      </c>
    </row>
    <row r="1438" spans="1:2" x14ac:dyDescent="0.25">
      <c r="A1438" s="56">
        <v>43094</v>
      </c>
      <c r="B1438" s="55">
        <v>104</v>
      </c>
    </row>
    <row r="1439" spans="1:2" x14ac:dyDescent="0.25">
      <c r="A1439" s="56">
        <v>43091</v>
      </c>
      <c r="B1439" s="55">
        <v>104</v>
      </c>
    </row>
    <row r="1440" spans="1:2" x14ac:dyDescent="0.25">
      <c r="A1440" s="56">
        <v>43090</v>
      </c>
      <c r="B1440" s="55">
        <v>103</v>
      </c>
    </row>
    <row r="1441" spans="1:2" x14ac:dyDescent="0.25">
      <c r="A1441" s="56">
        <v>43089</v>
      </c>
      <c r="B1441" s="55">
        <v>109</v>
      </c>
    </row>
    <row r="1442" spans="1:2" x14ac:dyDescent="0.25">
      <c r="A1442" s="56">
        <v>43088</v>
      </c>
      <c r="B1442" s="55">
        <v>109</v>
      </c>
    </row>
    <row r="1443" spans="1:2" x14ac:dyDescent="0.25">
      <c r="A1443" s="56">
        <v>43087</v>
      </c>
      <c r="B1443" s="55">
        <v>109</v>
      </c>
    </row>
    <row r="1444" spans="1:2" x14ac:dyDescent="0.25">
      <c r="A1444" s="56">
        <v>43084</v>
      </c>
      <c r="B1444" s="55">
        <v>111</v>
      </c>
    </row>
    <row r="1445" spans="1:2" x14ac:dyDescent="0.25">
      <c r="A1445" s="56">
        <v>43083</v>
      </c>
      <c r="B1445" s="55">
        <v>111</v>
      </c>
    </row>
    <row r="1446" spans="1:2" x14ac:dyDescent="0.25">
      <c r="A1446" s="56">
        <v>43082</v>
      </c>
      <c r="B1446" s="55">
        <v>110</v>
      </c>
    </row>
    <row r="1447" spans="1:2" x14ac:dyDescent="0.25">
      <c r="A1447" s="56">
        <v>43081</v>
      </c>
      <c r="B1447" s="55">
        <v>112</v>
      </c>
    </row>
    <row r="1448" spans="1:2" x14ac:dyDescent="0.25">
      <c r="A1448" s="56">
        <v>43080</v>
      </c>
      <c r="B1448" s="55">
        <v>112</v>
      </c>
    </row>
    <row r="1449" spans="1:2" x14ac:dyDescent="0.25">
      <c r="A1449" s="56">
        <v>43077</v>
      </c>
      <c r="B1449" s="55">
        <v>111</v>
      </c>
    </row>
    <row r="1450" spans="1:2" x14ac:dyDescent="0.25">
      <c r="A1450" s="56">
        <v>43076</v>
      </c>
      <c r="B1450" s="55">
        <v>115</v>
      </c>
    </row>
    <row r="1451" spans="1:2" x14ac:dyDescent="0.25">
      <c r="A1451" s="56">
        <v>43075</v>
      </c>
      <c r="B1451" s="55">
        <v>113</v>
      </c>
    </row>
    <row r="1452" spans="1:2" x14ac:dyDescent="0.25">
      <c r="A1452" s="56">
        <v>43074</v>
      </c>
      <c r="B1452" s="55">
        <v>115</v>
      </c>
    </row>
    <row r="1453" spans="1:2" x14ac:dyDescent="0.25">
      <c r="A1453" s="56">
        <v>43073</v>
      </c>
      <c r="B1453" s="55">
        <v>112</v>
      </c>
    </row>
    <row r="1454" spans="1:2" x14ac:dyDescent="0.25">
      <c r="A1454" s="56">
        <v>43070</v>
      </c>
      <c r="B1454" s="55">
        <v>115</v>
      </c>
    </row>
    <row r="1455" spans="1:2" x14ac:dyDescent="0.25">
      <c r="A1455" s="56">
        <v>43069</v>
      </c>
      <c r="B1455" s="55">
        <v>115</v>
      </c>
    </row>
    <row r="1456" spans="1:2" x14ac:dyDescent="0.25">
      <c r="A1456" s="56">
        <v>43068</v>
      </c>
      <c r="B1456" s="55">
        <v>116.5</v>
      </c>
    </row>
    <row r="1457" spans="1:2" x14ac:dyDescent="0.25">
      <c r="A1457" s="56">
        <v>43067</v>
      </c>
      <c r="B1457" s="55">
        <v>112</v>
      </c>
    </row>
    <row r="1458" spans="1:2" x14ac:dyDescent="0.25">
      <c r="A1458" s="56">
        <v>43066</v>
      </c>
      <c r="B1458" s="55">
        <v>113</v>
      </c>
    </row>
    <row r="1459" spans="1:2" x14ac:dyDescent="0.25">
      <c r="A1459" s="56">
        <v>43063</v>
      </c>
      <c r="B1459" s="55">
        <v>113</v>
      </c>
    </row>
    <row r="1460" spans="1:2" x14ac:dyDescent="0.25">
      <c r="A1460" s="56">
        <v>43062</v>
      </c>
      <c r="B1460" s="55">
        <v>113</v>
      </c>
    </row>
    <row r="1461" spans="1:2" x14ac:dyDescent="0.25">
      <c r="A1461" s="56">
        <v>43061</v>
      </c>
      <c r="B1461" s="55">
        <v>115</v>
      </c>
    </row>
    <row r="1462" spans="1:2" x14ac:dyDescent="0.25">
      <c r="A1462" s="56">
        <v>43060</v>
      </c>
      <c r="B1462" s="55">
        <v>116</v>
      </c>
    </row>
    <row r="1463" spans="1:2" x14ac:dyDescent="0.25">
      <c r="A1463" s="56">
        <v>43059</v>
      </c>
      <c r="B1463" s="55">
        <v>110</v>
      </c>
    </row>
    <row r="1464" spans="1:2" x14ac:dyDescent="0.25">
      <c r="A1464" s="56">
        <v>43056</v>
      </c>
      <c r="B1464" s="55">
        <v>110</v>
      </c>
    </row>
    <row r="1465" spans="1:2" x14ac:dyDescent="0.25">
      <c r="A1465" s="56">
        <v>43055</v>
      </c>
      <c r="B1465" s="55">
        <v>110</v>
      </c>
    </row>
    <row r="1466" spans="1:2" x14ac:dyDescent="0.25">
      <c r="A1466" s="56">
        <v>43054</v>
      </c>
      <c r="B1466" s="55">
        <v>115</v>
      </c>
    </row>
    <row r="1467" spans="1:2" x14ac:dyDescent="0.25">
      <c r="A1467" s="56">
        <v>43053</v>
      </c>
      <c r="B1467" s="55">
        <v>115</v>
      </c>
    </row>
    <row r="1468" spans="1:2" x14ac:dyDescent="0.25">
      <c r="A1468" s="56">
        <v>43052</v>
      </c>
      <c r="B1468" s="55">
        <v>110</v>
      </c>
    </row>
    <row r="1469" spans="1:2" x14ac:dyDescent="0.25">
      <c r="A1469" s="56">
        <v>43049</v>
      </c>
      <c r="B1469" s="55">
        <v>110</v>
      </c>
    </row>
    <row r="1470" spans="1:2" x14ac:dyDescent="0.25">
      <c r="A1470" s="56">
        <v>43048</v>
      </c>
      <c r="B1470" s="55">
        <v>112</v>
      </c>
    </row>
    <row r="1471" spans="1:2" x14ac:dyDescent="0.25">
      <c r="A1471" s="56">
        <v>43047</v>
      </c>
      <c r="B1471" s="55">
        <v>114</v>
      </c>
    </row>
    <row r="1472" spans="1:2" x14ac:dyDescent="0.25">
      <c r="A1472" s="56">
        <v>43046</v>
      </c>
      <c r="B1472" s="55">
        <v>112</v>
      </c>
    </row>
    <row r="1473" spans="1:2" x14ac:dyDescent="0.25">
      <c r="A1473" s="56">
        <v>43045</v>
      </c>
      <c r="B1473" s="55">
        <v>112</v>
      </c>
    </row>
    <row r="1474" spans="1:2" x14ac:dyDescent="0.25">
      <c r="A1474" s="56">
        <v>43042</v>
      </c>
      <c r="B1474" s="55">
        <v>112</v>
      </c>
    </row>
    <row r="1475" spans="1:2" x14ac:dyDescent="0.25">
      <c r="A1475" s="56">
        <v>43041</v>
      </c>
      <c r="B1475" s="55">
        <v>112</v>
      </c>
    </row>
    <row r="1476" spans="1:2" x14ac:dyDescent="0.25">
      <c r="A1476" s="56">
        <v>43040</v>
      </c>
      <c r="B1476" s="55">
        <v>113</v>
      </c>
    </row>
    <row r="1477" spans="1:2" x14ac:dyDescent="0.25">
      <c r="A1477" s="56">
        <v>43039</v>
      </c>
      <c r="B1477" s="55">
        <v>114</v>
      </c>
    </row>
    <row r="1478" spans="1:2" x14ac:dyDescent="0.25">
      <c r="A1478" s="56">
        <v>43038</v>
      </c>
      <c r="B1478" s="55">
        <v>113</v>
      </c>
    </row>
    <row r="1479" spans="1:2" x14ac:dyDescent="0.25">
      <c r="A1479" s="56">
        <v>43035</v>
      </c>
      <c r="B1479" s="55">
        <v>115</v>
      </c>
    </row>
    <row r="1480" spans="1:2" x14ac:dyDescent="0.25">
      <c r="A1480" s="56">
        <v>43034</v>
      </c>
      <c r="B1480" s="55">
        <v>111</v>
      </c>
    </row>
    <row r="1481" spans="1:2" x14ac:dyDescent="0.25">
      <c r="A1481" s="56">
        <v>43033</v>
      </c>
      <c r="B1481" s="55">
        <v>110</v>
      </c>
    </row>
    <row r="1482" spans="1:2" x14ac:dyDescent="0.25">
      <c r="A1482" s="56">
        <v>43032</v>
      </c>
      <c r="B1482" s="55">
        <v>105</v>
      </c>
    </row>
    <row r="1483" spans="1:2" x14ac:dyDescent="0.25">
      <c r="A1483" s="56">
        <v>43031</v>
      </c>
      <c r="B1483" s="55">
        <v>103</v>
      </c>
    </row>
    <row r="1484" spans="1:2" x14ac:dyDescent="0.25">
      <c r="A1484" s="56">
        <v>43028</v>
      </c>
      <c r="B1484" s="55">
        <v>104</v>
      </c>
    </row>
    <row r="1485" spans="1:2" x14ac:dyDescent="0.25">
      <c r="A1485" s="56">
        <v>43027</v>
      </c>
      <c r="B1485" s="55">
        <v>103</v>
      </c>
    </row>
    <row r="1486" spans="1:2" x14ac:dyDescent="0.25">
      <c r="A1486" s="56">
        <v>43026</v>
      </c>
      <c r="B1486" s="55">
        <v>106</v>
      </c>
    </row>
    <row r="1487" spans="1:2" x14ac:dyDescent="0.25">
      <c r="A1487" s="56">
        <v>43025</v>
      </c>
      <c r="B1487" s="55">
        <v>104</v>
      </c>
    </row>
    <row r="1488" spans="1:2" x14ac:dyDescent="0.25">
      <c r="A1488" s="56">
        <v>43024</v>
      </c>
      <c r="B1488" s="55">
        <v>106</v>
      </c>
    </row>
    <row r="1489" spans="1:2" x14ac:dyDescent="0.25">
      <c r="A1489" s="56">
        <v>43021</v>
      </c>
      <c r="B1489" s="55">
        <v>106</v>
      </c>
    </row>
    <row r="1490" spans="1:2" x14ac:dyDescent="0.25">
      <c r="A1490" s="56">
        <v>43020</v>
      </c>
      <c r="B1490" s="55">
        <v>105</v>
      </c>
    </row>
    <row r="1491" spans="1:2" x14ac:dyDescent="0.25">
      <c r="A1491" s="56">
        <v>43019</v>
      </c>
      <c r="B1491" s="55">
        <v>107</v>
      </c>
    </row>
    <row r="1492" spans="1:2" x14ac:dyDescent="0.25">
      <c r="A1492" s="56">
        <v>43018</v>
      </c>
      <c r="B1492" s="55">
        <v>105</v>
      </c>
    </row>
    <row r="1493" spans="1:2" x14ac:dyDescent="0.25">
      <c r="A1493" s="56">
        <v>43017</v>
      </c>
      <c r="B1493" s="55">
        <v>105</v>
      </c>
    </row>
    <row r="1494" spans="1:2" x14ac:dyDescent="0.25">
      <c r="A1494" s="56">
        <v>43014</v>
      </c>
      <c r="B1494" s="55">
        <v>103</v>
      </c>
    </row>
    <row r="1495" spans="1:2" x14ac:dyDescent="0.25">
      <c r="A1495" s="56">
        <v>43013</v>
      </c>
      <c r="B1495" s="55">
        <v>107</v>
      </c>
    </row>
    <row r="1496" spans="1:2" x14ac:dyDescent="0.25">
      <c r="A1496" s="56">
        <v>43012</v>
      </c>
      <c r="B1496" s="55">
        <v>110</v>
      </c>
    </row>
    <row r="1497" spans="1:2" x14ac:dyDescent="0.25">
      <c r="A1497" s="56">
        <v>43011</v>
      </c>
      <c r="B1497" s="55">
        <v>107</v>
      </c>
    </row>
    <row r="1498" spans="1:2" x14ac:dyDescent="0.25">
      <c r="A1498" s="56">
        <v>43010</v>
      </c>
      <c r="B1498" s="55">
        <v>108</v>
      </c>
    </row>
    <row r="1499" spans="1:2" x14ac:dyDescent="0.25">
      <c r="A1499" s="56">
        <v>43007</v>
      </c>
      <c r="B1499" s="55">
        <v>107</v>
      </c>
    </row>
    <row r="1500" spans="1:2" x14ac:dyDescent="0.25">
      <c r="A1500" s="56">
        <v>43006</v>
      </c>
      <c r="B1500" s="55">
        <v>110</v>
      </c>
    </row>
    <row r="1501" spans="1:2" x14ac:dyDescent="0.25">
      <c r="A1501" s="56">
        <v>43005</v>
      </c>
      <c r="B1501" s="55">
        <v>106</v>
      </c>
    </row>
    <row r="1502" spans="1:2" x14ac:dyDescent="0.25">
      <c r="A1502" s="56">
        <v>43004</v>
      </c>
      <c r="B1502" s="55">
        <v>104</v>
      </c>
    </row>
    <row r="1503" spans="1:2" x14ac:dyDescent="0.25">
      <c r="A1503" s="56">
        <v>43003</v>
      </c>
      <c r="B1503" s="55">
        <v>105</v>
      </c>
    </row>
    <row r="1504" spans="1:2" x14ac:dyDescent="0.25">
      <c r="A1504" s="56">
        <v>43000</v>
      </c>
      <c r="B1504" s="55">
        <v>109</v>
      </c>
    </row>
    <row r="1505" spans="1:2" x14ac:dyDescent="0.25">
      <c r="A1505" s="56">
        <v>42999</v>
      </c>
      <c r="B1505" s="55">
        <v>110.5</v>
      </c>
    </row>
    <row r="1506" spans="1:2" x14ac:dyDescent="0.25">
      <c r="A1506" s="56">
        <v>42998</v>
      </c>
      <c r="B1506" s="55">
        <v>110.5</v>
      </c>
    </row>
    <row r="1507" spans="1:2" x14ac:dyDescent="0.25">
      <c r="A1507" s="56">
        <v>42997</v>
      </c>
      <c r="B1507" s="55">
        <v>107</v>
      </c>
    </row>
    <row r="1508" spans="1:2" x14ac:dyDescent="0.25">
      <c r="A1508" s="56">
        <v>42996</v>
      </c>
      <c r="B1508" s="55">
        <v>106</v>
      </c>
    </row>
    <row r="1509" spans="1:2" x14ac:dyDescent="0.25">
      <c r="A1509" s="56">
        <v>42993</v>
      </c>
      <c r="B1509" s="55">
        <v>106</v>
      </c>
    </row>
    <row r="1510" spans="1:2" x14ac:dyDescent="0.25">
      <c r="A1510" s="56">
        <v>42992</v>
      </c>
      <c r="B1510" s="55">
        <v>106</v>
      </c>
    </row>
    <row r="1511" spans="1:2" x14ac:dyDescent="0.25">
      <c r="A1511" s="56">
        <v>42991</v>
      </c>
      <c r="B1511" s="55">
        <v>105</v>
      </c>
    </row>
    <row r="1512" spans="1:2" x14ac:dyDescent="0.25">
      <c r="A1512" s="56">
        <v>42990</v>
      </c>
      <c r="B1512" s="55">
        <v>106</v>
      </c>
    </row>
    <row r="1513" spans="1:2" x14ac:dyDescent="0.25">
      <c r="A1513" s="56">
        <v>42989</v>
      </c>
      <c r="B1513" s="55">
        <v>104</v>
      </c>
    </row>
    <row r="1514" spans="1:2" x14ac:dyDescent="0.25">
      <c r="A1514" s="56">
        <v>42986</v>
      </c>
      <c r="B1514" s="55">
        <v>105</v>
      </c>
    </row>
    <row r="1515" spans="1:2" x14ac:dyDescent="0.25">
      <c r="A1515" s="56">
        <v>42985</v>
      </c>
      <c r="B1515" s="55">
        <v>109</v>
      </c>
    </row>
    <row r="1516" spans="1:2" x14ac:dyDescent="0.25">
      <c r="A1516" s="56">
        <v>42984</v>
      </c>
      <c r="B1516" s="55">
        <v>110</v>
      </c>
    </row>
    <row r="1517" spans="1:2" x14ac:dyDescent="0.25">
      <c r="A1517" s="56">
        <v>42983</v>
      </c>
      <c r="B1517" s="55">
        <v>110</v>
      </c>
    </row>
    <row r="1518" spans="1:2" x14ac:dyDescent="0.25">
      <c r="A1518" s="56">
        <v>42982</v>
      </c>
      <c r="B1518" s="55">
        <v>109</v>
      </c>
    </row>
    <row r="1519" spans="1:2" x14ac:dyDescent="0.25">
      <c r="A1519" s="56">
        <v>42979</v>
      </c>
      <c r="B1519" s="55">
        <v>109</v>
      </c>
    </row>
    <row r="1520" spans="1:2" x14ac:dyDescent="0.25">
      <c r="A1520" s="56">
        <v>42978</v>
      </c>
      <c r="B1520" s="55">
        <v>109</v>
      </c>
    </row>
    <row r="1521" spans="1:2" x14ac:dyDescent="0.25">
      <c r="A1521" s="56">
        <v>42977</v>
      </c>
      <c r="B1521" s="55">
        <v>110</v>
      </c>
    </row>
    <row r="1522" spans="1:2" x14ac:dyDescent="0.25">
      <c r="A1522" s="56">
        <v>42976</v>
      </c>
      <c r="B1522" s="55">
        <v>110</v>
      </c>
    </row>
    <row r="1523" spans="1:2" x14ac:dyDescent="0.25">
      <c r="A1523" s="56">
        <v>42975</v>
      </c>
      <c r="B1523" s="55">
        <v>110</v>
      </c>
    </row>
    <row r="1524" spans="1:2" x14ac:dyDescent="0.25">
      <c r="A1524" s="56">
        <v>42972</v>
      </c>
      <c r="B1524" s="55">
        <v>112</v>
      </c>
    </row>
    <row r="1525" spans="1:2" x14ac:dyDescent="0.25">
      <c r="A1525" s="56">
        <v>42971</v>
      </c>
      <c r="B1525" s="55">
        <v>112</v>
      </c>
    </row>
    <row r="1526" spans="1:2" x14ac:dyDescent="0.25">
      <c r="A1526" s="56">
        <v>42970</v>
      </c>
      <c r="B1526" s="55">
        <v>115</v>
      </c>
    </row>
    <row r="1527" spans="1:2" x14ac:dyDescent="0.25">
      <c r="A1527" s="56">
        <v>42969</v>
      </c>
      <c r="B1527" s="55">
        <v>113</v>
      </c>
    </row>
    <row r="1528" spans="1:2" x14ac:dyDescent="0.25">
      <c r="A1528" s="56">
        <v>42968</v>
      </c>
      <c r="B1528" s="55">
        <v>113</v>
      </c>
    </row>
    <row r="1529" spans="1:2" x14ac:dyDescent="0.25">
      <c r="A1529" s="56">
        <v>42965</v>
      </c>
      <c r="B1529" s="55">
        <v>115</v>
      </c>
    </row>
    <row r="1530" spans="1:2" x14ac:dyDescent="0.25">
      <c r="A1530" s="56">
        <v>42964</v>
      </c>
      <c r="B1530" s="55">
        <v>115</v>
      </c>
    </row>
    <row r="1531" spans="1:2" x14ac:dyDescent="0.25">
      <c r="A1531" s="56">
        <v>42963</v>
      </c>
      <c r="B1531" s="55">
        <v>115</v>
      </c>
    </row>
    <row r="1532" spans="1:2" x14ac:dyDescent="0.25">
      <c r="A1532" s="56">
        <v>42962</v>
      </c>
      <c r="B1532" s="55">
        <v>118</v>
      </c>
    </row>
    <row r="1533" spans="1:2" x14ac:dyDescent="0.25">
      <c r="A1533" s="56">
        <v>42961</v>
      </c>
      <c r="B1533" s="55">
        <v>115</v>
      </c>
    </row>
    <row r="1534" spans="1:2" x14ac:dyDescent="0.25">
      <c r="A1534" s="56">
        <v>42958</v>
      </c>
      <c r="B1534" s="55">
        <v>111</v>
      </c>
    </row>
    <row r="1535" spans="1:2" x14ac:dyDescent="0.25">
      <c r="A1535" s="56">
        <v>42957</v>
      </c>
      <c r="B1535" s="55">
        <v>111</v>
      </c>
    </row>
    <row r="1536" spans="1:2" x14ac:dyDescent="0.25">
      <c r="A1536" s="56">
        <v>42956</v>
      </c>
      <c r="B1536" s="55">
        <v>116</v>
      </c>
    </row>
    <row r="1537" spans="1:2" x14ac:dyDescent="0.25">
      <c r="A1537" s="56">
        <v>42955</v>
      </c>
      <c r="B1537" s="55">
        <v>115</v>
      </c>
    </row>
    <row r="1538" spans="1:2" x14ac:dyDescent="0.25">
      <c r="A1538" s="56">
        <v>42954</v>
      </c>
      <c r="B1538" s="55">
        <v>115</v>
      </c>
    </row>
    <row r="1539" spans="1:2" x14ac:dyDescent="0.25">
      <c r="A1539" s="56">
        <v>42951</v>
      </c>
      <c r="B1539" s="55">
        <v>115</v>
      </c>
    </row>
    <row r="1540" spans="1:2" x14ac:dyDescent="0.25">
      <c r="A1540" s="56">
        <v>42950</v>
      </c>
      <c r="B1540" s="55">
        <v>116</v>
      </c>
    </row>
    <row r="1541" spans="1:2" x14ac:dyDescent="0.25">
      <c r="A1541" s="56">
        <v>42949</v>
      </c>
      <c r="B1541" s="55">
        <v>127</v>
      </c>
    </row>
    <row r="1542" spans="1:2" x14ac:dyDescent="0.25">
      <c r="A1542" s="56">
        <v>42948</v>
      </c>
      <c r="B1542" s="55">
        <v>125</v>
      </c>
    </row>
    <row r="1543" spans="1:2" x14ac:dyDescent="0.25">
      <c r="A1543" s="56">
        <v>42947</v>
      </c>
      <c r="B1543" s="55">
        <v>125</v>
      </c>
    </row>
    <row r="1544" spans="1:2" x14ac:dyDescent="0.25">
      <c r="A1544" s="56">
        <v>42944</v>
      </c>
      <c r="B1544" s="55">
        <v>130</v>
      </c>
    </row>
    <row r="1545" spans="1:2" x14ac:dyDescent="0.25">
      <c r="A1545" s="56">
        <v>42943</v>
      </c>
      <c r="B1545" s="55">
        <v>131</v>
      </c>
    </row>
    <row r="1546" spans="1:2" x14ac:dyDescent="0.25">
      <c r="A1546" s="56">
        <v>42942</v>
      </c>
      <c r="B1546" s="55">
        <v>133</v>
      </c>
    </row>
    <row r="1547" spans="1:2" x14ac:dyDescent="0.25">
      <c r="A1547" s="56">
        <v>42941</v>
      </c>
      <c r="B1547" s="55">
        <v>132</v>
      </c>
    </row>
    <row r="1548" spans="1:2" x14ac:dyDescent="0.25">
      <c r="A1548" s="56">
        <v>42940</v>
      </c>
      <c r="B1548" s="55">
        <v>135</v>
      </c>
    </row>
    <row r="1549" spans="1:2" x14ac:dyDescent="0.25">
      <c r="A1549" s="56">
        <v>42937</v>
      </c>
      <c r="B1549" s="55">
        <v>127</v>
      </c>
    </row>
    <row r="1550" spans="1:2" x14ac:dyDescent="0.25">
      <c r="A1550" s="56">
        <v>42936</v>
      </c>
      <c r="B1550" s="55">
        <v>133</v>
      </c>
    </row>
    <row r="1551" spans="1:2" x14ac:dyDescent="0.25">
      <c r="A1551" s="56">
        <v>42935</v>
      </c>
      <c r="B1551" s="55">
        <v>130</v>
      </c>
    </row>
    <row r="1552" spans="1:2" x14ac:dyDescent="0.25">
      <c r="A1552" s="56">
        <v>42934</v>
      </c>
      <c r="B1552" s="55">
        <v>138</v>
      </c>
    </row>
    <row r="1553" spans="1:2" x14ac:dyDescent="0.25">
      <c r="A1553" s="56">
        <v>42933</v>
      </c>
      <c r="B1553" s="55">
        <v>137</v>
      </c>
    </row>
    <row r="1554" spans="1:2" x14ac:dyDescent="0.25">
      <c r="A1554" s="56">
        <v>42930</v>
      </c>
      <c r="B1554" s="55">
        <v>139</v>
      </c>
    </row>
    <row r="1555" spans="1:2" x14ac:dyDescent="0.25">
      <c r="A1555" s="56">
        <v>42929</v>
      </c>
      <c r="B1555" s="55">
        <v>143</v>
      </c>
    </row>
    <row r="1556" spans="1:2" x14ac:dyDescent="0.25">
      <c r="A1556" s="56">
        <v>42928</v>
      </c>
      <c r="B1556" s="55">
        <v>140</v>
      </c>
    </row>
    <row r="1557" spans="1:2" x14ac:dyDescent="0.25">
      <c r="A1557" s="56">
        <v>42927</v>
      </c>
      <c r="B1557" s="55">
        <v>141</v>
      </c>
    </row>
    <row r="1558" spans="1:2" x14ac:dyDescent="0.25">
      <c r="A1558" s="56">
        <v>42926</v>
      </c>
      <c r="B1558" s="55">
        <v>142</v>
      </c>
    </row>
    <row r="1559" spans="1:2" x14ac:dyDescent="0.25">
      <c r="A1559" s="56">
        <v>42923</v>
      </c>
      <c r="B1559" s="55">
        <v>145</v>
      </c>
    </row>
    <row r="1560" spans="1:2" x14ac:dyDescent="0.25">
      <c r="A1560" s="56">
        <v>42922</v>
      </c>
      <c r="B1560" s="55">
        <v>144</v>
      </c>
    </row>
    <row r="1561" spans="1:2" x14ac:dyDescent="0.25">
      <c r="A1561" s="56">
        <v>42921</v>
      </c>
      <c r="B1561" s="55">
        <v>145</v>
      </c>
    </row>
    <row r="1562" spans="1:2" x14ac:dyDescent="0.25">
      <c r="A1562" s="56">
        <v>42920</v>
      </c>
      <c r="B1562" s="55">
        <v>145</v>
      </c>
    </row>
    <row r="1563" spans="1:2" x14ac:dyDescent="0.25">
      <c r="A1563" s="56">
        <v>42919</v>
      </c>
      <c r="B1563" s="55">
        <v>145</v>
      </c>
    </row>
    <row r="1564" spans="1:2" x14ac:dyDescent="0.25">
      <c r="A1564" s="56">
        <v>42916</v>
      </c>
      <c r="B1564" s="55">
        <v>145</v>
      </c>
    </row>
    <row r="1565" spans="1:2" x14ac:dyDescent="0.25">
      <c r="A1565" s="56">
        <v>42915</v>
      </c>
      <c r="B1565" s="55">
        <v>145</v>
      </c>
    </row>
    <row r="1566" spans="1:2" x14ac:dyDescent="0.25">
      <c r="A1566" s="56">
        <v>42914</v>
      </c>
      <c r="B1566" s="55">
        <v>145</v>
      </c>
    </row>
    <row r="1567" spans="1:2" x14ac:dyDescent="0.25">
      <c r="A1567" s="56">
        <v>42913</v>
      </c>
      <c r="B1567" s="55">
        <v>145</v>
      </c>
    </row>
    <row r="1568" spans="1:2" x14ac:dyDescent="0.25">
      <c r="A1568" s="56">
        <v>42912</v>
      </c>
      <c r="B1568" s="55">
        <v>145</v>
      </c>
    </row>
    <row r="1569" spans="1:2" x14ac:dyDescent="0.25">
      <c r="A1569" s="56">
        <v>42909</v>
      </c>
      <c r="B1569" s="55">
        <v>145</v>
      </c>
    </row>
    <row r="1570" spans="1:2" x14ac:dyDescent="0.25">
      <c r="A1570" s="56">
        <v>42908</v>
      </c>
      <c r="B1570" s="55">
        <v>145</v>
      </c>
    </row>
    <row r="1571" spans="1:2" x14ac:dyDescent="0.25">
      <c r="A1571" s="56">
        <v>42907</v>
      </c>
      <c r="B1571" s="55">
        <v>145</v>
      </c>
    </row>
    <row r="1572" spans="1:2" x14ac:dyDescent="0.25">
      <c r="A1572" s="56">
        <v>42906</v>
      </c>
      <c r="B1572" s="55">
        <v>148</v>
      </c>
    </row>
    <row r="1573" spans="1:2" x14ac:dyDescent="0.25">
      <c r="A1573" s="56">
        <v>42905</v>
      </c>
      <c r="B1573" s="55">
        <v>148</v>
      </c>
    </row>
    <row r="1574" spans="1:2" x14ac:dyDescent="0.25">
      <c r="A1574" s="56">
        <v>42902</v>
      </c>
      <c r="B1574" s="55">
        <v>145</v>
      </c>
    </row>
    <row r="1575" spans="1:2" x14ac:dyDescent="0.25">
      <c r="A1575" s="56">
        <v>42901</v>
      </c>
      <c r="B1575" s="55">
        <v>145</v>
      </c>
    </row>
    <row r="1576" spans="1:2" x14ac:dyDescent="0.25">
      <c r="A1576" s="56">
        <v>42900</v>
      </c>
      <c r="B1576" s="55">
        <v>150</v>
      </c>
    </row>
    <row r="1577" spans="1:2" x14ac:dyDescent="0.25">
      <c r="A1577" s="56">
        <v>42899</v>
      </c>
      <c r="B1577" s="55">
        <v>145</v>
      </c>
    </row>
    <row r="1578" spans="1:2" x14ac:dyDescent="0.25">
      <c r="A1578" s="56">
        <v>42898</v>
      </c>
      <c r="B1578" s="55">
        <v>145</v>
      </c>
    </row>
    <row r="1579" spans="1:2" x14ac:dyDescent="0.25">
      <c r="A1579" s="56">
        <v>42895</v>
      </c>
      <c r="B1579" s="55">
        <v>145</v>
      </c>
    </row>
    <row r="1580" spans="1:2" x14ac:dyDescent="0.25">
      <c r="A1580" s="56">
        <v>42894</v>
      </c>
      <c r="B1580" s="55">
        <v>145</v>
      </c>
    </row>
    <row r="1581" spans="1:2" x14ac:dyDescent="0.25">
      <c r="A1581" s="56">
        <v>42893</v>
      </c>
      <c r="B1581" s="55">
        <v>145</v>
      </c>
    </row>
    <row r="1582" spans="1:2" x14ac:dyDescent="0.25">
      <c r="A1582" s="56">
        <v>42892</v>
      </c>
      <c r="B1582" s="55">
        <v>143</v>
      </c>
    </row>
    <row r="1583" spans="1:2" x14ac:dyDescent="0.25">
      <c r="A1583" s="56">
        <v>42891</v>
      </c>
      <c r="B1583" s="55">
        <v>142</v>
      </c>
    </row>
    <row r="1584" spans="1:2" x14ac:dyDescent="0.25">
      <c r="A1584" s="56">
        <v>42888</v>
      </c>
      <c r="B1584" s="55">
        <v>142</v>
      </c>
    </row>
    <row r="1585" spans="1:2" x14ac:dyDescent="0.25">
      <c r="A1585" s="56">
        <v>42887</v>
      </c>
      <c r="B1585" s="55">
        <v>143</v>
      </c>
    </row>
    <row r="1586" spans="1:2" x14ac:dyDescent="0.25">
      <c r="A1586" s="56">
        <v>42886</v>
      </c>
      <c r="B1586" s="55">
        <v>143</v>
      </c>
    </row>
    <row r="1587" spans="1:2" x14ac:dyDescent="0.25">
      <c r="A1587" s="56">
        <v>42885</v>
      </c>
      <c r="B1587" s="55">
        <v>146</v>
      </c>
    </row>
    <row r="1588" spans="1:2" x14ac:dyDescent="0.25">
      <c r="A1588" s="56">
        <v>42884</v>
      </c>
      <c r="B1588" s="55">
        <v>132</v>
      </c>
    </row>
    <row r="1589" spans="1:2" x14ac:dyDescent="0.25">
      <c r="A1589" s="56">
        <v>42881</v>
      </c>
      <c r="B1589" s="55">
        <v>135</v>
      </c>
    </row>
    <row r="1590" spans="1:2" x14ac:dyDescent="0.25">
      <c r="A1590" s="56">
        <v>42880</v>
      </c>
      <c r="B1590" s="55">
        <v>133</v>
      </c>
    </row>
    <row r="1591" spans="1:2" x14ac:dyDescent="0.25">
      <c r="A1591" s="56">
        <v>42879</v>
      </c>
      <c r="B1591" s="55">
        <v>133</v>
      </c>
    </row>
    <row r="1592" spans="1:2" x14ac:dyDescent="0.25">
      <c r="A1592" s="56">
        <v>42878</v>
      </c>
      <c r="B1592" s="55">
        <v>137</v>
      </c>
    </row>
    <row r="1593" spans="1:2" x14ac:dyDescent="0.25">
      <c r="A1593" s="56">
        <v>42877</v>
      </c>
      <c r="B1593" s="55">
        <v>135</v>
      </c>
    </row>
    <row r="1594" spans="1:2" x14ac:dyDescent="0.25">
      <c r="A1594" s="56">
        <v>42874</v>
      </c>
      <c r="B1594" s="55">
        <v>139</v>
      </c>
    </row>
    <row r="1595" spans="1:2" x14ac:dyDescent="0.25">
      <c r="A1595" s="56">
        <v>42873</v>
      </c>
      <c r="B1595" s="55">
        <v>138</v>
      </c>
    </row>
    <row r="1596" spans="1:2" x14ac:dyDescent="0.25">
      <c r="A1596" s="56">
        <v>42872</v>
      </c>
      <c r="B1596" s="55">
        <v>150</v>
      </c>
    </row>
    <row r="1597" spans="1:2" x14ac:dyDescent="0.25">
      <c r="A1597" s="56">
        <v>42871</v>
      </c>
      <c r="B1597" s="55">
        <v>140</v>
      </c>
    </row>
    <row r="1598" spans="1:2" x14ac:dyDescent="0.25">
      <c r="A1598" s="56">
        <v>42870</v>
      </c>
      <c r="B1598" s="55">
        <v>147</v>
      </c>
    </row>
    <row r="1599" spans="1:2" x14ac:dyDescent="0.25">
      <c r="A1599" s="56">
        <v>42867</v>
      </c>
      <c r="B1599" s="55">
        <v>148</v>
      </c>
    </row>
    <row r="1600" spans="1:2" x14ac:dyDescent="0.25">
      <c r="A1600" s="56">
        <v>42866</v>
      </c>
      <c r="B1600" s="55">
        <v>146</v>
      </c>
    </row>
    <row r="1601" spans="1:2" x14ac:dyDescent="0.25">
      <c r="A1601" s="56">
        <v>42865</v>
      </c>
      <c r="B1601" s="55">
        <v>146</v>
      </c>
    </row>
    <row r="1602" spans="1:2" x14ac:dyDescent="0.25">
      <c r="A1602" s="56">
        <v>42864</v>
      </c>
      <c r="B1602" s="55">
        <v>146</v>
      </c>
    </row>
    <row r="1603" spans="1:2" x14ac:dyDescent="0.25">
      <c r="A1603" s="56">
        <v>42863</v>
      </c>
      <c r="B1603" s="55">
        <v>137</v>
      </c>
    </row>
    <row r="1604" spans="1:2" x14ac:dyDescent="0.25">
      <c r="A1604" s="56">
        <v>42860</v>
      </c>
      <c r="B1604" s="55">
        <v>138</v>
      </c>
    </row>
    <row r="1605" spans="1:2" x14ac:dyDescent="0.25">
      <c r="A1605" s="56">
        <v>42859</v>
      </c>
      <c r="B1605" s="55">
        <v>138</v>
      </c>
    </row>
    <row r="1606" spans="1:2" x14ac:dyDescent="0.25">
      <c r="A1606" s="56">
        <v>42858</v>
      </c>
      <c r="B1606" s="55">
        <v>137</v>
      </c>
    </row>
    <row r="1607" spans="1:2" x14ac:dyDescent="0.25">
      <c r="A1607" s="56">
        <v>42857</v>
      </c>
      <c r="B1607" s="55">
        <v>137</v>
      </c>
    </row>
    <row r="1608" spans="1:2" x14ac:dyDescent="0.25">
      <c r="A1608" s="56">
        <v>42856</v>
      </c>
      <c r="B1608" s="55">
        <v>137</v>
      </c>
    </row>
    <row r="1609" spans="1:2" x14ac:dyDescent="0.25">
      <c r="A1609" s="56">
        <v>42853</v>
      </c>
      <c r="B1609" s="55">
        <v>137</v>
      </c>
    </row>
    <row r="1610" spans="1:2" x14ac:dyDescent="0.25">
      <c r="A1610" s="56">
        <v>42852</v>
      </c>
      <c r="B1610" s="55">
        <v>135</v>
      </c>
    </row>
    <row r="1611" spans="1:2" x14ac:dyDescent="0.25">
      <c r="A1611" s="56">
        <v>42851</v>
      </c>
      <c r="B1611" s="55">
        <v>137</v>
      </c>
    </row>
    <row r="1612" spans="1:2" x14ac:dyDescent="0.25">
      <c r="A1612" s="56">
        <v>42850</v>
      </c>
      <c r="B1612" s="55">
        <v>135</v>
      </c>
    </row>
    <row r="1613" spans="1:2" x14ac:dyDescent="0.25">
      <c r="A1613" s="56">
        <v>42849</v>
      </c>
      <c r="B1613" s="55">
        <v>138</v>
      </c>
    </row>
    <row r="1614" spans="1:2" x14ac:dyDescent="0.25">
      <c r="A1614" s="56">
        <v>42846</v>
      </c>
      <c r="B1614" s="55">
        <v>138</v>
      </c>
    </row>
    <row r="1615" spans="1:2" x14ac:dyDescent="0.25">
      <c r="A1615" s="56">
        <v>42845</v>
      </c>
      <c r="B1615" s="55">
        <v>140</v>
      </c>
    </row>
    <row r="1616" spans="1:2" x14ac:dyDescent="0.25">
      <c r="A1616" s="56">
        <v>42844</v>
      </c>
      <c r="B1616" s="55">
        <v>145</v>
      </c>
    </row>
    <row r="1617" spans="1:2" x14ac:dyDescent="0.25">
      <c r="A1617" s="56">
        <v>42843</v>
      </c>
      <c r="B1617" s="55">
        <v>145</v>
      </c>
    </row>
    <row r="1618" spans="1:2" x14ac:dyDescent="0.25">
      <c r="A1618" s="56">
        <v>42842</v>
      </c>
      <c r="B1618" s="55">
        <v>136</v>
      </c>
    </row>
    <row r="1619" spans="1:2" x14ac:dyDescent="0.25">
      <c r="A1619" s="56">
        <v>42839</v>
      </c>
      <c r="B1619" s="55">
        <v>135</v>
      </c>
    </row>
    <row r="1620" spans="1:2" x14ac:dyDescent="0.25">
      <c r="A1620" s="56">
        <v>42838</v>
      </c>
      <c r="B1620" s="55">
        <v>135</v>
      </c>
    </row>
    <row r="1621" spans="1:2" x14ac:dyDescent="0.25">
      <c r="A1621" s="56">
        <v>42837</v>
      </c>
      <c r="B1621" s="55">
        <v>136</v>
      </c>
    </row>
    <row r="1622" spans="1:2" x14ac:dyDescent="0.25">
      <c r="A1622" s="56">
        <v>42836</v>
      </c>
      <c r="B1622" s="55">
        <v>128</v>
      </c>
    </row>
    <row r="1623" spans="1:2" x14ac:dyDescent="0.25">
      <c r="A1623" s="56">
        <v>42835</v>
      </c>
      <c r="B1623" s="55">
        <v>130</v>
      </c>
    </row>
    <row r="1624" spans="1:2" x14ac:dyDescent="0.25">
      <c r="A1624" s="56">
        <v>42832</v>
      </c>
      <c r="B1624" s="55">
        <v>123</v>
      </c>
    </row>
    <row r="1625" spans="1:2" x14ac:dyDescent="0.25">
      <c r="A1625" s="56">
        <v>42831</v>
      </c>
      <c r="B1625" s="55">
        <v>130</v>
      </c>
    </row>
    <row r="1626" spans="1:2" x14ac:dyDescent="0.25">
      <c r="A1626" s="56">
        <v>42830</v>
      </c>
      <c r="B1626" s="55">
        <v>127</v>
      </c>
    </row>
    <row r="1627" spans="1:2" x14ac:dyDescent="0.25">
      <c r="A1627" s="56">
        <v>42829</v>
      </c>
      <c r="B1627" s="55">
        <v>128</v>
      </c>
    </row>
    <row r="1628" spans="1:2" x14ac:dyDescent="0.25">
      <c r="A1628" s="56">
        <v>42828</v>
      </c>
      <c r="B1628" s="55">
        <v>129</v>
      </c>
    </row>
    <row r="1629" spans="1:2" x14ac:dyDescent="0.25">
      <c r="A1629" s="56">
        <v>42825</v>
      </c>
      <c r="B1629" s="55">
        <v>130</v>
      </c>
    </row>
    <row r="1630" spans="1:2" x14ac:dyDescent="0.25">
      <c r="A1630" s="56">
        <v>42824</v>
      </c>
      <c r="B1630" s="55">
        <v>128</v>
      </c>
    </row>
    <row r="1631" spans="1:2" x14ac:dyDescent="0.25">
      <c r="A1631" s="56">
        <v>42823</v>
      </c>
      <c r="B1631" s="55">
        <v>122</v>
      </c>
    </row>
    <row r="1632" spans="1:2" x14ac:dyDescent="0.25">
      <c r="A1632" s="56">
        <v>42822</v>
      </c>
      <c r="B1632" s="55">
        <v>123</v>
      </c>
    </row>
    <row r="1633" spans="1:2" x14ac:dyDescent="0.25">
      <c r="A1633" s="56">
        <v>42821</v>
      </c>
      <c r="B1633" s="55">
        <v>123</v>
      </c>
    </row>
    <row r="1634" spans="1:2" x14ac:dyDescent="0.25">
      <c r="A1634" s="56">
        <v>42818</v>
      </c>
      <c r="B1634" s="55">
        <v>125</v>
      </c>
    </row>
    <row r="1635" spans="1:2" x14ac:dyDescent="0.25">
      <c r="A1635" s="56">
        <v>42817</v>
      </c>
      <c r="B1635" s="55">
        <v>128</v>
      </c>
    </row>
    <row r="1636" spans="1:2" x14ac:dyDescent="0.25">
      <c r="A1636" s="56">
        <v>42816</v>
      </c>
      <c r="B1636" s="55">
        <v>135</v>
      </c>
    </row>
    <row r="1637" spans="1:2" x14ac:dyDescent="0.25">
      <c r="A1637" s="56">
        <v>42815</v>
      </c>
      <c r="B1637" s="55">
        <v>138</v>
      </c>
    </row>
    <row r="1638" spans="1:2" x14ac:dyDescent="0.25">
      <c r="A1638" s="56">
        <v>42814</v>
      </c>
      <c r="B1638" s="55">
        <v>135</v>
      </c>
    </row>
    <row r="1639" spans="1:2" x14ac:dyDescent="0.25">
      <c r="A1639" s="56">
        <v>42811</v>
      </c>
      <c r="B1639" s="55">
        <v>138</v>
      </c>
    </row>
    <row r="1640" spans="1:2" x14ac:dyDescent="0.25">
      <c r="A1640" s="56">
        <v>42810</v>
      </c>
      <c r="B1640" s="55">
        <v>138</v>
      </c>
    </row>
    <row r="1641" spans="1:2" x14ac:dyDescent="0.25">
      <c r="A1641" s="56">
        <v>42809</v>
      </c>
      <c r="B1641" s="55">
        <v>143</v>
      </c>
    </row>
    <row r="1642" spans="1:2" x14ac:dyDescent="0.25">
      <c r="A1642" s="56">
        <v>42808</v>
      </c>
      <c r="B1642" s="55">
        <v>143</v>
      </c>
    </row>
    <row r="1643" spans="1:2" x14ac:dyDescent="0.25">
      <c r="A1643" s="56">
        <v>42807</v>
      </c>
      <c r="B1643" s="55">
        <v>142</v>
      </c>
    </row>
    <row r="1644" spans="1:2" x14ac:dyDescent="0.25">
      <c r="A1644" s="56">
        <v>42804</v>
      </c>
      <c r="B1644" s="55">
        <v>142</v>
      </c>
    </row>
    <row r="1645" spans="1:2" x14ac:dyDescent="0.25">
      <c r="A1645" s="56">
        <v>42803</v>
      </c>
      <c r="B1645" s="55">
        <v>141</v>
      </c>
    </row>
    <row r="1646" spans="1:2" x14ac:dyDescent="0.25">
      <c r="A1646" s="56">
        <v>42802</v>
      </c>
      <c r="B1646" s="55">
        <v>143</v>
      </c>
    </row>
    <row r="1647" spans="1:2" x14ac:dyDescent="0.25">
      <c r="A1647" s="56">
        <v>42801</v>
      </c>
      <c r="B1647" s="55">
        <v>139</v>
      </c>
    </row>
    <row r="1648" spans="1:2" x14ac:dyDescent="0.25">
      <c r="A1648" s="56">
        <v>42800</v>
      </c>
      <c r="B1648" s="55">
        <v>142</v>
      </c>
    </row>
    <row r="1649" spans="1:2" x14ac:dyDescent="0.25">
      <c r="A1649" s="56">
        <v>42797</v>
      </c>
      <c r="B1649" s="55">
        <v>142</v>
      </c>
    </row>
    <row r="1650" spans="1:2" x14ac:dyDescent="0.25">
      <c r="A1650" s="56">
        <v>42796</v>
      </c>
      <c r="B1650" s="55">
        <v>142</v>
      </c>
    </row>
    <row r="1651" spans="1:2" x14ac:dyDescent="0.25">
      <c r="A1651" s="56">
        <v>42795</v>
      </c>
      <c r="B1651" s="55">
        <v>142</v>
      </c>
    </row>
    <row r="1652" spans="1:2" x14ac:dyDescent="0.25">
      <c r="A1652" s="56">
        <v>42794</v>
      </c>
      <c r="B1652" s="55">
        <v>145</v>
      </c>
    </row>
    <row r="1653" spans="1:2" x14ac:dyDescent="0.25">
      <c r="A1653" s="56">
        <v>42793</v>
      </c>
      <c r="B1653" s="55">
        <v>145</v>
      </c>
    </row>
    <row r="1654" spans="1:2" x14ac:dyDescent="0.25">
      <c r="A1654" s="56">
        <v>42790</v>
      </c>
      <c r="B1654" s="55">
        <v>140</v>
      </c>
    </row>
    <row r="1655" spans="1:2" x14ac:dyDescent="0.25">
      <c r="A1655" s="56">
        <v>42789</v>
      </c>
      <c r="B1655" s="55">
        <v>143</v>
      </c>
    </row>
    <row r="1656" spans="1:2" x14ac:dyDescent="0.25">
      <c r="A1656" s="56">
        <v>42788</v>
      </c>
      <c r="B1656" s="55">
        <v>137</v>
      </c>
    </row>
    <row r="1657" spans="1:2" x14ac:dyDescent="0.25">
      <c r="A1657" s="56">
        <v>42787</v>
      </c>
      <c r="B1657" s="55">
        <v>135</v>
      </c>
    </row>
    <row r="1658" spans="1:2" x14ac:dyDescent="0.25">
      <c r="A1658" s="56">
        <v>42786</v>
      </c>
      <c r="B1658" s="55">
        <v>133</v>
      </c>
    </row>
    <row r="1659" spans="1:2" x14ac:dyDescent="0.25">
      <c r="A1659" s="56">
        <v>42783</v>
      </c>
      <c r="B1659" s="55">
        <v>125</v>
      </c>
    </row>
    <row r="1660" spans="1:2" x14ac:dyDescent="0.25">
      <c r="A1660" s="56">
        <v>42782</v>
      </c>
      <c r="B1660" s="55">
        <v>123</v>
      </c>
    </row>
    <row r="1661" spans="1:2" x14ac:dyDescent="0.25">
      <c r="A1661" s="56">
        <v>42781</v>
      </c>
      <c r="B1661" s="55">
        <v>120</v>
      </c>
    </row>
    <row r="1662" spans="1:2" x14ac:dyDescent="0.25">
      <c r="A1662" s="56">
        <v>42780</v>
      </c>
      <c r="B1662" s="55">
        <v>120</v>
      </c>
    </row>
    <row r="1663" spans="1:2" x14ac:dyDescent="0.25">
      <c r="A1663" s="56">
        <v>42779</v>
      </c>
      <c r="B1663" s="55">
        <v>118</v>
      </c>
    </row>
    <row r="1664" spans="1:2" x14ac:dyDescent="0.25">
      <c r="A1664" s="56">
        <v>42776</v>
      </c>
      <c r="B1664" s="55">
        <v>120</v>
      </c>
    </row>
    <row r="1665" spans="1:2" x14ac:dyDescent="0.25">
      <c r="A1665" s="56">
        <v>42775</v>
      </c>
      <c r="B1665" s="55">
        <v>118</v>
      </c>
    </row>
    <row r="1666" spans="1:2" x14ac:dyDescent="0.25">
      <c r="A1666" s="56">
        <v>42774</v>
      </c>
      <c r="B1666" s="55">
        <v>116</v>
      </c>
    </row>
    <row r="1667" spans="1:2" x14ac:dyDescent="0.25">
      <c r="A1667" s="56">
        <v>42773</v>
      </c>
      <c r="B1667" s="55">
        <v>114</v>
      </c>
    </row>
    <row r="1668" spans="1:2" x14ac:dyDescent="0.25">
      <c r="A1668" s="56">
        <v>42772</v>
      </c>
      <c r="B1668" s="55">
        <v>115</v>
      </c>
    </row>
    <row r="1669" spans="1:2" x14ac:dyDescent="0.25">
      <c r="A1669" s="56">
        <v>42769</v>
      </c>
      <c r="B1669" s="55">
        <v>115</v>
      </c>
    </row>
    <row r="1670" spans="1:2" x14ac:dyDescent="0.25">
      <c r="A1670" s="56">
        <v>42768</v>
      </c>
      <c r="B1670" s="55">
        <v>116</v>
      </c>
    </row>
    <row r="1671" spans="1:2" x14ac:dyDescent="0.25">
      <c r="A1671" s="56">
        <v>42767</v>
      </c>
      <c r="B1671" s="55">
        <v>115</v>
      </c>
    </row>
    <row r="1672" spans="1:2" x14ac:dyDescent="0.25">
      <c r="A1672" s="56">
        <v>42766</v>
      </c>
      <c r="B1672" s="55">
        <v>110</v>
      </c>
    </row>
    <row r="1673" spans="1:2" x14ac:dyDescent="0.25">
      <c r="A1673" s="56">
        <v>42765</v>
      </c>
      <c r="B1673" s="55">
        <v>115</v>
      </c>
    </row>
    <row r="1674" spans="1:2" x14ac:dyDescent="0.25">
      <c r="A1674" s="56">
        <v>42762</v>
      </c>
      <c r="B1674" s="55">
        <v>112</v>
      </c>
    </row>
    <row r="1675" spans="1:2" x14ac:dyDescent="0.25">
      <c r="A1675" s="56">
        <v>42761</v>
      </c>
      <c r="B1675" s="55">
        <v>112</v>
      </c>
    </row>
    <row r="1676" spans="1:2" x14ac:dyDescent="0.25">
      <c r="A1676" s="56">
        <v>42760</v>
      </c>
      <c r="B1676" s="55">
        <v>116</v>
      </c>
    </row>
    <row r="1677" spans="1:2" x14ac:dyDescent="0.25">
      <c r="A1677" s="56">
        <v>42759</v>
      </c>
      <c r="B1677" s="55">
        <v>115</v>
      </c>
    </row>
    <row r="1678" spans="1:2" x14ac:dyDescent="0.25">
      <c r="A1678" s="56">
        <v>42758</v>
      </c>
      <c r="B1678" s="55">
        <v>118</v>
      </c>
    </row>
    <row r="1679" spans="1:2" x14ac:dyDescent="0.25">
      <c r="A1679" s="56">
        <v>42755</v>
      </c>
      <c r="B1679" s="55">
        <v>118</v>
      </c>
    </row>
    <row r="1680" spans="1:2" x14ac:dyDescent="0.25">
      <c r="A1680" s="56">
        <v>42754</v>
      </c>
      <c r="B1680" s="55">
        <v>119</v>
      </c>
    </row>
    <row r="1681" spans="1:2" x14ac:dyDescent="0.25">
      <c r="A1681" s="56">
        <v>42753</v>
      </c>
      <c r="B1681" s="55">
        <v>114</v>
      </c>
    </row>
    <row r="1682" spans="1:2" x14ac:dyDescent="0.25">
      <c r="A1682" s="56">
        <v>42752</v>
      </c>
      <c r="B1682" s="55">
        <v>122</v>
      </c>
    </row>
    <row r="1683" spans="1:2" x14ac:dyDescent="0.25">
      <c r="A1683" s="56">
        <v>42751</v>
      </c>
      <c r="B1683" s="55">
        <v>120</v>
      </c>
    </row>
    <row r="1684" spans="1:2" x14ac:dyDescent="0.25">
      <c r="A1684" s="56">
        <v>42748</v>
      </c>
      <c r="B1684" s="55">
        <v>120</v>
      </c>
    </row>
    <row r="1685" spans="1:2" x14ac:dyDescent="0.25">
      <c r="A1685" s="56">
        <v>42747</v>
      </c>
      <c r="B1685" s="55">
        <v>121</v>
      </c>
    </row>
    <row r="1686" spans="1:2" x14ac:dyDescent="0.25">
      <c r="A1686" s="56">
        <v>42746</v>
      </c>
      <c r="B1686" s="55">
        <v>125</v>
      </c>
    </row>
    <row r="1687" spans="1:2" x14ac:dyDescent="0.25">
      <c r="A1687" s="56">
        <v>42745</v>
      </c>
      <c r="B1687" s="55">
        <v>125</v>
      </c>
    </row>
    <row r="1688" spans="1:2" x14ac:dyDescent="0.25">
      <c r="A1688" s="56">
        <v>42744</v>
      </c>
      <c r="B1688" s="55">
        <v>140</v>
      </c>
    </row>
    <row r="1689" spans="1:2" x14ac:dyDescent="0.25">
      <c r="A1689" s="56">
        <v>42741</v>
      </c>
      <c r="B1689" s="55">
        <v>140</v>
      </c>
    </row>
    <row r="1690" spans="1:2" x14ac:dyDescent="0.25">
      <c r="A1690" s="56">
        <v>42740</v>
      </c>
      <c r="B1690" s="55">
        <v>150</v>
      </c>
    </row>
    <row r="1691" spans="1:2" x14ac:dyDescent="0.25">
      <c r="A1691" s="56">
        <v>42739</v>
      </c>
      <c r="B1691" s="55">
        <v>160</v>
      </c>
    </row>
    <row r="1692" spans="1:2" x14ac:dyDescent="0.25">
      <c r="A1692" s="56">
        <v>42738</v>
      </c>
      <c r="B1692" s="55">
        <v>160</v>
      </c>
    </row>
    <row r="1693" spans="1:2" x14ac:dyDescent="0.25">
      <c r="A1693" s="56">
        <v>42737</v>
      </c>
      <c r="B1693" s="55">
        <v>170</v>
      </c>
    </row>
    <row r="1694" spans="1:2" x14ac:dyDescent="0.25">
      <c r="A1694" s="56">
        <v>42734</v>
      </c>
      <c r="B1694" s="55">
        <v>170</v>
      </c>
    </row>
    <row r="1695" spans="1:2" x14ac:dyDescent="0.25">
      <c r="A1695" s="56">
        <v>42733</v>
      </c>
      <c r="B1695" s="55">
        <v>160</v>
      </c>
    </row>
    <row r="1696" spans="1:2" x14ac:dyDescent="0.25">
      <c r="A1696" s="56">
        <v>42732</v>
      </c>
      <c r="B1696" s="55">
        <v>170</v>
      </c>
    </row>
    <row r="1697" spans="1:2" x14ac:dyDescent="0.25">
      <c r="A1697" s="56">
        <v>42731</v>
      </c>
      <c r="B1697" s="55">
        <v>170</v>
      </c>
    </row>
    <row r="1698" spans="1:2" x14ac:dyDescent="0.25">
      <c r="A1698" s="56">
        <v>42730</v>
      </c>
      <c r="B1698" s="55">
        <v>180</v>
      </c>
    </row>
    <row r="1699" spans="1:2" x14ac:dyDescent="0.25">
      <c r="A1699" s="56">
        <v>42727</v>
      </c>
      <c r="B1699" s="55">
        <v>180</v>
      </c>
    </row>
    <row r="1700" spans="1:2" x14ac:dyDescent="0.25">
      <c r="A1700" s="56">
        <v>42726</v>
      </c>
      <c r="B1700" s="55">
        <v>175</v>
      </c>
    </row>
    <row r="1701" spans="1:2" x14ac:dyDescent="0.25">
      <c r="A1701" s="56">
        <v>42725</v>
      </c>
      <c r="B1701" s="55">
        <v>185</v>
      </c>
    </row>
    <row r="1702" spans="1:2" x14ac:dyDescent="0.25">
      <c r="A1702" s="56">
        <v>42724</v>
      </c>
      <c r="B1702" s="55">
        <v>185</v>
      </c>
    </row>
    <row r="1703" spans="1:2" x14ac:dyDescent="0.25">
      <c r="A1703" s="56">
        <v>42723</v>
      </c>
      <c r="B1703" s="55">
        <v>180</v>
      </c>
    </row>
    <row r="1704" spans="1:2" x14ac:dyDescent="0.25">
      <c r="A1704" s="56">
        <v>42720</v>
      </c>
      <c r="B1704" s="55">
        <v>190</v>
      </c>
    </row>
    <row r="1705" spans="1:2" x14ac:dyDescent="0.25">
      <c r="A1705" s="56">
        <v>42719</v>
      </c>
      <c r="B1705" s="55">
        <v>190</v>
      </c>
    </row>
    <row r="1706" spans="1:2" x14ac:dyDescent="0.25">
      <c r="A1706" s="56">
        <v>42718</v>
      </c>
      <c r="B1706" s="55">
        <v>185</v>
      </c>
    </row>
    <row r="1707" spans="1:2" x14ac:dyDescent="0.25">
      <c r="A1707" s="56">
        <v>42717</v>
      </c>
      <c r="B1707" s="55">
        <v>190</v>
      </c>
    </row>
    <row r="1708" spans="1:2" x14ac:dyDescent="0.25">
      <c r="A1708" s="56">
        <v>42716</v>
      </c>
      <c r="B1708" s="55">
        <v>189</v>
      </c>
    </row>
    <row r="1709" spans="1:2" x14ac:dyDescent="0.25">
      <c r="A1709" s="56">
        <v>42713</v>
      </c>
      <c r="B1709" s="55">
        <v>189</v>
      </c>
    </row>
    <row r="1710" spans="1:2" x14ac:dyDescent="0.25">
      <c r="A1710" s="56">
        <v>42712</v>
      </c>
      <c r="B1710" s="55">
        <v>185</v>
      </c>
    </row>
    <row r="1711" spans="1:2" x14ac:dyDescent="0.25">
      <c r="A1711" s="56">
        <v>42711</v>
      </c>
      <c r="B1711" s="55">
        <v>190</v>
      </c>
    </row>
    <row r="1712" spans="1:2" x14ac:dyDescent="0.25">
      <c r="A1712" s="56">
        <v>42710</v>
      </c>
      <c r="B1712" s="55">
        <v>190</v>
      </c>
    </row>
    <row r="1713" spans="1:2" x14ac:dyDescent="0.25">
      <c r="A1713" s="56">
        <v>42709</v>
      </c>
      <c r="B1713" s="55">
        <v>195</v>
      </c>
    </row>
    <row r="1714" spans="1:2" x14ac:dyDescent="0.25">
      <c r="A1714" s="56">
        <v>42706</v>
      </c>
      <c r="B1714" s="55">
        <v>195</v>
      </c>
    </row>
    <row r="1715" spans="1:2" x14ac:dyDescent="0.25">
      <c r="A1715" s="56">
        <v>42705</v>
      </c>
      <c r="B1715" s="55">
        <v>205</v>
      </c>
    </row>
    <row r="1716" spans="1:2" x14ac:dyDescent="0.25">
      <c r="A1716" s="56">
        <v>42704</v>
      </c>
      <c r="B1716" s="55">
        <v>200</v>
      </c>
    </row>
    <row r="1717" spans="1:2" x14ac:dyDescent="0.25">
      <c r="A1717" s="56">
        <v>42703</v>
      </c>
      <c r="B1717" s="55">
        <v>195</v>
      </c>
    </row>
    <row r="1718" spans="1:2" x14ac:dyDescent="0.25">
      <c r="A1718" s="56">
        <v>42702</v>
      </c>
      <c r="B1718" s="55">
        <v>205</v>
      </c>
    </row>
    <row r="1719" spans="1:2" x14ac:dyDescent="0.25">
      <c r="A1719" s="56">
        <v>42699</v>
      </c>
      <c r="B1719" s="55">
        <v>205</v>
      </c>
    </row>
    <row r="1720" spans="1:2" x14ac:dyDescent="0.25">
      <c r="A1720" s="56">
        <v>42698</v>
      </c>
      <c r="B1720" s="55">
        <v>205</v>
      </c>
    </row>
    <row r="1721" spans="1:2" x14ac:dyDescent="0.25">
      <c r="A1721" s="56">
        <v>42697</v>
      </c>
      <c r="B1721" s="55">
        <v>215</v>
      </c>
    </row>
    <row r="1722" spans="1:2" x14ac:dyDescent="0.25">
      <c r="A1722" s="56">
        <v>42696</v>
      </c>
      <c r="B1722" s="55">
        <v>210</v>
      </c>
    </row>
    <row r="1723" spans="1:2" x14ac:dyDescent="0.25">
      <c r="A1723" s="56">
        <v>42695</v>
      </c>
      <c r="B1723" s="55">
        <v>175</v>
      </c>
    </row>
    <row r="1724" spans="1:2" x14ac:dyDescent="0.25">
      <c r="A1724" s="56">
        <v>42692</v>
      </c>
      <c r="B1724" s="55">
        <v>180</v>
      </c>
    </row>
    <row r="1725" spans="1:2" x14ac:dyDescent="0.25">
      <c r="A1725" s="56">
        <v>42691</v>
      </c>
      <c r="B1725" s="55">
        <v>190</v>
      </c>
    </row>
    <row r="1726" spans="1:2" x14ac:dyDescent="0.25">
      <c r="A1726" s="56">
        <v>42690</v>
      </c>
      <c r="B1726" s="55">
        <v>190</v>
      </c>
    </row>
    <row r="1727" spans="1:2" x14ac:dyDescent="0.25">
      <c r="A1727" s="56">
        <v>42689</v>
      </c>
      <c r="B1727" s="55">
        <v>205</v>
      </c>
    </row>
    <row r="1728" spans="1:2" x14ac:dyDescent="0.25">
      <c r="A1728" s="56">
        <v>42688</v>
      </c>
      <c r="B1728" s="55">
        <v>200</v>
      </c>
    </row>
    <row r="1729" spans="1:2" x14ac:dyDescent="0.25">
      <c r="A1729" s="56">
        <v>42685</v>
      </c>
      <c r="B1729" s="55">
        <v>200</v>
      </c>
    </row>
    <row r="1730" spans="1:2" x14ac:dyDescent="0.25">
      <c r="A1730" s="56">
        <v>42684</v>
      </c>
      <c r="B1730" s="55">
        <v>185</v>
      </c>
    </row>
    <row r="1731" spans="1:2" x14ac:dyDescent="0.25">
      <c r="A1731" s="56">
        <v>42683</v>
      </c>
      <c r="B1731" s="55">
        <v>180</v>
      </c>
    </row>
    <row r="1732" spans="1:2" x14ac:dyDescent="0.25">
      <c r="A1732" s="56">
        <v>42682</v>
      </c>
      <c r="B1732" s="55">
        <v>178</v>
      </c>
    </row>
    <row r="1733" spans="1:2" x14ac:dyDescent="0.25">
      <c r="A1733" s="56">
        <v>42681</v>
      </c>
      <c r="B1733" s="55">
        <v>176</v>
      </c>
    </row>
    <row r="1734" spans="1:2" x14ac:dyDescent="0.25">
      <c r="A1734" s="56">
        <v>42678</v>
      </c>
      <c r="B1734" s="55">
        <v>175</v>
      </c>
    </row>
    <row r="1735" spans="1:2" x14ac:dyDescent="0.25">
      <c r="A1735" s="56">
        <v>42677</v>
      </c>
      <c r="B1735" s="55">
        <v>175</v>
      </c>
    </row>
    <row r="1736" spans="1:2" x14ac:dyDescent="0.25">
      <c r="A1736" s="56">
        <v>42676</v>
      </c>
      <c r="B1736" s="55">
        <v>182</v>
      </c>
    </row>
    <row r="1737" spans="1:2" x14ac:dyDescent="0.25">
      <c r="A1737" s="56">
        <v>42675</v>
      </c>
      <c r="B1737" s="55">
        <v>175</v>
      </c>
    </row>
    <row r="1738" spans="1:2" x14ac:dyDescent="0.25">
      <c r="A1738" s="56">
        <v>42674</v>
      </c>
      <c r="B1738" s="55">
        <v>177</v>
      </c>
    </row>
    <row r="1739" spans="1:2" x14ac:dyDescent="0.25">
      <c r="A1739" s="56">
        <v>42671</v>
      </c>
      <c r="B1739" s="55">
        <v>182</v>
      </c>
    </row>
    <row r="1740" spans="1:2" x14ac:dyDescent="0.25">
      <c r="A1740" s="56">
        <v>42670</v>
      </c>
      <c r="B1740" s="55">
        <v>177</v>
      </c>
    </row>
    <row r="1741" spans="1:2" x14ac:dyDescent="0.25">
      <c r="A1741" s="56">
        <v>42669</v>
      </c>
      <c r="B1741" s="55">
        <v>179</v>
      </c>
    </row>
    <row r="1742" spans="1:2" x14ac:dyDescent="0.25">
      <c r="A1742" s="56">
        <v>42668</v>
      </c>
      <c r="B1742" s="55">
        <v>185</v>
      </c>
    </row>
    <row r="1743" spans="1:2" x14ac:dyDescent="0.25">
      <c r="A1743" s="56">
        <v>42667</v>
      </c>
      <c r="B1743" s="55">
        <v>180</v>
      </c>
    </row>
    <row r="1744" spans="1:2" x14ac:dyDescent="0.25">
      <c r="A1744" s="56">
        <v>42664</v>
      </c>
      <c r="B1744" s="55">
        <v>175</v>
      </c>
    </row>
    <row r="1745" spans="1:2" x14ac:dyDescent="0.25">
      <c r="A1745" s="56">
        <v>42663</v>
      </c>
      <c r="B1745" s="55">
        <v>187</v>
      </c>
    </row>
    <row r="1746" spans="1:2" x14ac:dyDescent="0.25">
      <c r="A1746" s="56">
        <v>42662</v>
      </c>
      <c r="B1746" s="55">
        <v>188</v>
      </c>
    </row>
    <row r="1747" spans="1:2" x14ac:dyDescent="0.25">
      <c r="A1747" s="56">
        <v>42661</v>
      </c>
      <c r="B1747" s="55">
        <v>190</v>
      </c>
    </row>
    <row r="1748" spans="1:2" x14ac:dyDescent="0.25">
      <c r="A1748" s="56">
        <v>42660</v>
      </c>
      <c r="B1748" s="55">
        <v>185</v>
      </c>
    </row>
    <row r="1749" spans="1:2" x14ac:dyDescent="0.25">
      <c r="A1749" s="56">
        <v>42657</v>
      </c>
      <c r="B1749" s="55">
        <v>190</v>
      </c>
    </row>
    <row r="1750" spans="1:2" x14ac:dyDescent="0.25">
      <c r="A1750" s="56">
        <v>42656</v>
      </c>
      <c r="B1750" s="55">
        <v>193</v>
      </c>
    </row>
    <row r="1751" spans="1:2" x14ac:dyDescent="0.25">
      <c r="A1751" s="56">
        <v>42655</v>
      </c>
      <c r="B1751" s="55">
        <v>194</v>
      </c>
    </row>
    <row r="1752" spans="1:2" x14ac:dyDescent="0.25">
      <c r="A1752" s="56">
        <v>42654</v>
      </c>
      <c r="B1752" s="55">
        <v>180</v>
      </c>
    </row>
    <row r="1753" spans="1:2" x14ac:dyDescent="0.25">
      <c r="A1753" s="56">
        <v>42653</v>
      </c>
      <c r="B1753" s="55">
        <v>183</v>
      </c>
    </row>
    <row r="1754" spans="1:2" x14ac:dyDescent="0.25">
      <c r="A1754" s="56">
        <v>42650</v>
      </c>
      <c r="B1754" s="55">
        <v>180</v>
      </c>
    </row>
    <row r="1755" spans="1:2" x14ac:dyDescent="0.25">
      <c r="A1755" s="56">
        <v>42649</v>
      </c>
      <c r="B1755" s="55">
        <v>181</v>
      </c>
    </row>
    <row r="1756" spans="1:2" x14ac:dyDescent="0.25">
      <c r="A1756" s="56">
        <v>42648</v>
      </c>
      <c r="B1756" s="55">
        <v>181</v>
      </c>
    </row>
    <row r="1757" spans="1:2" x14ac:dyDescent="0.25">
      <c r="A1757" s="56">
        <v>42647</v>
      </c>
      <c r="B1757" s="55">
        <v>177</v>
      </c>
    </row>
    <row r="1758" spans="1:2" x14ac:dyDescent="0.25">
      <c r="A1758" s="56">
        <v>42646</v>
      </c>
      <c r="B1758" s="55">
        <v>177</v>
      </c>
    </row>
    <row r="1759" spans="1:2" x14ac:dyDescent="0.25">
      <c r="A1759" s="56">
        <v>42643</v>
      </c>
      <c r="B1759" s="55">
        <v>175</v>
      </c>
    </row>
    <row r="1760" spans="1:2" x14ac:dyDescent="0.25">
      <c r="A1760" s="56">
        <v>42642</v>
      </c>
      <c r="B1760" s="55">
        <v>180</v>
      </c>
    </row>
    <row r="1761" spans="1:2" x14ac:dyDescent="0.25">
      <c r="A1761" s="56">
        <v>42641</v>
      </c>
      <c r="B1761" s="55">
        <v>175</v>
      </c>
    </row>
    <row r="1762" spans="1:2" x14ac:dyDescent="0.25">
      <c r="A1762" s="56">
        <v>42640</v>
      </c>
      <c r="B1762" s="55">
        <v>175</v>
      </c>
    </row>
    <row r="1763" spans="1:2" x14ac:dyDescent="0.25">
      <c r="A1763" s="56">
        <v>42639</v>
      </c>
      <c r="B1763" s="55">
        <v>172</v>
      </c>
    </row>
    <row r="1764" spans="1:2" x14ac:dyDescent="0.25">
      <c r="A1764" s="56">
        <v>42636</v>
      </c>
      <c r="B1764" s="55">
        <v>168</v>
      </c>
    </row>
    <row r="1765" spans="1:2" x14ac:dyDescent="0.25">
      <c r="A1765" s="56">
        <v>42635</v>
      </c>
      <c r="B1765" s="55">
        <v>172</v>
      </c>
    </row>
    <row r="1766" spans="1:2" x14ac:dyDescent="0.25">
      <c r="A1766" s="56">
        <v>42634</v>
      </c>
      <c r="B1766" s="55">
        <v>175</v>
      </c>
    </row>
    <row r="1767" spans="1:2" x14ac:dyDescent="0.25">
      <c r="A1767" s="56">
        <v>42633</v>
      </c>
      <c r="B1767" s="55">
        <v>180</v>
      </c>
    </row>
    <row r="1768" spans="1:2" x14ac:dyDescent="0.25">
      <c r="A1768" s="56">
        <v>42632</v>
      </c>
      <c r="B1768" s="55">
        <v>180</v>
      </c>
    </row>
    <row r="1769" spans="1:2" x14ac:dyDescent="0.25">
      <c r="A1769" s="56">
        <v>42629</v>
      </c>
      <c r="B1769" s="55">
        <v>178</v>
      </c>
    </row>
    <row r="1770" spans="1:2" x14ac:dyDescent="0.25">
      <c r="A1770" s="56">
        <v>42628</v>
      </c>
      <c r="B1770" s="55">
        <v>185</v>
      </c>
    </row>
    <row r="1771" spans="1:2" x14ac:dyDescent="0.25">
      <c r="A1771" s="56">
        <v>42627</v>
      </c>
      <c r="B1771" s="55">
        <v>180</v>
      </c>
    </row>
    <row r="1772" spans="1:2" x14ac:dyDescent="0.25">
      <c r="A1772" s="56">
        <v>42626</v>
      </c>
      <c r="B1772" s="55">
        <v>177</v>
      </c>
    </row>
    <row r="1773" spans="1:2" x14ac:dyDescent="0.25">
      <c r="A1773" s="56">
        <v>42625</v>
      </c>
      <c r="B1773" s="55">
        <v>172</v>
      </c>
    </row>
    <row r="1774" spans="1:2" x14ac:dyDescent="0.25">
      <c r="A1774" s="56">
        <v>42622</v>
      </c>
      <c r="B1774" s="55">
        <v>172</v>
      </c>
    </row>
    <row r="1775" spans="1:2" x14ac:dyDescent="0.25">
      <c r="A1775" s="56">
        <v>42621</v>
      </c>
      <c r="B1775" s="55">
        <v>165</v>
      </c>
    </row>
    <row r="1776" spans="1:2" x14ac:dyDescent="0.25">
      <c r="A1776" s="56">
        <v>42620</v>
      </c>
      <c r="B1776" s="55">
        <v>165</v>
      </c>
    </row>
    <row r="1777" spans="1:2" x14ac:dyDescent="0.25">
      <c r="A1777" s="56">
        <v>42619</v>
      </c>
      <c r="B1777" s="55">
        <v>165</v>
      </c>
    </row>
    <row r="1778" spans="1:2" x14ac:dyDescent="0.25">
      <c r="A1778" s="56">
        <v>42618</v>
      </c>
      <c r="B1778" s="55">
        <v>170</v>
      </c>
    </row>
    <row r="1779" spans="1:2" x14ac:dyDescent="0.25">
      <c r="A1779" s="56">
        <v>42615</v>
      </c>
      <c r="B1779" s="55">
        <v>173</v>
      </c>
    </row>
    <row r="1780" spans="1:2" x14ac:dyDescent="0.25">
      <c r="A1780" s="56">
        <v>42614</v>
      </c>
      <c r="B1780" s="55">
        <v>175</v>
      </c>
    </row>
    <row r="1781" spans="1:2" x14ac:dyDescent="0.25">
      <c r="A1781" s="56">
        <v>42613</v>
      </c>
      <c r="B1781" s="55">
        <v>180</v>
      </c>
    </row>
    <row r="1782" spans="1:2" x14ac:dyDescent="0.25">
      <c r="A1782" s="56">
        <v>42612</v>
      </c>
      <c r="B1782" s="55">
        <v>183</v>
      </c>
    </row>
    <row r="1783" spans="1:2" x14ac:dyDescent="0.25">
      <c r="A1783" s="56">
        <v>42611</v>
      </c>
      <c r="B1783" s="55">
        <v>183</v>
      </c>
    </row>
    <row r="1784" spans="1:2" x14ac:dyDescent="0.25">
      <c r="A1784" s="56">
        <v>42608</v>
      </c>
      <c r="B1784" s="55">
        <v>182</v>
      </c>
    </row>
    <row r="1785" spans="1:2" x14ac:dyDescent="0.25">
      <c r="A1785" s="56">
        <v>42607</v>
      </c>
      <c r="B1785" s="55">
        <v>185</v>
      </c>
    </row>
    <row r="1786" spans="1:2" x14ac:dyDescent="0.25">
      <c r="A1786" s="56">
        <v>42606</v>
      </c>
      <c r="B1786" s="55">
        <v>185</v>
      </c>
    </row>
    <row r="1787" spans="1:2" x14ac:dyDescent="0.25">
      <c r="A1787" s="56">
        <v>42605</v>
      </c>
      <c r="B1787" s="55">
        <v>186</v>
      </c>
    </row>
    <row r="1788" spans="1:2" x14ac:dyDescent="0.25">
      <c r="A1788" s="56">
        <v>42604</v>
      </c>
      <c r="B1788" s="55">
        <v>185</v>
      </c>
    </row>
    <row r="1789" spans="1:2" x14ac:dyDescent="0.25">
      <c r="A1789" s="56">
        <v>42601</v>
      </c>
      <c r="B1789" s="55">
        <v>170</v>
      </c>
    </row>
    <row r="1790" spans="1:2" x14ac:dyDescent="0.25">
      <c r="A1790" s="56">
        <v>42600</v>
      </c>
      <c r="B1790" s="55">
        <v>175</v>
      </c>
    </row>
    <row r="1791" spans="1:2" x14ac:dyDescent="0.25">
      <c r="A1791" s="56">
        <v>42599</v>
      </c>
      <c r="B1791" s="55">
        <v>175</v>
      </c>
    </row>
    <row r="1792" spans="1:2" x14ac:dyDescent="0.25">
      <c r="A1792" s="56">
        <v>42598</v>
      </c>
      <c r="B1792" s="55">
        <v>175</v>
      </c>
    </row>
    <row r="1793" spans="1:2" x14ac:dyDescent="0.25">
      <c r="A1793" s="56">
        <v>42597</v>
      </c>
      <c r="B1793" s="55">
        <v>178</v>
      </c>
    </row>
    <row r="1794" spans="1:2" x14ac:dyDescent="0.25">
      <c r="A1794" s="56">
        <v>42594</v>
      </c>
      <c r="B1794" s="55">
        <v>170</v>
      </c>
    </row>
    <row r="1795" spans="1:2" x14ac:dyDescent="0.25">
      <c r="A1795" s="56">
        <v>42593</v>
      </c>
      <c r="B1795" s="55">
        <v>180</v>
      </c>
    </row>
    <row r="1796" spans="1:2" x14ac:dyDescent="0.25">
      <c r="A1796" s="56">
        <v>42592</v>
      </c>
      <c r="B1796" s="55">
        <v>175</v>
      </c>
    </row>
    <row r="1797" spans="1:2" x14ac:dyDescent="0.25">
      <c r="A1797" s="56">
        <v>42591</v>
      </c>
      <c r="B1797" s="55">
        <v>175</v>
      </c>
    </row>
    <row r="1798" spans="1:2" x14ac:dyDescent="0.25">
      <c r="A1798" s="56">
        <v>42590</v>
      </c>
      <c r="B1798" s="55">
        <v>170</v>
      </c>
    </row>
    <row r="1799" spans="1:2" x14ac:dyDescent="0.25">
      <c r="A1799" s="56">
        <v>42587</v>
      </c>
      <c r="B1799" s="55">
        <v>165</v>
      </c>
    </row>
    <row r="1800" spans="1:2" x14ac:dyDescent="0.25">
      <c r="A1800" s="56">
        <v>42586</v>
      </c>
      <c r="B1800" s="55">
        <v>165</v>
      </c>
    </row>
    <row r="1801" spans="1:2" x14ac:dyDescent="0.25">
      <c r="A1801" s="56">
        <v>42585</v>
      </c>
      <c r="B1801" s="55">
        <v>170</v>
      </c>
    </row>
    <row r="1802" spans="1:2" x14ac:dyDescent="0.25">
      <c r="A1802" s="56">
        <v>42584</v>
      </c>
      <c r="B1802" s="55">
        <v>170</v>
      </c>
    </row>
    <row r="1803" spans="1:2" x14ac:dyDescent="0.25">
      <c r="A1803" s="56">
        <v>42583</v>
      </c>
      <c r="B1803" s="55">
        <v>170</v>
      </c>
    </row>
    <row r="1804" spans="1:2" x14ac:dyDescent="0.25">
      <c r="A1804" s="56">
        <v>42580</v>
      </c>
      <c r="B1804" s="55">
        <v>178</v>
      </c>
    </row>
    <row r="1805" spans="1:2" x14ac:dyDescent="0.25">
      <c r="A1805" s="56">
        <v>42579</v>
      </c>
      <c r="B1805" s="55">
        <v>175</v>
      </c>
    </row>
    <row r="1806" spans="1:2" x14ac:dyDescent="0.25">
      <c r="A1806" s="56">
        <v>42578</v>
      </c>
      <c r="B1806" s="55">
        <v>180</v>
      </c>
    </row>
    <row r="1807" spans="1:2" x14ac:dyDescent="0.25">
      <c r="A1807" s="56">
        <v>42577</v>
      </c>
      <c r="B1807" s="55">
        <v>175</v>
      </c>
    </row>
    <row r="1808" spans="1:2" x14ac:dyDescent="0.25">
      <c r="A1808" s="56">
        <v>42576</v>
      </c>
      <c r="B1808" s="55">
        <v>190</v>
      </c>
    </row>
    <row r="1809" spans="1:2" x14ac:dyDescent="0.25">
      <c r="A1809" s="56">
        <v>42573</v>
      </c>
      <c r="B1809" s="55">
        <v>183</v>
      </c>
    </row>
    <row r="1810" spans="1:2" x14ac:dyDescent="0.25">
      <c r="A1810" s="56">
        <v>42572</v>
      </c>
      <c r="B1810" s="55">
        <v>180</v>
      </c>
    </row>
    <row r="1811" spans="1:2" x14ac:dyDescent="0.25">
      <c r="A1811" s="56">
        <v>42571</v>
      </c>
      <c r="B1811" s="55">
        <v>180</v>
      </c>
    </row>
    <row r="1812" spans="1:2" x14ac:dyDescent="0.25">
      <c r="A1812" s="56">
        <v>42570</v>
      </c>
      <c r="B1812" s="55">
        <v>178</v>
      </c>
    </row>
    <row r="1813" spans="1:2" x14ac:dyDescent="0.25">
      <c r="A1813" s="56">
        <v>42569</v>
      </c>
      <c r="B1813" s="55">
        <v>180</v>
      </c>
    </row>
    <row r="1814" spans="1:2" x14ac:dyDescent="0.25">
      <c r="A1814" s="56">
        <v>42566</v>
      </c>
      <c r="B1814" s="55">
        <v>190</v>
      </c>
    </row>
    <row r="1815" spans="1:2" x14ac:dyDescent="0.25">
      <c r="A1815" s="56">
        <v>42565</v>
      </c>
      <c r="B1815" s="55">
        <v>190</v>
      </c>
    </row>
    <row r="1816" spans="1:2" x14ac:dyDescent="0.25">
      <c r="A1816" s="56">
        <v>42564</v>
      </c>
      <c r="B1816" s="55">
        <v>190</v>
      </c>
    </row>
    <row r="1817" spans="1:2" x14ac:dyDescent="0.25">
      <c r="A1817" s="56">
        <v>42563</v>
      </c>
      <c r="B1817" s="55">
        <v>190</v>
      </c>
    </row>
    <row r="1818" spans="1:2" x14ac:dyDescent="0.25">
      <c r="A1818" s="56">
        <v>42562</v>
      </c>
      <c r="B1818" s="55">
        <v>200</v>
      </c>
    </row>
    <row r="1819" spans="1:2" x14ac:dyDescent="0.25">
      <c r="A1819" s="56">
        <v>42559</v>
      </c>
      <c r="B1819" s="55">
        <v>210</v>
      </c>
    </row>
    <row r="1820" spans="1:2" x14ac:dyDescent="0.25">
      <c r="A1820" s="56">
        <v>42558</v>
      </c>
      <c r="B1820" s="55">
        <v>210</v>
      </c>
    </row>
    <row r="1821" spans="1:2" x14ac:dyDescent="0.25">
      <c r="A1821" s="56">
        <v>42557</v>
      </c>
      <c r="B1821" s="55">
        <v>210</v>
      </c>
    </row>
    <row r="1822" spans="1:2" x14ac:dyDescent="0.25">
      <c r="A1822" s="56">
        <v>42556</v>
      </c>
      <c r="B1822" s="55">
        <v>210</v>
      </c>
    </row>
    <row r="1823" spans="1:2" x14ac:dyDescent="0.25">
      <c r="A1823" s="56">
        <v>42555</v>
      </c>
      <c r="B1823" s="55">
        <v>210</v>
      </c>
    </row>
    <row r="1824" spans="1:2" x14ac:dyDescent="0.25">
      <c r="A1824" s="56">
        <v>42552</v>
      </c>
      <c r="B1824" s="55">
        <v>210</v>
      </c>
    </row>
    <row r="1825" spans="1:2" x14ac:dyDescent="0.25">
      <c r="A1825" s="56">
        <v>42551</v>
      </c>
      <c r="B1825" s="55">
        <v>205</v>
      </c>
    </row>
    <row r="1826" spans="1:2" x14ac:dyDescent="0.25">
      <c r="A1826" s="56">
        <v>42550</v>
      </c>
      <c r="B1826" s="55">
        <v>210</v>
      </c>
    </row>
    <row r="1827" spans="1:2" x14ac:dyDescent="0.25">
      <c r="A1827" s="56">
        <v>42549</v>
      </c>
      <c r="B1827" s="55">
        <v>210</v>
      </c>
    </row>
    <row r="1828" spans="1:2" x14ac:dyDescent="0.25">
      <c r="A1828" s="56">
        <v>42548</v>
      </c>
      <c r="B1828" s="55">
        <v>225</v>
      </c>
    </row>
    <row r="1829" spans="1:2" x14ac:dyDescent="0.25">
      <c r="A1829" s="56">
        <v>42545</v>
      </c>
      <c r="B1829" s="55">
        <v>225</v>
      </c>
    </row>
    <row r="1830" spans="1:2" x14ac:dyDescent="0.25">
      <c r="A1830" s="56">
        <v>42544</v>
      </c>
      <c r="B1830" s="55">
        <v>205</v>
      </c>
    </row>
    <row r="1831" spans="1:2" x14ac:dyDescent="0.25">
      <c r="A1831" s="56">
        <v>42543</v>
      </c>
      <c r="B1831" s="55">
        <v>220</v>
      </c>
    </row>
    <row r="1832" spans="1:2" x14ac:dyDescent="0.25">
      <c r="A1832" s="56">
        <v>42542</v>
      </c>
      <c r="B1832" s="55">
        <v>220</v>
      </c>
    </row>
    <row r="1833" spans="1:2" x14ac:dyDescent="0.25">
      <c r="A1833" s="56">
        <v>42541</v>
      </c>
      <c r="B1833" s="55">
        <v>220</v>
      </c>
    </row>
    <row r="1834" spans="1:2" x14ac:dyDescent="0.25">
      <c r="A1834" s="56">
        <v>42538</v>
      </c>
      <c r="B1834" s="55">
        <v>220</v>
      </c>
    </row>
    <row r="1835" spans="1:2" x14ac:dyDescent="0.25">
      <c r="A1835" s="56">
        <v>42537</v>
      </c>
      <c r="B1835" s="55">
        <v>225</v>
      </c>
    </row>
    <row r="1836" spans="1:2" x14ac:dyDescent="0.25">
      <c r="A1836" s="56">
        <v>42536</v>
      </c>
      <c r="B1836" s="55">
        <v>225</v>
      </c>
    </row>
    <row r="1837" spans="1:2" x14ac:dyDescent="0.25">
      <c r="A1837" s="56">
        <v>42535</v>
      </c>
      <c r="B1837" s="55">
        <v>225</v>
      </c>
    </row>
    <row r="1838" spans="1:2" x14ac:dyDescent="0.25">
      <c r="A1838" s="56">
        <v>42534</v>
      </c>
      <c r="B1838" s="55">
        <v>230</v>
      </c>
    </row>
    <row r="1839" spans="1:2" x14ac:dyDescent="0.25">
      <c r="A1839" s="56">
        <v>42531</v>
      </c>
      <c r="B1839" s="55">
        <v>210</v>
      </c>
    </row>
    <row r="1840" spans="1:2" x14ac:dyDescent="0.25">
      <c r="A1840" s="56">
        <v>42530</v>
      </c>
      <c r="B1840" s="55">
        <v>210</v>
      </c>
    </row>
    <row r="1841" spans="1:2" x14ac:dyDescent="0.25">
      <c r="A1841" s="56">
        <v>42529</v>
      </c>
      <c r="B1841" s="55">
        <v>215</v>
      </c>
    </row>
    <row r="1842" spans="1:2" x14ac:dyDescent="0.25">
      <c r="A1842" s="56">
        <v>42528</v>
      </c>
      <c r="B1842" s="55">
        <v>210</v>
      </c>
    </row>
    <row r="1843" spans="1:2" x14ac:dyDescent="0.25">
      <c r="A1843" s="56">
        <v>42527</v>
      </c>
      <c r="B1843" s="55">
        <v>210</v>
      </c>
    </row>
    <row r="1844" spans="1:2" x14ac:dyDescent="0.25">
      <c r="A1844" s="56">
        <v>42524</v>
      </c>
      <c r="B1844" s="55">
        <v>224</v>
      </c>
    </row>
    <row r="1845" spans="1:2" x14ac:dyDescent="0.25">
      <c r="A1845" s="56">
        <v>42523</v>
      </c>
      <c r="B1845" s="55">
        <v>220</v>
      </c>
    </row>
    <row r="1846" spans="1:2" x14ac:dyDescent="0.25">
      <c r="A1846" s="56">
        <v>42522</v>
      </c>
      <c r="B1846" s="55">
        <v>220</v>
      </c>
    </row>
    <row r="1847" spans="1:2" x14ac:dyDescent="0.25">
      <c r="A1847" s="56">
        <v>42521</v>
      </c>
      <c r="B1847" s="55">
        <v>215</v>
      </c>
    </row>
    <row r="1848" spans="1:2" x14ac:dyDescent="0.25">
      <c r="A1848" s="56">
        <v>42520</v>
      </c>
      <c r="B1848" s="55">
        <v>210</v>
      </c>
    </row>
    <row r="1849" spans="1:2" x14ac:dyDescent="0.25">
      <c r="A1849" s="56">
        <v>42517</v>
      </c>
      <c r="B1849" s="55">
        <v>210</v>
      </c>
    </row>
    <row r="1850" spans="1:2" x14ac:dyDescent="0.25">
      <c r="A1850" s="56">
        <v>42516</v>
      </c>
      <c r="B1850" s="55">
        <v>215</v>
      </c>
    </row>
    <row r="1851" spans="1:2" x14ac:dyDescent="0.25">
      <c r="A1851" s="56">
        <v>42515</v>
      </c>
      <c r="B1851" s="55">
        <v>225</v>
      </c>
    </row>
    <row r="1852" spans="1:2" x14ac:dyDescent="0.25">
      <c r="A1852" s="56">
        <v>42514</v>
      </c>
      <c r="B1852" s="55">
        <v>225</v>
      </c>
    </row>
    <row r="1853" spans="1:2" x14ac:dyDescent="0.25">
      <c r="A1853" s="56">
        <v>42513</v>
      </c>
      <c r="B1853" s="55">
        <v>226</v>
      </c>
    </row>
    <row r="1854" spans="1:2" x14ac:dyDescent="0.25">
      <c r="A1854" s="56">
        <v>42510</v>
      </c>
      <c r="B1854" s="55">
        <v>220</v>
      </c>
    </row>
    <row r="1855" spans="1:2" x14ac:dyDescent="0.25">
      <c r="A1855" s="56">
        <v>42509</v>
      </c>
      <c r="B1855" s="55">
        <v>205</v>
      </c>
    </row>
    <row r="1856" spans="1:2" x14ac:dyDescent="0.25">
      <c r="A1856" s="56">
        <v>42508</v>
      </c>
      <c r="B1856" s="55">
        <v>215</v>
      </c>
    </row>
    <row r="1857" spans="1:2" x14ac:dyDescent="0.25">
      <c r="A1857" s="56">
        <v>42507</v>
      </c>
      <c r="B1857" s="55">
        <v>205</v>
      </c>
    </row>
    <row r="1858" spans="1:2" x14ac:dyDescent="0.25">
      <c r="A1858" s="56">
        <v>42506</v>
      </c>
      <c r="B1858" s="55">
        <v>205</v>
      </c>
    </row>
    <row r="1859" spans="1:2" x14ac:dyDescent="0.25">
      <c r="A1859" s="56">
        <v>42503</v>
      </c>
      <c r="B1859" s="55">
        <v>209</v>
      </c>
    </row>
    <row r="1860" spans="1:2" x14ac:dyDescent="0.25">
      <c r="A1860" s="56">
        <v>42502</v>
      </c>
      <c r="B1860" s="55">
        <v>200</v>
      </c>
    </row>
    <row r="1861" spans="1:2" x14ac:dyDescent="0.25">
      <c r="A1861" s="56">
        <v>42501</v>
      </c>
      <c r="B1861" s="55">
        <v>210</v>
      </c>
    </row>
    <row r="1862" spans="1:2" x14ac:dyDescent="0.25">
      <c r="A1862" s="56">
        <v>42500</v>
      </c>
      <c r="B1862" s="55">
        <v>210</v>
      </c>
    </row>
    <row r="1863" spans="1:2" x14ac:dyDescent="0.25">
      <c r="A1863" s="56">
        <v>42499</v>
      </c>
      <c r="B1863" s="55">
        <v>185</v>
      </c>
    </row>
    <row r="1864" spans="1:2" x14ac:dyDescent="0.25">
      <c r="A1864" s="56">
        <v>42496</v>
      </c>
      <c r="B1864" s="55">
        <v>190</v>
      </c>
    </row>
    <row r="1865" spans="1:2" x14ac:dyDescent="0.25">
      <c r="A1865" s="56">
        <v>42495</v>
      </c>
      <c r="B1865" s="55">
        <v>190</v>
      </c>
    </row>
    <row r="1866" spans="1:2" x14ac:dyDescent="0.25">
      <c r="A1866" s="56">
        <v>42494</v>
      </c>
      <c r="B1866" s="55">
        <v>190</v>
      </c>
    </row>
    <row r="1867" spans="1:2" x14ac:dyDescent="0.25">
      <c r="A1867" s="56">
        <v>42493</v>
      </c>
      <c r="B1867" s="55">
        <v>196</v>
      </c>
    </row>
    <row r="1868" spans="1:2" x14ac:dyDescent="0.25">
      <c r="A1868" s="56">
        <v>42492</v>
      </c>
      <c r="B1868" s="55">
        <v>185</v>
      </c>
    </row>
    <row r="1869" spans="1:2" x14ac:dyDescent="0.25">
      <c r="A1869" s="56">
        <v>42489</v>
      </c>
      <c r="B1869" s="55">
        <v>185</v>
      </c>
    </row>
    <row r="1870" spans="1:2" x14ac:dyDescent="0.25">
      <c r="A1870" s="56">
        <v>42488</v>
      </c>
      <c r="B1870" s="55">
        <v>185</v>
      </c>
    </row>
    <row r="1871" spans="1:2" x14ac:dyDescent="0.25">
      <c r="A1871" s="56">
        <v>42487</v>
      </c>
      <c r="B1871" s="55">
        <v>185</v>
      </c>
    </row>
    <row r="1872" spans="1:2" x14ac:dyDescent="0.25">
      <c r="A1872" s="56">
        <v>42486</v>
      </c>
      <c r="B1872" s="55">
        <v>180</v>
      </c>
    </row>
    <row r="1873" spans="1:2" x14ac:dyDescent="0.25">
      <c r="A1873" s="56">
        <v>42485</v>
      </c>
      <c r="B1873" s="55">
        <v>188</v>
      </c>
    </row>
    <row r="1874" spans="1:2" x14ac:dyDescent="0.25">
      <c r="A1874" s="56">
        <v>42482</v>
      </c>
      <c r="B1874" s="55">
        <v>186</v>
      </c>
    </row>
    <row r="1875" spans="1:2" x14ac:dyDescent="0.25">
      <c r="A1875" s="56">
        <v>42481</v>
      </c>
      <c r="B1875" s="55">
        <v>185</v>
      </c>
    </row>
    <row r="1876" spans="1:2" x14ac:dyDescent="0.25">
      <c r="A1876" s="56">
        <v>42480</v>
      </c>
      <c r="B1876" s="55">
        <v>182</v>
      </c>
    </row>
    <row r="1877" spans="1:2" x14ac:dyDescent="0.25">
      <c r="A1877" s="56">
        <v>42479</v>
      </c>
      <c r="B1877" s="55">
        <v>185</v>
      </c>
    </row>
    <row r="1878" spans="1:2" x14ac:dyDescent="0.25">
      <c r="A1878" s="56">
        <v>42478</v>
      </c>
      <c r="B1878" s="55">
        <v>185</v>
      </c>
    </row>
    <row r="1879" spans="1:2" x14ac:dyDescent="0.25">
      <c r="A1879" s="56">
        <v>42475</v>
      </c>
      <c r="B1879" s="55">
        <v>180</v>
      </c>
    </row>
    <row r="1880" spans="1:2" x14ac:dyDescent="0.25">
      <c r="A1880" s="56">
        <v>42474</v>
      </c>
      <c r="B1880" s="55">
        <v>185</v>
      </c>
    </row>
    <row r="1881" spans="1:2" x14ac:dyDescent="0.25">
      <c r="A1881" s="56">
        <v>42473</v>
      </c>
      <c r="B1881" s="55">
        <v>180</v>
      </c>
    </row>
    <row r="1882" spans="1:2" x14ac:dyDescent="0.25">
      <c r="A1882" s="56">
        <v>42472</v>
      </c>
      <c r="B1882" s="55">
        <v>180</v>
      </c>
    </row>
    <row r="1883" spans="1:2" x14ac:dyDescent="0.25">
      <c r="A1883" s="56">
        <v>42471</v>
      </c>
      <c r="B1883" s="55">
        <v>195</v>
      </c>
    </row>
    <row r="1884" spans="1:2" x14ac:dyDescent="0.25">
      <c r="A1884" s="56">
        <v>42468</v>
      </c>
      <c r="B1884" s="55">
        <v>205</v>
      </c>
    </row>
    <row r="1885" spans="1:2" x14ac:dyDescent="0.25">
      <c r="A1885" s="56">
        <v>42467</v>
      </c>
      <c r="B1885" s="55">
        <v>200</v>
      </c>
    </row>
    <row r="1886" spans="1:2" x14ac:dyDescent="0.25">
      <c r="A1886" s="56">
        <v>42466</v>
      </c>
      <c r="B1886" s="55">
        <v>210</v>
      </c>
    </row>
    <row r="1887" spans="1:2" x14ac:dyDescent="0.25">
      <c r="A1887" s="56">
        <v>42465</v>
      </c>
      <c r="B1887" s="55">
        <v>218</v>
      </c>
    </row>
    <row r="1888" spans="1:2" x14ac:dyDescent="0.25">
      <c r="A1888" s="56">
        <v>42464</v>
      </c>
      <c r="B1888" s="55">
        <v>205</v>
      </c>
    </row>
    <row r="1889" spans="1:2" x14ac:dyDescent="0.25">
      <c r="A1889" s="56">
        <v>42461</v>
      </c>
      <c r="B1889" s="55">
        <v>215</v>
      </c>
    </row>
    <row r="1890" spans="1:2" x14ac:dyDescent="0.25">
      <c r="A1890" s="56">
        <v>42460</v>
      </c>
      <c r="B1890" s="55">
        <v>200</v>
      </c>
    </row>
    <row r="1891" spans="1:2" x14ac:dyDescent="0.25">
      <c r="A1891" s="56">
        <v>42459</v>
      </c>
      <c r="B1891" s="55">
        <v>195</v>
      </c>
    </row>
    <row r="1892" spans="1:2" x14ac:dyDescent="0.25">
      <c r="A1892" s="56">
        <v>42458</v>
      </c>
      <c r="B1892" s="55">
        <v>210</v>
      </c>
    </row>
    <row r="1893" spans="1:2" x14ac:dyDescent="0.25">
      <c r="A1893" s="56">
        <v>42457</v>
      </c>
      <c r="B1893" s="55">
        <v>200</v>
      </c>
    </row>
    <row r="1894" spans="1:2" x14ac:dyDescent="0.25">
      <c r="A1894" s="56">
        <v>42454</v>
      </c>
      <c r="B1894" s="55">
        <v>200</v>
      </c>
    </row>
    <row r="1895" spans="1:2" x14ac:dyDescent="0.25">
      <c r="A1895" s="56">
        <v>42453</v>
      </c>
      <c r="B1895" s="55">
        <v>200</v>
      </c>
    </row>
    <row r="1896" spans="1:2" x14ac:dyDescent="0.25">
      <c r="A1896" s="56">
        <v>42452</v>
      </c>
      <c r="B1896" s="55">
        <v>190</v>
      </c>
    </row>
    <row r="1897" spans="1:2" x14ac:dyDescent="0.25">
      <c r="A1897" s="56">
        <v>42451</v>
      </c>
      <c r="B1897" s="55">
        <v>200</v>
      </c>
    </row>
    <row r="1898" spans="1:2" x14ac:dyDescent="0.25">
      <c r="A1898" s="56">
        <v>42450</v>
      </c>
      <c r="B1898" s="55">
        <v>192</v>
      </c>
    </row>
    <row r="1899" spans="1:2" x14ac:dyDescent="0.25">
      <c r="A1899" s="56">
        <v>42447</v>
      </c>
      <c r="B1899" s="55">
        <v>185</v>
      </c>
    </row>
    <row r="1900" spans="1:2" x14ac:dyDescent="0.25">
      <c r="A1900" s="56">
        <v>42446</v>
      </c>
      <c r="B1900" s="55">
        <v>170</v>
      </c>
    </row>
    <row r="1901" spans="1:2" x14ac:dyDescent="0.25">
      <c r="A1901" s="56">
        <v>42445</v>
      </c>
      <c r="B1901" s="55">
        <v>187</v>
      </c>
    </row>
    <row r="1902" spans="1:2" x14ac:dyDescent="0.25">
      <c r="A1902" s="56">
        <v>42444</v>
      </c>
      <c r="B1902" s="55">
        <v>190</v>
      </c>
    </row>
    <row r="1903" spans="1:2" x14ac:dyDescent="0.25">
      <c r="A1903" s="56">
        <v>42443</v>
      </c>
      <c r="B1903" s="55">
        <v>190</v>
      </c>
    </row>
    <row r="1904" spans="1:2" x14ac:dyDescent="0.25">
      <c r="A1904" s="56">
        <v>42440</v>
      </c>
      <c r="B1904" s="55">
        <v>190</v>
      </c>
    </row>
    <row r="1905" spans="1:2" x14ac:dyDescent="0.25">
      <c r="A1905" s="56">
        <v>42439</v>
      </c>
      <c r="B1905" s="55">
        <v>185</v>
      </c>
    </row>
    <row r="1906" spans="1:2" x14ac:dyDescent="0.25">
      <c r="A1906" s="56">
        <v>42438</v>
      </c>
      <c r="B1906" s="55">
        <v>190</v>
      </c>
    </row>
    <row r="1907" spans="1:2" x14ac:dyDescent="0.25">
      <c r="A1907" s="56">
        <v>42437</v>
      </c>
      <c r="B1907" s="55">
        <v>190</v>
      </c>
    </row>
    <row r="1908" spans="1:2" x14ac:dyDescent="0.25">
      <c r="A1908" s="56">
        <v>42436</v>
      </c>
      <c r="B1908" s="55">
        <v>180</v>
      </c>
    </row>
    <row r="1909" spans="1:2" x14ac:dyDescent="0.25">
      <c r="A1909" s="56">
        <v>42433</v>
      </c>
      <c r="B1909" s="55">
        <v>185</v>
      </c>
    </row>
    <row r="1910" spans="1:2" x14ac:dyDescent="0.25">
      <c r="A1910" s="56">
        <v>42432</v>
      </c>
      <c r="B1910" s="55">
        <v>188</v>
      </c>
    </row>
    <row r="1911" spans="1:2" x14ac:dyDescent="0.25">
      <c r="A1911" s="56">
        <v>42431</v>
      </c>
      <c r="B1911" s="55">
        <v>190</v>
      </c>
    </row>
    <row r="1912" spans="1:2" x14ac:dyDescent="0.25">
      <c r="A1912" s="56">
        <v>42430</v>
      </c>
      <c r="B1912" s="55">
        <v>190</v>
      </c>
    </row>
    <row r="1913" spans="1:2" x14ac:dyDescent="0.25">
      <c r="A1913" s="56">
        <v>42429</v>
      </c>
      <c r="B1913" s="55">
        <v>200</v>
      </c>
    </row>
    <row r="1914" spans="1:2" x14ac:dyDescent="0.25">
      <c r="A1914" s="56">
        <v>42426</v>
      </c>
      <c r="B1914" s="55">
        <v>205</v>
      </c>
    </row>
    <row r="1915" spans="1:2" x14ac:dyDescent="0.25">
      <c r="A1915" s="56">
        <v>42425</v>
      </c>
      <c r="B1915" s="55">
        <v>215</v>
      </c>
    </row>
    <row r="1916" spans="1:2" x14ac:dyDescent="0.25">
      <c r="A1916" s="56">
        <v>42424</v>
      </c>
      <c r="B1916" s="55">
        <v>210</v>
      </c>
    </row>
    <row r="1917" spans="1:2" x14ac:dyDescent="0.25">
      <c r="A1917" s="56">
        <v>42423</v>
      </c>
      <c r="B1917" s="55">
        <v>225</v>
      </c>
    </row>
    <row r="1918" spans="1:2" x14ac:dyDescent="0.25">
      <c r="A1918" s="56">
        <v>42422</v>
      </c>
      <c r="B1918" s="55">
        <v>218</v>
      </c>
    </row>
    <row r="1919" spans="1:2" x14ac:dyDescent="0.25">
      <c r="A1919" s="56">
        <v>42419</v>
      </c>
      <c r="B1919" s="55">
        <v>215</v>
      </c>
    </row>
    <row r="1920" spans="1:2" x14ac:dyDescent="0.25">
      <c r="A1920" s="56">
        <v>42418</v>
      </c>
      <c r="B1920" s="55">
        <v>215</v>
      </c>
    </row>
    <row r="1921" spans="1:2" x14ac:dyDescent="0.25">
      <c r="A1921" s="56">
        <v>42417</v>
      </c>
      <c r="B1921" s="55">
        <v>222</v>
      </c>
    </row>
    <row r="1922" spans="1:2" x14ac:dyDescent="0.25">
      <c r="A1922" s="56">
        <v>42416</v>
      </c>
      <c r="B1922" s="55">
        <v>222</v>
      </c>
    </row>
    <row r="1923" spans="1:2" x14ac:dyDescent="0.25">
      <c r="A1923" s="56">
        <v>42415</v>
      </c>
      <c r="B1923" s="55">
        <v>224</v>
      </c>
    </row>
    <row r="1924" spans="1:2" x14ac:dyDescent="0.25">
      <c r="A1924" s="56">
        <v>42412</v>
      </c>
      <c r="B1924" s="55">
        <v>230</v>
      </c>
    </row>
    <row r="1925" spans="1:2" x14ac:dyDescent="0.25">
      <c r="A1925" s="56">
        <v>42411</v>
      </c>
      <c r="B1925" s="55">
        <v>227</v>
      </c>
    </row>
    <row r="1926" spans="1:2" x14ac:dyDescent="0.25">
      <c r="A1926" s="56">
        <v>42410</v>
      </c>
      <c r="B1926" s="55">
        <v>230</v>
      </c>
    </row>
    <row r="1927" spans="1:2" x14ac:dyDescent="0.25">
      <c r="A1927" s="56">
        <v>42409</v>
      </c>
      <c r="B1927" s="55">
        <v>235</v>
      </c>
    </row>
    <row r="1928" spans="1:2" x14ac:dyDescent="0.25">
      <c r="A1928" s="56">
        <v>42408</v>
      </c>
      <c r="B1928" s="55">
        <v>250</v>
      </c>
    </row>
    <row r="1929" spans="1:2" x14ac:dyDescent="0.25">
      <c r="A1929" s="56">
        <v>42405</v>
      </c>
      <c r="B1929" s="55">
        <v>250</v>
      </c>
    </row>
    <row r="1930" spans="1:2" x14ac:dyDescent="0.25">
      <c r="A1930" s="56">
        <v>42404</v>
      </c>
      <c r="B1930" s="55">
        <v>240</v>
      </c>
    </row>
    <row r="1931" spans="1:2" x14ac:dyDescent="0.25">
      <c r="A1931" s="56">
        <v>42403</v>
      </c>
      <c r="B1931" s="55">
        <v>240</v>
      </c>
    </row>
    <row r="1932" spans="1:2" x14ac:dyDescent="0.25">
      <c r="A1932" s="56">
        <v>42402</v>
      </c>
      <c r="B1932" s="55">
        <v>235</v>
      </c>
    </row>
    <row r="1933" spans="1:2" x14ac:dyDescent="0.25">
      <c r="A1933" s="56">
        <v>42401</v>
      </c>
      <c r="B1933" s="55">
        <v>230</v>
      </c>
    </row>
    <row r="1934" spans="1:2" x14ac:dyDescent="0.25">
      <c r="A1934" s="56">
        <v>42398</v>
      </c>
      <c r="B1934" s="55">
        <v>245</v>
      </c>
    </row>
    <row r="1935" spans="1:2" x14ac:dyDescent="0.25">
      <c r="A1935" s="56">
        <v>42397</v>
      </c>
      <c r="B1935" s="55">
        <v>245</v>
      </c>
    </row>
    <row r="1936" spans="1:2" x14ac:dyDescent="0.25">
      <c r="A1936" s="56">
        <v>42396</v>
      </c>
      <c r="B1936" s="55">
        <v>250</v>
      </c>
    </row>
    <row r="1937" spans="1:2" x14ac:dyDescent="0.25">
      <c r="A1937" s="56">
        <v>42395</v>
      </c>
      <c r="B1937" s="55">
        <v>240</v>
      </c>
    </row>
    <row r="1938" spans="1:2" x14ac:dyDescent="0.25">
      <c r="A1938" s="56">
        <v>42394</v>
      </c>
      <c r="B1938" s="55">
        <v>235</v>
      </c>
    </row>
    <row r="1939" spans="1:2" x14ac:dyDescent="0.25">
      <c r="A1939" s="56">
        <v>42391</v>
      </c>
      <c r="B1939" s="55">
        <v>245</v>
      </c>
    </row>
    <row r="1940" spans="1:2" x14ac:dyDescent="0.25">
      <c r="A1940" s="56">
        <v>42390</v>
      </c>
      <c r="B1940" s="55">
        <v>250</v>
      </c>
    </row>
    <row r="1941" spans="1:2" x14ac:dyDescent="0.25">
      <c r="A1941" s="56">
        <v>42389</v>
      </c>
      <c r="B1941" s="55">
        <v>250</v>
      </c>
    </row>
    <row r="1942" spans="1:2" x14ac:dyDescent="0.25">
      <c r="A1942" s="56">
        <v>42388</v>
      </c>
      <c r="B1942" s="55">
        <v>250</v>
      </c>
    </row>
    <row r="1943" spans="1:2" x14ac:dyDescent="0.25">
      <c r="A1943" s="56">
        <v>42387</v>
      </c>
      <c r="B1943" s="55">
        <v>245</v>
      </c>
    </row>
    <row r="1944" spans="1:2" x14ac:dyDescent="0.25">
      <c r="A1944" s="56">
        <v>42384</v>
      </c>
      <c r="B1944" s="55">
        <v>255</v>
      </c>
    </row>
    <row r="1945" spans="1:2" x14ac:dyDescent="0.25">
      <c r="A1945" s="56">
        <v>42383</v>
      </c>
      <c r="B1945" s="55">
        <v>270</v>
      </c>
    </row>
    <row r="1946" spans="1:2" x14ac:dyDescent="0.25">
      <c r="A1946" s="56">
        <v>42382</v>
      </c>
      <c r="B1946" s="55">
        <v>270</v>
      </c>
    </row>
    <row r="1947" spans="1:2" x14ac:dyDescent="0.25">
      <c r="A1947" s="56">
        <v>42381</v>
      </c>
      <c r="B1947" s="55">
        <v>280</v>
      </c>
    </row>
    <row r="1948" spans="1:2" x14ac:dyDescent="0.25">
      <c r="A1948" s="56">
        <v>42380</v>
      </c>
      <c r="B1948" s="55">
        <v>270</v>
      </c>
    </row>
    <row r="1949" spans="1:2" x14ac:dyDescent="0.25">
      <c r="A1949" s="56">
        <v>42377</v>
      </c>
      <c r="B1949" s="55">
        <v>270</v>
      </c>
    </row>
    <row r="1950" spans="1:2" x14ac:dyDescent="0.25">
      <c r="A1950" s="56">
        <v>42376</v>
      </c>
      <c r="B1950" s="55">
        <v>270</v>
      </c>
    </row>
    <row r="1951" spans="1:2" x14ac:dyDescent="0.25">
      <c r="A1951" s="56">
        <v>42375</v>
      </c>
      <c r="B1951" s="55">
        <v>295</v>
      </c>
    </row>
    <row r="1952" spans="1:2" x14ac:dyDescent="0.25">
      <c r="A1952" s="56">
        <v>42374</v>
      </c>
      <c r="B1952" s="55">
        <v>290</v>
      </c>
    </row>
    <row r="1953" spans="1:2" x14ac:dyDescent="0.25">
      <c r="A1953" s="56">
        <v>42373</v>
      </c>
      <c r="B1953" s="55">
        <v>300</v>
      </c>
    </row>
    <row r="1954" spans="1:2" x14ac:dyDescent="0.25">
      <c r="A1954" s="56">
        <v>42005</v>
      </c>
      <c r="B1954" s="55">
        <v>295</v>
      </c>
    </row>
    <row r="1955" spans="1:2" x14ac:dyDescent="0.25">
      <c r="A1955" s="56">
        <v>42369</v>
      </c>
      <c r="B1955" s="55">
        <v>295</v>
      </c>
    </row>
    <row r="1956" spans="1:2" x14ac:dyDescent="0.25">
      <c r="A1956" s="56">
        <v>42368</v>
      </c>
      <c r="B1956" s="55">
        <v>300</v>
      </c>
    </row>
    <row r="1957" spans="1:2" x14ac:dyDescent="0.25">
      <c r="A1957" s="56">
        <v>42367</v>
      </c>
      <c r="B1957" s="55">
        <v>310</v>
      </c>
    </row>
    <row r="1958" spans="1:2" x14ac:dyDescent="0.25">
      <c r="A1958" s="56">
        <v>42366</v>
      </c>
      <c r="B1958" s="55">
        <v>320</v>
      </c>
    </row>
    <row r="1959" spans="1:2" x14ac:dyDescent="0.25">
      <c r="A1959" s="56">
        <v>42363</v>
      </c>
      <c r="B1959" s="55">
        <v>303</v>
      </c>
    </row>
    <row r="1960" spans="1:2" x14ac:dyDescent="0.25">
      <c r="A1960" s="56">
        <v>42362</v>
      </c>
      <c r="B1960" s="55">
        <v>303</v>
      </c>
    </row>
    <row r="1961" spans="1:2" x14ac:dyDescent="0.25">
      <c r="A1961" s="56">
        <v>42361</v>
      </c>
      <c r="B1961" s="55">
        <v>303</v>
      </c>
    </row>
    <row r="1962" spans="1:2" x14ac:dyDescent="0.25">
      <c r="A1962" s="56">
        <v>42360</v>
      </c>
      <c r="B1962" s="55">
        <v>310</v>
      </c>
    </row>
    <row r="1963" spans="1:2" x14ac:dyDescent="0.25">
      <c r="A1963" s="56">
        <v>42359</v>
      </c>
      <c r="B1963" s="55">
        <v>315</v>
      </c>
    </row>
    <row r="1964" spans="1:2" x14ac:dyDescent="0.25">
      <c r="A1964" s="56">
        <v>42356</v>
      </c>
      <c r="B1964" s="55">
        <v>310</v>
      </c>
    </row>
    <row r="1965" spans="1:2" x14ac:dyDescent="0.25">
      <c r="A1965" s="56">
        <v>42355</v>
      </c>
      <c r="B1965" s="55">
        <v>320</v>
      </c>
    </row>
    <row r="1966" spans="1:2" x14ac:dyDescent="0.25">
      <c r="A1966" s="56">
        <v>42354</v>
      </c>
      <c r="B1966" s="55">
        <v>330</v>
      </c>
    </row>
    <row r="1967" spans="1:2" x14ac:dyDescent="0.25">
      <c r="A1967" s="56">
        <v>42353</v>
      </c>
      <c r="B1967" s="55">
        <v>320</v>
      </c>
    </row>
    <row r="1968" spans="1:2" x14ac:dyDescent="0.25">
      <c r="A1968" s="56">
        <v>42352</v>
      </c>
      <c r="B1968" s="55">
        <v>320</v>
      </c>
    </row>
    <row r="1969" spans="1:2" x14ac:dyDescent="0.25">
      <c r="A1969" s="56">
        <v>42349</v>
      </c>
      <c r="B1969" s="55">
        <v>315</v>
      </c>
    </row>
    <row r="1970" spans="1:2" x14ac:dyDescent="0.25">
      <c r="A1970" s="56">
        <v>42348</v>
      </c>
      <c r="B1970" s="55">
        <v>315</v>
      </c>
    </row>
    <row r="1971" spans="1:2" x14ac:dyDescent="0.25">
      <c r="A1971" s="56">
        <v>42347</v>
      </c>
      <c r="B1971" s="55">
        <v>300</v>
      </c>
    </row>
    <row r="1972" spans="1:2" x14ac:dyDescent="0.25">
      <c r="A1972" s="56">
        <v>42346</v>
      </c>
      <c r="B1972" s="55">
        <v>300</v>
      </c>
    </row>
    <row r="1973" spans="1:2" x14ac:dyDescent="0.25">
      <c r="A1973" s="56">
        <v>42345</v>
      </c>
      <c r="B1973" s="55">
        <v>300</v>
      </c>
    </row>
    <row r="1974" spans="1:2" x14ac:dyDescent="0.25">
      <c r="A1974" s="56">
        <v>42342</v>
      </c>
      <c r="B1974" s="55">
        <v>290</v>
      </c>
    </row>
    <row r="1975" spans="1:2" x14ac:dyDescent="0.25">
      <c r="A1975" s="56">
        <v>42341</v>
      </c>
      <c r="B1975" s="55">
        <v>295</v>
      </c>
    </row>
    <row r="1976" spans="1:2" x14ac:dyDescent="0.25">
      <c r="A1976" s="56">
        <v>42340</v>
      </c>
      <c r="B1976" s="55">
        <v>300</v>
      </c>
    </row>
    <row r="1977" spans="1:2" x14ac:dyDescent="0.25">
      <c r="A1977" s="56">
        <v>42339</v>
      </c>
      <c r="B1977" s="55">
        <v>295</v>
      </c>
    </row>
    <row r="1978" spans="1:2" x14ac:dyDescent="0.25">
      <c r="A1978" s="56">
        <v>42338</v>
      </c>
      <c r="B1978" s="55">
        <v>300</v>
      </c>
    </row>
    <row r="1979" spans="1:2" x14ac:dyDescent="0.25">
      <c r="A1979" s="56">
        <v>42335</v>
      </c>
      <c r="B1979" s="55">
        <v>290</v>
      </c>
    </row>
    <row r="1980" spans="1:2" x14ac:dyDescent="0.25">
      <c r="A1980" s="56">
        <v>42334</v>
      </c>
      <c r="B1980" s="55">
        <v>290</v>
      </c>
    </row>
    <row r="1981" spans="1:2" x14ac:dyDescent="0.25">
      <c r="A1981" s="56">
        <v>42333</v>
      </c>
      <c r="B1981" s="55">
        <v>300</v>
      </c>
    </row>
    <row r="1982" spans="1:2" x14ac:dyDescent="0.25">
      <c r="A1982" s="56">
        <v>42332</v>
      </c>
      <c r="B1982" s="55">
        <v>285</v>
      </c>
    </row>
    <row r="1983" spans="1:2" x14ac:dyDescent="0.25">
      <c r="A1983" s="56">
        <v>42331</v>
      </c>
      <c r="B1983" s="55">
        <v>300</v>
      </c>
    </row>
    <row r="1984" spans="1:2" x14ac:dyDescent="0.25">
      <c r="A1984" s="56">
        <v>42328</v>
      </c>
      <c r="B1984" s="55">
        <v>310</v>
      </c>
    </row>
    <row r="1985" spans="1:2" x14ac:dyDescent="0.25">
      <c r="A1985" s="56">
        <v>42327</v>
      </c>
      <c r="B1985" s="55">
        <v>335</v>
      </c>
    </row>
    <row r="1986" spans="1:2" x14ac:dyDescent="0.25">
      <c r="A1986" s="56">
        <v>42326</v>
      </c>
      <c r="B1986" s="55">
        <v>380</v>
      </c>
    </row>
    <row r="1987" spans="1:2" x14ac:dyDescent="0.25">
      <c r="A1987" s="56">
        <v>42325</v>
      </c>
      <c r="B1987" s="55">
        <v>360</v>
      </c>
    </row>
    <row r="1988" spans="1:2" x14ac:dyDescent="0.25">
      <c r="A1988" s="56">
        <v>42324</v>
      </c>
      <c r="B1988" s="55">
        <v>340</v>
      </c>
    </row>
    <row r="1989" spans="1:2" x14ac:dyDescent="0.25">
      <c r="A1989" s="56">
        <v>42321</v>
      </c>
      <c r="B1989" s="55">
        <v>355</v>
      </c>
    </row>
    <row r="1990" spans="1:2" x14ac:dyDescent="0.25">
      <c r="A1990" s="56">
        <v>42320</v>
      </c>
      <c r="B1990" s="55">
        <v>330</v>
      </c>
    </row>
    <row r="1991" spans="1:2" x14ac:dyDescent="0.25">
      <c r="A1991" s="56">
        <v>42319</v>
      </c>
      <c r="B1991" s="55">
        <v>350</v>
      </c>
    </row>
    <row r="1992" spans="1:2" x14ac:dyDescent="0.25">
      <c r="A1992" s="56">
        <v>42318</v>
      </c>
      <c r="B1992" s="55">
        <v>330</v>
      </c>
    </row>
    <row r="1993" spans="1:2" x14ac:dyDescent="0.25">
      <c r="A1993" s="56">
        <v>42317</v>
      </c>
      <c r="B1993" s="55">
        <v>330</v>
      </c>
    </row>
    <row r="1994" spans="1:2" x14ac:dyDescent="0.25">
      <c r="A1994" s="56">
        <v>42314</v>
      </c>
      <c r="B1994" s="55">
        <v>330</v>
      </c>
    </row>
    <row r="1995" spans="1:2" x14ac:dyDescent="0.25">
      <c r="A1995" s="56">
        <v>42313</v>
      </c>
      <c r="B1995" s="55">
        <v>315</v>
      </c>
    </row>
    <row r="1996" spans="1:2" x14ac:dyDescent="0.25">
      <c r="A1996" s="56">
        <v>42312</v>
      </c>
      <c r="B1996" s="55">
        <v>290</v>
      </c>
    </row>
    <row r="1997" spans="1:2" x14ac:dyDescent="0.25">
      <c r="A1997" s="56">
        <v>42311</v>
      </c>
      <c r="B1997" s="55">
        <v>345</v>
      </c>
    </row>
    <row r="1998" spans="1:2" x14ac:dyDescent="0.25">
      <c r="A1998" s="56">
        <v>42310</v>
      </c>
      <c r="B1998" s="55">
        <v>370</v>
      </c>
    </row>
    <row r="1999" spans="1:2" x14ac:dyDescent="0.25">
      <c r="A1999" s="56">
        <v>42307</v>
      </c>
      <c r="B1999" s="55">
        <v>370</v>
      </c>
    </row>
    <row r="2000" spans="1:2" x14ac:dyDescent="0.25">
      <c r="A2000" s="56">
        <v>42306</v>
      </c>
      <c r="B2000" s="55">
        <v>340</v>
      </c>
    </row>
    <row r="2001" spans="1:2" x14ac:dyDescent="0.25">
      <c r="A2001" s="56">
        <v>42305</v>
      </c>
      <c r="B2001" s="55">
        <v>360</v>
      </c>
    </row>
    <row r="2002" spans="1:2" x14ac:dyDescent="0.25">
      <c r="A2002" s="56">
        <v>42304</v>
      </c>
      <c r="B2002" s="55">
        <v>420</v>
      </c>
    </row>
    <row r="2003" spans="1:2" x14ac:dyDescent="0.25">
      <c r="A2003" s="56">
        <v>42303</v>
      </c>
      <c r="B2003" s="55">
        <v>420</v>
      </c>
    </row>
    <row r="2004" spans="1:2" x14ac:dyDescent="0.25">
      <c r="A2004" s="56">
        <v>42300</v>
      </c>
      <c r="B2004" s="55">
        <v>430</v>
      </c>
    </row>
    <row r="2005" spans="1:2" x14ac:dyDescent="0.25">
      <c r="A2005" s="56">
        <v>42299</v>
      </c>
      <c r="B2005" s="55">
        <v>420</v>
      </c>
    </row>
    <row r="2006" spans="1:2" x14ac:dyDescent="0.25">
      <c r="A2006" s="56">
        <v>42298</v>
      </c>
      <c r="B2006" s="55">
        <v>440</v>
      </c>
    </row>
    <row r="2007" spans="1:2" x14ac:dyDescent="0.25">
      <c r="A2007" s="56">
        <v>42297</v>
      </c>
      <c r="B2007" s="55">
        <v>400</v>
      </c>
    </row>
    <row r="2008" spans="1:2" x14ac:dyDescent="0.25">
      <c r="A2008" s="56">
        <v>42296</v>
      </c>
      <c r="B2008" s="55">
        <v>420</v>
      </c>
    </row>
    <row r="2009" spans="1:2" x14ac:dyDescent="0.25">
      <c r="A2009" s="56">
        <v>42293</v>
      </c>
      <c r="B2009" s="55">
        <v>400</v>
      </c>
    </row>
    <row r="2010" spans="1:2" x14ac:dyDescent="0.25">
      <c r="A2010" s="56">
        <v>42292</v>
      </c>
      <c r="B2010" s="55">
        <v>400</v>
      </c>
    </row>
    <row r="2011" spans="1:2" x14ac:dyDescent="0.25">
      <c r="A2011" s="56">
        <v>42291</v>
      </c>
      <c r="B2011" s="55">
        <v>430</v>
      </c>
    </row>
    <row r="2012" spans="1:2" x14ac:dyDescent="0.25">
      <c r="A2012" s="56">
        <v>42290</v>
      </c>
      <c r="B2012" s="55">
        <v>430</v>
      </c>
    </row>
    <row r="2013" spans="1:2" x14ac:dyDescent="0.25">
      <c r="A2013" s="56">
        <v>42289</v>
      </c>
      <c r="B2013" s="55">
        <v>400</v>
      </c>
    </row>
    <row r="2014" spans="1:2" x14ac:dyDescent="0.25">
      <c r="A2014" s="56">
        <v>42286</v>
      </c>
      <c r="B2014" s="55">
        <v>400</v>
      </c>
    </row>
    <row r="2015" spans="1:2" x14ac:dyDescent="0.25">
      <c r="A2015" s="56">
        <v>42285</v>
      </c>
      <c r="B2015" s="55">
        <v>400</v>
      </c>
    </row>
    <row r="2016" spans="1:2" x14ac:dyDescent="0.25">
      <c r="A2016" s="56">
        <v>42284</v>
      </c>
      <c r="B2016" s="55">
        <v>400</v>
      </c>
    </row>
    <row r="2017" spans="1:2" x14ac:dyDescent="0.25">
      <c r="A2017" s="56">
        <v>42283</v>
      </c>
      <c r="B2017" s="55">
        <v>450</v>
      </c>
    </row>
    <row r="2018" spans="1:2" x14ac:dyDescent="0.25">
      <c r="A2018" s="56">
        <v>42282</v>
      </c>
      <c r="B2018" s="55">
        <v>510</v>
      </c>
    </row>
    <row r="2019" spans="1:2" x14ac:dyDescent="0.25">
      <c r="A2019" s="56">
        <v>42279</v>
      </c>
      <c r="B2019" s="55">
        <v>595</v>
      </c>
    </row>
    <row r="2020" spans="1:2" x14ac:dyDescent="0.25">
      <c r="A2020" s="56">
        <v>42278</v>
      </c>
      <c r="B2020" s="55">
        <v>550</v>
      </c>
    </row>
    <row r="2021" spans="1:2" x14ac:dyDescent="0.25">
      <c r="A2021" s="56">
        <v>42277</v>
      </c>
      <c r="B2021" s="55">
        <v>450</v>
      </c>
    </row>
    <row r="2022" spans="1:2" x14ac:dyDescent="0.25">
      <c r="A2022" s="56">
        <v>42276</v>
      </c>
      <c r="B2022" s="55">
        <v>485</v>
      </c>
    </row>
    <row r="2023" spans="1:2" x14ac:dyDescent="0.25">
      <c r="A2023" s="56">
        <v>42275</v>
      </c>
      <c r="B2023" s="55">
        <v>475</v>
      </c>
    </row>
    <row r="2024" spans="1:2" x14ac:dyDescent="0.25">
      <c r="A2024" s="56">
        <v>42272</v>
      </c>
      <c r="B2024" s="55">
        <v>475</v>
      </c>
    </row>
    <row r="2025" spans="1:2" x14ac:dyDescent="0.25">
      <c r="A2025" s="56">
        <v>42271</v>
      </c>
      <c r="B2025" s="55">
        <v>455</v>
      </c>
    </row>
    <row r="2026" spans="1:2" x14ac:dyDescent="0.25">
      <c r="A2026" s="56">
        <v>42270</v>
      </c>
      <c r="B2026" s="55">
        <v>455</v>
      </c>
    </row>
    <row r="2027" spans="1:2" x14ac:dyDescent="0.25">
      <c r="A2027" s="56">
        <v>42269</v>
      </c>
      <c r="B2027" s="55">
        <v>400</v>
      </c>
    </row>
    <row r="2028" spans="1:2" x14ac:dyDescent="0.25">
      <c r="A2028" s="56">
        <v>42268</v>
      </c>
      <c r="B2028" s="55">
        <v>350</v>
      </c>
    </row>
    <row r="2029" spans="1:2" x14ac:dyDescent="0.25">
      <c r="A2029" s="56">
        <v>42265</v>
      </c>
      <c r="B2029" s="55">
        <v>360</v>
      </c>
    </row>
    <row r="2030" spans="1:2" x14ac:dyDescent="0.25">
      <c r="A2030" s="56">
        <v>42264</v>
      </c>
      <c r="B2030" s="55">
        <v>350</v>
      </c>
    </row>
    <row r="2031" spans="1:2" x14ac:dyDescent="0.25">
      <c r="A2031" s="56">
        <v>42263</v>
      </c>
      <c r="B2031" s="55">
        <v>385</v>
      </c>
    </row>
    <row r="2032" spans="1:2" x14ac:dyDescent="0.25">
      <c r="A2032" s="56">
        <v>42262</v>
      </c>
      <c r="B2032" s="55">
        <v>350</v>
      </c>
    </row>
    <row r="2033" spans="1:2" x14ac:dyDescent="0.25">
      <c r="A2033" s="56">
        <v>42261</v>
      </c>
      <c r="B2033" s="55">
        <v>335</v>
      </c>
    </row>
    <row r="2034" spans="1:2" x14ac:dyDescent="0.25">
      <c r="A2034" s="56">
        <v>42258</v>
      </c>
      <c r="B2034" s="55">
        <v>330</v>
      </c>
    </row>
    <row r="2035" spans="1:2" x14ac:dyDescent="0.25">
      <c r="A2035" s="56">
        <v>42257</v>
      </c>
      <c r="B2035" s="55">
        <v>330</v>
      </c>
    </row>
    <row r="2036" spans="1:2" x14ac:dyDescent="0.25">
      <c r="A2036" s="56">
        <v>42256</v>
      </c>
      <c r="B2036" s="55">
        <v>330</v>
      </c>
    </row>
    <row r="2037" spans="1:2" x14ac:dyDescent="0.25">
      <c r="A2037" s="56">
        <v>42255</v>
      </c>
      <c r="B2037" s="55">
        <v>340</v>
      </c>
    </row>
    <row r="2038" spans="1:2" x14ac:dyDescent="0.25">
      <c r="A2038" s="56">
        <v>42254</v>
      </c>
      <c r="B2038" s="55">
        <v>320</v>
      </c>
    </row>
    <row r="2039" spans="1:2" x14ac:dyDescent="0.25">
      <c r="A2039" s="56">
        <v>42251</v>
      </c>
      <c r="B2039" s="55">
        <v>310</v>
      </c>
    </row>
    <row r="2040" spans="1:2" x14ac:dyDescent="0.25">
      <c r="A2040" s="56">
        <v>42250</v>
      </c>
      <c r="B2040" s="55">
        <v>300</v>
      </c>
    </row>
    <row r="2041" spans="1:2" x14ac:dyDescent="0.25">
      <c r="A2041" s="56">
        <v>42249</v>
      </c>
      <c r="B2041" s="55">
        <v>300</v>
      </c>
    </row>
    <row r="2042" spans="1:2" x14ac:dyDescent="0.25">
      <c r="A2042" s="56">
        <v>42248</v>
      </c>
      <c r="B2042" s="55">
        <v>315</v>
      </c>
    </row>
    <row r="2043" spans="1:2" x14ac:dyDescent="0.25">
      <c r="A2043" s="56">
        <v>42247</v>
      </c>
      <c r="B2043" s="55">
        <v>290</v>
      </c>
    </row>
    <row r="2044" spans="1:2" x14ac:dyDescent="0.25">
      <c r="A2044" s="56">
        <v>42244</v>
      </c>
      <c r="B2044" s="55">
        <v>290</v>
      </c>
    </row>
    <row r="2045" spans="1:2" x14ac:dyDescent="0.25">
      <c r="A2045" s="56">
        <v>42243</v>
      </c>
      <c r="B2045" s="55">
        <v>295</v>
      </c>
    </row>
    <row r="2046" spans="1:2" x14ac:dyDescent="0.25">
      <c r="A2046" s="56">
        <v>42242</v>
      </c>
      <c r="B2046" s="55">
        <v>300</v>
      </c>
    </row>
    <row r="2047" spans="1:2" x14ac:dyDescent="0.25">
      <c r="A2047" s="56">
        <v>42241</v>
      </c>
      <c r="B2047" s="55">
        <v>290</v>
      </c>
    </row>
    <row r="2048" spans="1:2" x14ac:dyDescent="0.25">
      <c r="A2048" s="56">
        <v>42240</v>
      </c>
      <c r="B2048" s="55">
        <v>290</v>
      </c>
    </row>
    <row r="2049" spans="1:2" x14ac:dyDescent="0.25">
      <c r="A2049" s="56">
        <v>42237</v>
      </c>
      <c r="B2049" s="55">
        <v>280</v>
      </c>
    </row>
    <row r="2050" spans="1:2" x14ac:dyDescent="0.25">
      <c r="A2050" s="56">
        <v>42236</v>
      </c>
      <c r="B2050" s="55">
        <v>260</v>
      </c>
    </row>
    <row r="2051" spans="1:2" x14ac:dyDescent="0.25">
      <c r="A2051" s="56">
        <v>42235</v>
      </c>
      <c r="B2051" s="55">
        <v>250</v>
      </c>
    </row>
    <row r="2052" spans="1:2" x14ac:dyDescent="0.25">
      <c r="A2052" s="56">
        <v>42234</v>
      </c>
      <c r="B2052" s="55">
        <v>250</v>
      </c>
    </row>
    <row r="2053" spans="1:2" x14ac:dyDescent="0.25">
      <c r="A2053" s="56">
        <v>42233</v>
      </c>
      <c r="B2053" s="55">
        <v>250</v>
      </c>
    </row>
    <row r="2054" spans="1:2" x14ac:dyDescent="0.25">
      <c r="A2054" s="56">
        <v>42230</v>
      </c>
      <c r="B2054" s="55">
        <v>250</v>
      </c>
    </row>
    <row r="2055" spans="1:2" x14ac:dyDescent="0.25">
      <c r="A2055" s="56">
        <v>42229</v>
      </c>
      <c r="B2055" s="55">
        <v>245</v>
      </c>
    </row>
    <row r="2056" spans="1:2" x14ac:dyDescent="0.25">
      <c r="A2056" s="56">
        <v>42228</v>
      </c>
      <c r="B2056" s="55">
        <v>250</v>
      </c>
    </row>
    <row r="2057" spans="1:2" x14ac:dyDescent="0.25">
      <c r="A2057" s="56">
        <v>42227</v>
      </c>
      <c r="B2057" s="55">
        <v>245</v>
      </c>
    </row>
    <row r="2058" spans="1:2" x14ac:dyDescent="0.25">
      <c r="A2058" s="56">
        <v>42226</v>
      </c>
      <c r="B2058" s="55">
        <v>240</v>
      </c>
    </row>
    <row r="2059" spans="1:2" x14ac:dyDescent="0.25">
      <c r="A2059" s="56">
        <v>42223</v>
      </c>
      <c r="B2059" s="55">
        <v>240</v>
      </c>
    </row>
    <row r="2060" spans="1:2" x14ac:dyDescent="0.25">
      <c r="A2060" s="56">
        <v>42222</v>
      </c>
      <c r="B2060" s="55">
        <v>245</v>
      </c>
    </row>
    <row r="2061" spans="1:2" x14ac:dyDescent="0.25">
      <c r="A2061" s="56">
        <v>42221</v>
      </c>
      <c r="B2061" s="55">
        <v>253</v>
      </c>
    </row>
    <row r="2062" spans="1:2" x14ac:dyDescent="0.25">
      <c r="A2062" s="56">
        <v>42220</v>
      </c>
      <c r="B2062" s="55">
        <v>250</v>
      </c>
    </row>
    <row r="2063" spans="1:2" x14ac:dyDescent="0.25">
      <c r="A2063" s="56">
        <v>42219</v>
      </c>
      <c r="B2063" s="55">
        <v>255</v>
      </c>
    </row>
    <row r="2064" spans="1:2" x14ac:dyDescent="0.25">
      <c r="A2064" s="56">
        <v>42216</v>
      </c>
      <c r="B2064" s="55">
        <v>260</v>
      </c>
    </row>
    <row r="2065" spans="1:2" x14ac:dyDescent="0.25">
      <c r="A2065" s="56">
        <v>42215</v>
      </c>
      <c r="B2065" s="55">
        <v>258</v>
      </c>
    </row>
    <row r="2066" spans="1:2" x14ac:dyDescent="0.25">
      <c r="A2066" s="56">
        <v>42214</v>
      </c>
      <c r="B2066" s="55">
        <v>250</v>
      </c>
    </row>
    <row r="2067" spans="1:2" x14ac:dyDescent="0.25">
      <c r="A2067" s="56">
        <v>42213</v>
      </c>
      <c r="B2067" s="55">
        <v>260</v>
      </c>
    </row>
    <row r="2068" spans="1:2" x14ac:dyDescent="0.25">
      <c r="A2068" s="56">
        <v>42212</v>
      </c>
      <c r="B2068" s="55">
        <v>260</v>
      </c>
    </row>
    <row r="2069" spans="1:2" x14ac:dyDescent="0.25">
      <c r="A2069" s="56">
        <v>42209</v>
      </c>
      <c r="B2069" s="55">
        <v>263</v>
      </c>
    </row>
    <row r="2070" spans="1:2" x14ac:dyDescent="0.25">
      <c r="A2070" s="56">
        <v>42208</v>
      </c>
      <c r="B2070" s="55">
        <v>256</v>
      </c>
    </row>
    <row r="2071" spans="1:2" x14ac:dyDescent="0.25">
      <c r="A2071" s="56">
        <v>42207</v>
      </c>
      <c r="B2071" s="55">
        <v>260</v>
      </c>
    </row>
    <row r="2072" spans="1:2" x14ac:dyDescent="0.25">
      <c r="A2072" s="56">
        <v>42206</v>
      </c>
      <c r="B2072" s="55">
        <v>260</v>
      </c>
    </row>
    <row r="2073" spans="1:2" x14ac:dyDescent="0.25">
      <c r="A2073" s="56">
        <v>42205</v>
      </c>
      <c r="B2073" s="55">
        <v>260</v>
      </c>
    </row>
    <row r="2074" spans="1:2" x14ac:dyDescent="0.25">
      <c r="A2074" s="56">
        <v>42202</v>
      </c>
      <c r="B2074" s="55">
        <v>260</v>
      </c>
    </row>
    <row r="2075" spans="1:2" x14ac:dyDescent="0.25">
      <c r="A2075" s="56">
        <v>42201</v>
      </c>
      <c r="B2075" s="55">
        <v>260</v>
      </c>
    </row>
    <row r="2076" spans="1:2" x14ac:dyDescent="0.25">
      <c r="A2076" s="56">
        <v>42200</v>
      </c>
      <c r="B2076" s="55">
        <v>260</v>
      </c>
    </row>
    <row r="2077" spans="1:2" x14ac:dyDescent="0.25">
      <c r="A2077" s="56">
        <v>42199</v>
      </c>
      <c r="B2077" s="55">
        <v>265</v>
      </c>
    </row>
    <row r="2078" spans="1:2" x14ac:dyDescent="0.25">
      <c r="A2078" s="56">
        <v>42198</v>
      </c>
      <c r="B2078" s="55">
        <v>260</v>
      </c>
    </row>
    <row r="2079" spans="1:2" x14ac:dyDescent="0.25">
      <c r="A2079" s="56">
        <v>42195</v>
      </c>
      <c r="B2079" s="55">
        <v>278</v>
      </c>
    </row>
    <row r="2080" spans="1:2" x14ac:dyDescent="0.25">
      <c r="A2080" s="56">
        <v>42194</v>
      </c>
      <c r="B2080" s="55">
        <v>270</v>
      </c>
    </row>
    <row r="2081" spans="1:2" x14ac:dyDescent="0.25">
      <c r="A2081" s="56">
        <v>42193</v>
      </c>
      <c r="B2081" s="55">
        <v>265</v>
      </c>
    </row>
    <row r="2082" spans="1:2" x14ac:dyDescent="0.25">
      <c r="A2082" s="56">
        <v>42192</v>
      </c>
      <c r="B2082" s="55">
        <v>265</v>
      </c>
    </row>
    <row r="2083" spans="1:2" x14ac:dyDescent="0.25">
      <c r="A2083" s="56">
        <v>42191</v>
      </c>
      <c r="B2083" s="55">
        <v>260</v>
      </c>
    </row>
    <row r="2084" spans="1:2" x14ac:dyDescent="0.25">
      <c r="A2084" s="56">
        <v>42188</v>
      </c>
      <c r="B2084" s="55">
        <v>265</v>
      </c>
    </row>
    <row r="2085" spans="1:2" x14ac:dyDescent="0.25">
      <c r="A2085" s="56">
        <v>42187</v>
      </c>
      <c r="B2085" s="55">
        <v>265</v>
      </c>
    </row>
    <row r="2086" spans="1:2" x14ac:dyDescent="0.25">
      <c r="A2086" s="56">
        <v>42186</v>
      </c>
      <c r="B2086" s="55">
        <v>270</v>
      </c>
    </row>
    <row r="2087" spans="1:2" x14ac:dyDescent="0.25">
      <c r="A2087" s="56">
        <v>42185</v>
      </c>
      <c r="B2087" s="55">
        <v>275</v>
      </c>
    </row>
    <row r="2088" spans="1:2" x14ac:dyDescent="0.25">
      <c r="A2088" s="56">
        <v>42184</v>
      </c>
      <c r="B2088" s="55">
        <v>270</v>
      </c>
    </row>
    <row r="2089" spans="1:2" x14ac:dyDescent="0.25">
      <c r="A2089" s="56">
        <v>42181</v>
      </c>
      <c r="B2089" s="55">
        <v>255</v>
      </c>
    </row>
    <row r="2090" spans="1:2" x14ac:dyDescent="0.25">
      <c r="A2090" s="56">
        <v>42180</v>
      </c>
      <c r="B2090" s="55">
        <v>255</v>
      </c>
    </row>
    <row r="2091" spans="1:2" x14ac:dyDescent="0.25">
      <c r="A2091" s="56">
        <v>42179</v>
      </c>
      <c r="B2091" s="55">
        <v>255</v>
      </c>
    </row>
    <row r="2092" spans="1:2" x14ac:dyDescent="0.25">
      <c r="A2092" s="56">
        <v>42178</v>
      </c>
      <c r="B2092" s="55">
        <v>255</v>
      </c>
    </row>
    <row r="2093" spans="1:2" x14ac:dyDescent="0.25">
      <c r="A2093" s="56">
        <v>42177</v>
      </c>
      <c r="B2093" s="55">
        <v>255</v>
      </c>
    </row>
    <row r="2094" spans="1:2" x14ac:dyDescent="0.25">
      <c r="A2094" s="56">
        <v>42174</v>
      </c>
      <c r="B2094" s="55">
        <v>255</v>
      </c>
    </row>
    <row r="2095" spans="1:2" x14ac:dyDescent="0.25">
      <c r="A2095" s="56">
        <v>42173</v>
      </c>
      <c r="B2095" s="55">
        <v>260</v>
      </c>
    </row>
    <row r="2096" spans="1:2" x14ac:dyDescent="0.25">
      <c r="A2096" s="56">
        <v>42172</v>
      </c>
      <c r="B2096" s="55">
        <v>260</v>
      </c>
    </row>
    <row r="2097" spans="1:2" x14ac:dyDescent="0.25">
      <c r="A2097" s="56">
        <v>42171</v>
      </c>
      <c r="B2097" s="55">
        <v>260</v>
      </c>
    </row>
    <row r="2098" spans="1:2" x14ac:dyDescent="0.25">
      <c r="A2098" s="56">
        <v>42170</v>
      </c>
      <c r="B2098" s="55">
        <v>265</v>
      </c>
    </row>
    <row r="2099" spans="1:2" x14ac:dyDescent="0.25">
      <c r="A2099" s="56">
        <v>42167</v>
      </c>
      <c r="B2099" s="55">
        <v>265</v>
      </c>
    </row>
    <row r="2100" spans="1:2" x14ac:dyDescent="0.25">
      <c r="A2100" s="56">
        <v>42166</v>
      </c>
      <c r="B2100" s="55">
        <v>270</v>
      </c>
    </row>
    <row r="2101" spans="1:2" x14ac:dyDescent="0.25">
      <c r="A2101" s="56">
        <v>42165</v>
      </c>
      <c r="B2101" s="55">
        <v>270</v>
      </c>
    </row>
    <row r="2102" spans="1:2" x14ac:dyDescent="0.25">
      <c r="A2102" s="56">
        <v>42164</v>
      </c>
      <c r="B2102" s="55">
        <v>260</v>
      </c>
    </row>
    <row r="2103" spans="1:2" x14ac:dyDescent="0.25">
      <c r="A2103" s="56">
        <v>42163</v>
      </c>
      <c r="B2103" s="55">
        <v>250</v>
      </c>
    </row>
    <row r="2104" spans="1:2" x14ac:dyDescent="0.25">
      <c r="A2104" s="56">
        <v>42160</v>
      </c>
      <c r="B2104" s="55">
        <v>245</v>
      </c>
    </row>
    <row r="2105" spans="1:2" x14ac:dyDescent="0.25">
      <c r="A2105" s="56">
        <v>42159</v>
      </c>
      <c r="B2105" s="55">
        <v>248</v>
      </c>
    </row>
    <row r="2106" spans="1:2" x14ac:dyDescent="0.25">
      <c r="A2106" s="56">
        <v>42158</v>
      </c>
      <c r="B2106" s="55">
        <v>245</v>
      </c>
    </row>
    <row r="2107" spans="1:2" x14ac:dyDescent="0.25">
      <c r="A2107" s="56">
        <v>42157</v>
      </c>
      <c r="B2107" s="55">
        <v>240</v>
      </c>
    </row>
    <row r="2108" spans="1:2" x14ac:dyDescent="0.25">
      <c r="A2108" s="56">
        <v>42156</v>
      </c>
      <c r="B2108" s="55">
        <v>240</v>
      </c>
    </row>
    <row r="2109" spans="1:2" x14ac:dyDescent="0.25">
      <c r="A2109" s="56">
        <v>42153</v>
      </c>
      <c r="B2109" s="55">
        <v>240</v>
      </c>
    </row>
    <row r="2110" spans="1:2" x14ac:dyDescent="0.25">
      <c r="A2110" s="56">
        <v>42152</v>
      </c>
      <c r="B2110" s="55">
        <v>245</v>
      </c>
    </row>
    <row r="2111" spans="1:2" x14ac:dyDescent="0.25">
      <c r="A2111" s="56">
        <v>42151</v>
      </c>
      <c r="B2111" s="55">
        <v>240</v>
      </c>
    </row>
    <row r="2112" spans="1:2" x14ac:dyDescent="0.25">
      <c r="A2112" s="56">
        <v>42150</v>
      </c>
      <c r="B2112" s="55">
        <v>245</v>
      </c>
    </row>
    <row r="2113" spans="1:2" x14ac:dyDescent="0.25">
      <c r="A2113" s="56">
        <v>42149</v>
      </c>
      <c r="B2113" s="55">
        <v>230</v>
      </c>
    </row>
    <row r="2114" spans="1:2" x14ac:dyDescent="0.25">
      <c r="A2114" s="56">
        <v>42146</v>
      </c>
      <c r="B2114" s="55">
        <v>250</v>
      </c>
    </row>
    <row r="2115" spans="1:2" x14ac:dyDescent="0.25">
      <c r="A2115" s="56">
        <v>42145</v>
      </c>
      <c r="B2115" s="55">
        <v>245</v>
      </c>
    </row>
    <row r="2116" spans="1:2" x14ac:dyDescent="0.25">
      <c r="A2116" s="56">
        <v>42144</v>
      </c>
      <c r="B2116" s="55">
        <v>260</v>
      </c>
    </row>
    <row r="2117" spans="1:2" x14ac:dyDescent="0.25">
      <c r="A2117" s="56">
        <v>42143</v>
      </c>
      <c r="B2117" s="55">
        <v>270</v>
      </c>
    </row>
    <row r="2118" spans="1:2" x14ac:dyDescent="0.25">
      <c r="A2118" s="56">
        <v>42142</v>
      </c>
      <c r="B2118" s="55">
        <v>275</v>
      </c>
    </row>
    <row r="2119" spans="1:2" x14ac:dyDescent="0.25">
      <c r="A2119" s="56">
        <v>42139</v>
      </c>
      <c r="B2119" s="55">
        <v>280</v>
      </c>
    </row>
    <row r="2120" spans="1:2" x14ac:dyDescent="0.25">
      <c r="A2120" s="56">
        <v>42138</v>
      </c>
      <c r="B2120" s="55">
        <v>280</v>
      </c>
    </row>
    <row r="2121" spans="1:2" x14ac:dyDescent="0.25">
      <c r="A2121" s="56">
        <v>42137</v>
      </c>
      <c r="B2121" s="55">
        <v>280</v>
      </c>
    </row>
    <row r="2122" spans="1:2" x14ac:dyDescent="0.25">
      <c r="A2122" s="56">
        <v>42136</v>
      </c>
      <c r="B2122" s="55">
        <v>279</v>
      </c>
    </row>
    <row r="2123" spans="1:2" x14ac:dyDescent="0.25">
      <c r="A2123" s="56">
        <v>42135</v>
      </c>
      <c r="B2123" s="55">
        <v>270</v>
      </c>
    </row>
    <row r="2124" spans="1:2" x14ac:dyDescent="0.25">
      <c r="A2124" s="56">
        <v>42132</v>
      </c>
      <c r="B2124" s="55">
        <v>275</v>
      </c>
    </row>
    <row r="2125" spans="1:2" x14ac:dyDescent="0.25">
      <c r="A2125" s="56">
        <v>42131</v>
      </c>
      <c r="B2125" s="55">
        <v>260</v>
      </c>
    </row>
    <row r="2126" spans="1:2" x14ac:dyDescent="0.25">
      <c r="A2126" s="56">
        <v>42130</v>
      </c>
      <c r="B2126" s="55">
        <v>250</v>
      </c>
    </row>
    <row r="2127" spans="1:2" x14ac:dyDescent="0.25">
      <c r="A2127" s="56">
        <v>42129</v>
      </c>
      <c r="B2127" s="55">
        <v>255</v>
      </c>
    </row>
    <row r="2128" spans="1:2" x14ac:dyDescent="0.25">
      <c r="A2128" s="56">
        <v>42128</v>
      </c>
      <c r="B2128" s="55">
        <v>260</v>
      </c>
    </row>
    <row r="2129" spans="1:2" x14ac:dyDescent="0.25">
      <c r="A2129" s="56">
        <v>42125</v>
      </c>
      <c r="B2129" s="55">
        <v>265</v>
      </c>
    </row>
    <row r="2130" spans="1:2" x14ac:dyDescent="0.25">
      <c r="A2130" s="56">
        <v>42124</v>
      </c>
      <c r="B2130" s="55">
        <v>265</v>
      </c>
    </row>
    <row r="2131" spans="1:2" x14ac:dyDescent="0.25">
      <c r="A2131" s="56">
        <v>42123</v>
      </c>
      <c r="B2131" s="55">
        <v>265</v>
      </c>
    </row>
    <row r="2132" spans="1:2" x14ac:dyDescent="0.25">
      <c r="A2132" s="56">
        <v>42122</v>
      </c>
      <c r="B2132" s="55">
        <v>275</v>
      </c>
    </row>
    <row r="2133" spans="1:2" x14ac:dyDescent="0.25">
      <c r="A2133" s="56">
        <v>42121</v>
      </c>
      <c r="B2133" s="55">
        <v>275</v>
      </c>
    </row>
    <row r="2134" spans="1:2" x14ac:dyDescent="0.25">
      <c r="A2134" s="56">
        <v>42118</v>
      </c>
      <c r="B2134" s="55">
        <v>290</v>
      </c>
    </row>
    <row r="2135" spans="1:2" x14ac:dyDescent="0.25">
      <c r="A2135" s="56">
        <v>42117</v>
      </c>
      <c r="B2135" s="55">
        <v>280</v>
      </c>
    </row>
    <row r="2136" spans="1:2" x14ac:dyDescent="0.25">
      <c r="A2136" s="56">
        <v>42116</v>
      </c>
      <c r="B2136" s="55">
        <v>300</v>
      </c>
    </row>
    <row r="2137" spans="1:2" x14ac:dyDescent="0.25">
      <c r="A2137" s="56">
        <v>42115</v>
      </c>
      <c r="B2137" s="55">
        <v>300</v>
      </c>
    </row>
    <row r="2138" spans="1:2" x14ac:dyDescent="0.25">
      <c r="A2138" s="56">
        <v>42114</v>
      </c>
      <c r="B2138" s="55">
        <v>300</v>
      </c>
    </row>
    <row r="2139" spans="1:2" x14ac:dyDescent="0.25">
      <c r="A2139" s="56">
        <v>42111</v>
      </c>
      <c r="B2139" s="55">
        <v>295</v>
      </c>
    </row>
    <row r="2140" spans="1:2" x14ac:dyDescent="0.25">
      <c r="A2140" s="56">
        <v>42110</v>
      </c>
      <c r="B2140" s="55">
        <v>285</v>
      </c>
    </row>
    <row r="2141" spans="1:2" x14ac:dyDescent="0.25">
      <c r="A2141" s="56">
        <v>42109</v>
      </c>
      <c r="B2141" s="55">
        <v>300</v>
      </c>
    </row>
    <row r="2142" spans="1:2" x14ac:dyDescent="0.25">
      <c r="A2142" s="56">
        <v>42108</v>
      </c>
      <c r="B2142" s="55">
        <v>290</v>
      </c>
    </row>
    <row r="2143" spans="1:2" x14ac:dyDescent="0.25">
      <c r="A2143" s="56">
        <v>42107</v>
      </c>
      <c r="B2143" s="55">
        <v>270</v>
      </c>
    </row>
    <row r="2144" spans="1:2" x14ac:dyDescent="0.25">
      <c r="A2144" s="56">
        <v>42104</v>
      </c>
      <c r="B2144" s="55">
        <v>275</v>
      </c>
    </row>
    <row r="2145" spans="1:2" x14ac:dyDescent="0.25">
      <c r="A2145" s="56">
        <v>42103</v>
      </c>
      <c r="B2145" s="55">
        <v>268</v>
      </c>
    </row>
    <row r="2146" spans="1:2" x14ac:dyDescent="0.25">
      <c r="A2146" s="56">
        <v>42102</v>
      </c>
      <c r="B2146" s="55">
        <v>265</v>
      </c>
    </row>
    <row r="2147" spans="1:2" x14ac:dyDescent="0.25">
      <c r="A2147" s="56">
        <v>42101</v>
      </c>
      <c r="B2147" s="55">
        <v>265</v>
      </c>
    </row>
    <row r="2148" spans="1:2" x14ac:dyDescent="0.25">
      <c r="A2148" s="56">
        <v>42100</v>
      </c>
      <c r="B2148" s="55">
        <v>255</v>
      </c>
    </row>
    <row r="2149" spans="1:2" x14ac:dyDescent="0.25">
      <c r="A2149" s="56">
        <v>42097</v>
      </c>
      <c r="B2149" s="55">
        <v>255</v>
      </c>
    </row>
    <row r="2150" spans="1:2" x14ac:dyDescent="0.25">
      <c r="A2150" s="56">
        <v>42096</v>
      </c>
      <c r="B2150" s="55">
        <v>255</v>
      </c>
    </row>
    <row r="2151" spans="1:2" x14ac:dyDescent="0.25">
      <c r="A2151" s="56">
        <v>42095</v>
      </c>
      <c r="B2151" s="55">
        <v>250</v>
      </c>
    </row>
    <row r="2152" spans="1:2" x14ac:dyDescent="0.25">
      <c r="A2152" s="56">
        <v>42094</v>
      </c>
      <c r="B2152" s="55">
        <v>263</v>
      </c>
    </row>
    <row r="2153" spans="1:2" x14ac:dyDescent="0.25">
      <c r="A2153" s="56">
        <v>42093</v>
      </c>
      <c r="B2153" s="55">
        <v>280</v>
      </c>
    </row>
    <row r="2154" spans="1:2" x14ac:dyDescent="0.25">
      <c r="A2154" s="56">
        <v>42090</v>
      </c>
      <c r="B2154" s="55">
        <v>280</v>
      </c>
    </row>
    <row r="2155" spans="1:2" x14ac:dyDescent="0.25">
      <c r="A2155" s="56">
        <v>42089</v>
      </c>
      <c r="B2155" s="55">
        <v>220</v>
      </c>
    </row>
    <row r="2156" spans="1:2" x14ac:dyDescent="0.25">
      <c r="A2156" s="56">
        <v>42088</v>
      </c>
      <c r="B2156" s="55">
        <v>240</v>
      </c>
    </row>
    <row r="2157" spans="1:2" x14ac:dyDescent="0.25">
      <c r="A2157" s="56">
        <v>42087</v>
      </c>
      <c r="B2157" s="55">
        <v>240</v>
      </c>
    </row>
    <row r="2158" spans="1:2" x14ac:dyDescent="0.25">
      <c r="A2158" s="56">
        <v>42086</v>
      </c>
      <c r="B2158" s="55">
        <v>225</v>
      </c>
    </row>
    <row r="2159" spans="1:2" x14ac:dyDescent="0.25">
      <c r="A2159" s="56">
        <v>42083</v>
      </c>
      <c r="B2159" s="55">
        <v>220</v>
      </c>
    </row>
    <row r="2160" spans="1:2" x14ac:dyDescent="0.25">
      <c r="A2160" s="56">
        <v>42082</v>
      </c>
      <c r="B2160" s="55">
        <v>205</v>
      </c>
    </row>
    <row r="2161" spans="1:2" x14ac:dyDescent="0.25">
      <c r="A2161" s="56">
        <v>42081</v>
      </c>
      <c r="B2161" s="55">
        <v>215</v>
      </c>
    </row>
    <row r="2162" spans="1:2" x14ac:dyDescent="0.25">
      <c r="A2162" s="56">
        <v>42080</v>
      </c>
      <c r="B2162" s="55">
        <v>210</v>
      </c>
    </row>
    <row r="2163" spans="1:2" x14ac:dyDescent="0.25">
      <c r="A2163" s="56">
        <v>42079</v>
      </c>
      <c r="B2163" s="55">
        <v>215</v>
      </c>
    </row>
    <row r="2164" spans="1:2" x14ac:dyDescent="0.25">
      <c r="A2164" s="56">
        <v>42076</v>
      </c>
      <c r="B2164" s="55">
        <v>205</v>
      </c>
    </row>
    <row r="2165" spans="1:2" x14ac:dyDescent="0.25">
      <c r="A2165" s="56">
        <v>42075</v>
      </c>
      <c r="B2165" s="55">
        <v>217</v>
      </c>
    </row>
    <row r="2166" spans="1:2" x14ac:dyDescent="0.25">
      <c r="A2166" s="56">
        <v>42074</v>
      </c>
      <c r="B2166" s="55">
        <v>220</v>
      </c>
    </row>
    <row r="2167" spans="1:2" x14ac:dyDescent="0.25">
      <c r="A2167" s="56">
        <v>42073</v>
      </c>
      <c r="B2167" s="55">
        <v>200</v>
      </c>
    </row>
    <row r="2168" spans="1:2" x14ac:dyDescent="0.25">
      <c r="A2168" s="56">
        <v>42072</v>
      </c>
      <c r="B2168" s="55">
        <v>203</v>
      </c>
    </row>
    <row r="2169" spans="1:2" x14ac:dyDescent="0.25">
      <c r="A2169" s="56">
        <v>42069</v>
      </c>
      <c r="B2169" s="55">
        <v>200</v>
      </c>
    </row>
    <row r="2170" spans="1:2" x14ac:dyDescent="0.25">
      <c r="A2170" s="56">
        <v>42068</v>
      </c>
      <c r="B2170" s="55">
        <v>203</v>
      </c>
    </row>
    <row r="2171" spans="1:2" x14ac:dyDescent="0.25">
      <c r="A2171" s="56">
        <v>42067</v>
      </c>
      <c r="B2171" s="55">
        <v>205</v>
      </c>
    </row>
    <row r="2172" spans="1:2" x14ac:dyDescent="0.25">
      <c r="A2172" s="56">
        <v>42066</v>
      </c>
      <c r="B2172" s="55">
        <v>202</v>
      </c>
    </row>
    <row r="2173" spans="1:2" x14ac:dyDescent="0.25">
      <c r="A2173" s="56">
        <v>42065</v>
      </c>
      <c r="B2173" s="55">
        <v>203</v>
      </c>
    </row>
    <row r="2174" spans="1:2" x14ac:dyDescent="0.25">
      <c r="A2174" s="56">
        <v>42062</v>
      </c>
      <c r="B2174" s="55">
        <v>203</v>
      </c>
    </row>
    <row r="2175" spans="1:2" x14ac:dyDescent="0.25">
      <c r="A2175" s="56">
        <v>42061</v>
      </c>
      <c r="B2175" s="55">
        <v>203</v>
      </c>
    </row>
    <row r="2176" spans="1:2" x14ac:dyDescent="0.25">
      <c r="A2176" s="56">
        <v>42060</v>
      </c>
      <c r="B2176" s="55">
        <v>200</v>
      </c>
    </row>
    <row r="2177" spans="1:2" x14ac:dyDescent="0.25">
      <c r="A2177" s="56">
        <v>42059</v>
      </c>
      <c r="B2177" s="55">
        <v>195</v>
      </c>
    </row>
    <row r="2178" spans="1:2" x14ac:dyDescent="0.25">
      <c r="A2178" s="56">
        <v>42058</v>
      </c>
      <c r="B2178" s="55">
        <v>195</v>
      </c>
    </row>
    <row r="2179" spans="1:2" x14ac:dyDescent="0.25">
      <c r="A2179" s="56">
        <v>42055</v>
      </c>
      <c r="B2179" s="55">
        <v>195</v>
      </c>
    </row>
    <row r="2180" spans="1:2" x14ac:dyDescent="0.25">
      <c r="A2180" s="56">
        <v>42054</v>
      </c>
      <c r="B2180" s="55">
        <v>200</v>
      </c>
    </row>
    <row r="2181" spans="1:2" x14ac:dyDescent="0.25">
      <c r="A2181" s="56">
        <v>42053</v>
      </c>
      <c r="B2181" s="55">
        <v>200</v>
      </c>
    </row>
    <row r="2182" spans="1:2" x14ac:dyDescent="0.25">
      <c r="A2182" s="56">
        <v>42052</v>
      </c>
      <c r="B2182" s="55">
        <v>198</v>
      </c>
    </row>
    <row r="2183" spans="1:2" x14ac:dyDescent="0.25">
      <c r="A2183" s="56">
        <v>42051</v>
      </c>
      <c r="B2183" s="55">
        <v>196</v>
      </c>
    </row>
    <row r="2184" spans="1:2" x14ac:dyDescent="0.25">
      <c r="A2184" s="56">
        <v>42048</v>
      </c>
      <c r="B2184" s="55">
        <v>198</v>
      </c>
    </row>
    <row r="2185" spans="1:2" x14ac:dyDescent="0.25">
      <c r="A2185" s="56">
        <v>42047</v>
      </c>
      <c r="B2185" s="55">
        <v>198</v>
      </c>
    </row>
    <row r="2186" spans="1:2" x14ac:dyDescent="0.25">
      <c r="A2186" s="56">
        <v>42046</v>
      </c>
      <c r="B2186" s="55">
        <v>195</v>
      </c>
    </row>
    <row r="2187" spans="1:2" x14ac:dyDescent="0.25">
      <c r="A2187" s="56">
        <v>42045</v>
      </c>
      <c r="B2187" s="55">
        <v>194</v>
      </c>
    </row>
    <row r="2188" spans="1:2" x14ac:dyDescent="0.25">
      <c r="A2188" s="56">
        <v>42044</v>
      </c>
      <c r="B2188" s="55">
        <v>193</v>
      </c>
    </row>
    <row r="2189" spans="1:2" x14ac:dyDescent="0.25">
      <c r="A2189" s="56">
        <v>42041</v>
      </c>
      <c r="B2189" s="55">
        <v>195</v>
      </c>
    </row>
    <row r="2190" spans="1:2" x14ac:dyDescent="0.25">
      <c r="A2190" s="56">
        <v>42040</v>
      </c>
      <c r="B2190" s="55">
        <v>198</v>
      </c>
    </row>
    <row r="2191" spans="1:2" x14ac:dyDescent="0.25">
      <c r="A2191" s="56">
        <v>42039</v>
      </c>
      <c r="B2191" s="55">
        <v>194</v>
      </c>
    </row>
    <row r="2192" spans="1:2" x14ac:dyDescent="0.25">
      <c r="A2192" s="56">
        <v>42038</v>
      </c>
      <c r="B2192" s="55">
        <v>194</v>
      </c>
    </row>
    <row r="2193" spans="1:2" x14ac:dyDescent="0.25">
      <c r="A2193" s="56">
        <v>42037</v>
      </c>
      <c r="B2193" s="55">
        <v>193</v>
      </c>
    </row>
    <row r="2194" spans="1:2" x14ac:dyDescent="0.25">
      <c r="A2194" s="56">
        <v>42034</v>
      </c>
      <c r="B2194" s="55">
        <v>196</v>
      </c>
    </row>
    <row r="2195" spans="1:2" x14ac:dyDescent="0.25">
      <c r="A2195" s="56">
        <v>42033</v>
      </c>
      <c r="B2195" s="55">
        <v>195</v>
      </c>
    </row>
    <row r="2196" spans="1:2" x14ac:dyDescent="0.25">
      <c r="A2196" s="56">
        <v>42032</v>
      </c>
      <c r="B2196" s="55">
        <v>197</v>
      </c>
    </row>
    <row r="2197" spans="1:2" x14ac:dyDescent="0.25">
      <c r="A2197" s="56">
        <v>42031</v>
      </c>
      <c r="B2197" s="55">
        <v>197</v>
      </c>
    </row>
    <row r="2198" spans="1:2" x14ac:dyDescent="0.25">
      <c r="A2198" s="56">
        <v>42030</v>
      </c>
      <c r="B2198" s="55">
        <v>197</v>
      </c>
    </row>
    <row r="2199" spans="1:2" x14ac:dyDescent="0.25">
      <c r="A2199" s="56">
        <v>42027</v>
      </c>
      <c r="B2199" s="55">
        <v>192</v>
      </c>
    </row>
    <row r="2200" spans="1:2" x14ac:dyDescent="0.25">
      <c r="A2200" s="56">
        <v>42026</v>
      </c>
      <c r="B2200" s="55">
        <v>193</v>
      </c>
    </row>
    <row r="2201" spans="1:2" x14ac:dyDescent="0.25">
      <c r="A2201" s="56">
        <v>42025</v>
      </c>
      <c r="B2201" s="55">
        <v>191</v>
      </c>
    </row>
    <row r="2202" spans="1:2" x14ac:dyDescent="0.25">
      <c r="A2202" s="56">
        <v>42024</v>
      </c>
      <c r="B2202" s="55">
        <v>195</v>
      </c>
    </row>
    <row r="2203" spans="1:2" x14ac:dyDescent="0.25">
      <c r="A2203" s="56">
        <v>42023</v>
      </c>
      <c r="B2203" s="55">
        <v>192</v>
      </c>
    </row>
    <row r="2204" spans="1:2" x14ac:dyDescent="0.25">
      <c r="A2204" s="56">
        <v>42020</v>
      </c>
      <c r="B2204" s="55">
        <v>192</v>
      </c>
    </row>
    <row r="2205" spans="1:2" x14ac:dyDescent="0.25">
      <c r="A2205" s="56">
        <v>42019</v>
      </c>
      <c r="B2205" s="55">
        <v>187</v>
      </c>
    </row>
    <row r="2206" spans="1:2" x14ac:dyDescent="0.25">
      <c r="A2206" s="56">
        <v>42018</v>
      </c>
      <c r="B2206" s="55">
        <v>190</v>
      </c>
    </row>
    <row r="2207" spans="1:2" x14ac:dyDescent="0.25">
      <c r="A2207" s="56">
        <v>42017</v>
      </c>
      <c r="B2207" s="55">
        <v>187</v>
      </c>
    </row>
    <row r="2208" spans="1:2" x14ac:dyDescent="0.25">
      <c r="A2208" s="56">
        <v>42016</v>
      </c>
      <c r="B2208" s="55">
        <v>185</v>
      </c>
    </row>
    <row r="2209" spans="1:2" x14ac:dyDescent="0.25">
      <c r="A2209" s="56">
        <v>42013</v>
      </c>
      <c r="B2209" s="55">
        <v>190</v>
      </c>
    </row>
    <row r="2210" spans="1:2" x14ac:dyDescent="0.25">
      <c r="A2210" s="56">
        <v>42012</v>
      </c>
      <c r="B2210" s="55">
        <v>195</v>
      </c>
    </row>
    <row r="2211" spans="1:2" x14ac:dyDescent="0.25">
      <c r="A2211" s="56">
        <v>42011</v>
      </c>
      <c r="B2211" s="55">
        <v>197</v>
      </c>
    </row>
    <row r="2212" spans="1:2" x14ac:dyDescent="0.25">
      <c r="A2212" s="56">
        <v>42010</v>
      </c>
      <c r="B2212" s="55">
        <v>198</v>
      </c>
    </row>
    <row r="2213" spans="1:2" x14ac:dyDescent="0.25">
      <c r="A2213" s="56">
        <v>42009</v>
      </c>
      <c r="B2213" s="55">
        <v>195</v>
      </c>
    </row>
    <row r="2214" spans="1:2" x14ac:dyDescent="0.25">
      <c r="A2214" s="56">
        <v>42006</v>
      </c>
      <c r="B2214" s="55">
        <v>195</v>
      </c>
    </row>
    <row r="2215" spans="1:2" x14ac:dyDescent="0.25">
      <c r="A2215" s="56">
        <v>41640</v>
      </c>
      <c r="B2215" s="55">
        <v>195</v>
      </c>
    </row>
    <row r="2216" spans="1:2" x14ac:dyDescent="0.25">
      <c r="A2216" s="56">
        <v>42004</v>
      </c>
      <c r="B2216" s="55">
        <v>195</v>
      </c>
    </row>
    <row r="2217" spans="1:2" x14ac:dyDescent="0.25">
      <c r="A2217" s="56">
        <v>42003</v>
      </c>
      <c r="B2217" s="55">
        <v>195</v>
      </c>
    </row>
    <row r="2218" spans="1:2" x14ac:dyDescent="0.25">
      <c r="A2218" s="56">
        <v>42002</v>
      </c>
      <c r="B2218" s="55">
        <v>198</v>
      </c>
    </row>
    <row r="2219" spans="1:2" x14ac:dyDescent="0.25">
      <c r="A2219" s="56">
        <v>41999</v>
      </c>
      <c r="B2219" s="55">
        <v>195</v>
      </c>
    </row>
    <row r="2220" spans="1:2" x14ac:dyDescent="0.25">
      <c r="A2220" s="56">
        <v>41998</v>
      </c>
      <c r="B2220" s="55">
        <v>195</v>
      </c>
    </row>
    <row r="2221" spans="1:2" x14ac:dyDescent="0.25">
      <c r="A2221" s="56">
        <v>41997</v>
      </c>
      <c r="B2221" s="55">
        <v>195</v>
      </c>
    </row>
    <row r="2222" spans="1:2" x14ac:dyDescent="0.25">
      <c r="A2222" s="56">
        <v>41996</v>
      </c>
      <c r="B2222" s="55">
        <v>192</v>
      </c>
    </row>
    <row r="2223" spans="1:2" x14ac:dyDescent="0.25">
      <c r="A2223" s="56">
        <v>41995</v>
      </c>
      <c r="B2223" s="55">
        <v>200</v>
      </c>
    </row>
    <row r="2224" spans="1:2" x14ac:dyDescent="0.25">
      <c r="A2224" s="56">
        <v>41992</v>
      </c>
      <c r="B2224" s="55">
        <v>200</v>
      </c>
    </row>
    <row r="2225" spans="1:2" x14ac:dyDescent="0.25">
      <c r="A2225" s="56">
        <v>41991</v>
      </c>
      <c r="B2225" s="55">
        <v>200</v>
      </c>
    </row>
    <row r="2226" spans="1:2" x14ac:dyDescent="0.25">
      <c r="A2226" s="56">
        <v>41990</v>
      </c>
      <c r="B2226" s="55">
        <v>200</v>
      </c>
    </row>
    <row r="2227" spans="1:2" x14ac:dyDescent="0.25">
      <c r="A2227" s="56">
        <v>41989</v>
      </c>
      <c r="B2227" s="55">
        <v>205</v>
      </c>
    </row>
    <row r="2228" spans="1:2" x14ac:dyDescent="0.25">
      <c r="A2228" s="56">
        <v>41988</v>
      </c>
      <c r="B2228" s="55">
        <v>197</v>
      </c>
    </row>
    <row r="2229" spans="1:2" x14ac:dyDescent="0.25">
      <c r="A2229" s="56">
        <v>41985</v>
      </c>
      <c r="B2229" s="55">
        <v>195</v>
      </c>
    </row>
    <row r="2230" spans="1:2" x14ac:dyDescent="0.25">
      <c r="A2230" s="56">
        <v>41984</v>
      </c>
      <c r="B2230" s="55">
        <v>193</v>
      </c>
    </row>
    <row r="2231" spans="1:2" x14ac:dyDescent="0.25">
      <c r="A2231" s="56">
        <v>41983</v>
      </c>
      <c r="B2231" s="55">
        <v>187</v>
      </c>
    </row>
    <row r="2232" spans="1:2" x14ac:dyDescent="0.25">
      <c r="A2232" s="56">
        <v>41982</v>
      </c>
      <c r="B2232" s="55">
        <v>185</v>
      </c>
    </row>
    <row r="2233" spans="1:2" x14ac:dyDescent="0.25">
      <c r="A2233" s="56">
        <v>41981</v>
      </c>
      <c r="B2233" s="55">
        <v>185</v>
      </c>
    </row>
    <row r="2234" spans="1:2" x14ac:dyDescent="0.25">
      <c r="A2234" s="56">
        <v>41978</v>
      </c>
      <c r="B2234" s="55">
        <v>184</v>
      </c>
    </row>
    <row r="2235" spans="1:2" x14ac:dyDescent="0.25">
      <c r="A2235" s="56">
        <v>41977</v>
      </c>
      <c r="B2235" s="55">
        <v>185</v>
      </c>
    </row>
    <row r="2236" spans="1:2" x14ac:dyDescent="0.25">
      <c r="A2236" s="56">
        <v>41976</v>
      </c>
      <c r="B2236" s="55">
        <v>185</v>
      </c>
    </row>
    <row r="2237" spans="1:2" x14ac:dyDescent="0.25">
      <c r="A2237" s="56">
        <v>41975</v>
      </c>
      <c r="B2237" s="55">
        <v>185</v>
      </c>
    </row>
    <row r="2238" spans="1:2" x14ac:dyDescent="0.25">
      <c r="A2238" s="56">
        <v>41974</v>
      </c>
      <c r="B2238" s="55">
        <v>185</v>
      </c>
    </row>
    <row r="2239" spans="1:2" x14ac:dyDescent="0.25">
      <c r="A2239" s="56">
        <v>41971</v>
      </c>
      <c r="B2239" s="55">
        <v>185</v>
      </c>
    </row>
    <row r="2240" spans="1:2" x14ac:dyDescent="0.25">
      <c r="A2240" s="56">
        <v>41970</v>
      </c>
      <c r="B2240" s="55">
        <v>187</v>
      </c>
    </row>
    <row r="2241" spans="1:2" x14ac:dyDescent="0.25">
      <c r="A2241" s="56">
        <v>41969</v>
      </c>
      <c r="B2241" s="55">
        <v>189</v>
      </c>
    </row>
    <row r="2242" spans="1:2" x14ac:dyDescent="0.25">
      <c r="A2242" s="56">
        <v>41968</v>
      </c>
      <c r="B2242" s="55">
        <v>192</v>
      </c>
    </row>
    <row r="2243" spans="1:2" x14ac:dyDescent="0.25">
      <c r="A2243" s="56">
        <v>41967</v>
      </c>
      <c r="B2243" s="55">
        <v>191</v>
      </c>
    </row>
    <row r="2244" spans="1:2" x14ac:dyDescent="0.25">
      <c r="A2244" s="56">
        <v>41964</v>
      </c>
      <c r="B2244" s="55">
        <v>191</v>
      </c>
    </row>
    <row r="2245" spans="1:2" x14ac:dyDescent="0.25">
      <c r="A2245" s="56">
        <v>41963</v>
      </c>
      <c r="B2245" s="55">
        <v>192</v>
      </c>
    </row>
    <row r="2246" spans="1:2" x14ac:dyDescent="0.25">
      <c r="A2246" s="56">
        <v>41962</v>
      </c>
      <c r="B2246" s="55">
        <v>195</v>
      </c>
    </row>
    <row r="2247" spans="1:2" x14ac:dyDescent="0.25">
      <c r="A2247" s="56">
        <v>41961</v>
      </c>
      <c r="B2247" s="55">
        <v>192</v>
      </c>
    </row>
    <row r="2248" spans="1:2" x14ac:dyDescent="0.25">
      <c r="A2248" s="56">
        <v>41960</v>
      </c>
      <c r="B2248" s="55">
        <v>190</v>
      </c>
    </row>
    <row r="2249" spans="1:2" x14ac:dyDescent="0.25">
      <c r="A2249" s="56">
        <v>41957</v>
      </c>
      <c r="B2249" s="55">
        <v>190</v>
      </c>
    </row>
    <row r="2250" spans="1:2" x14ac:dyDescent="0.25">
      <c r="A2250" s="56">
        <v>41956</v>
      </c>
      <c r="B2250" s="55">
        <v>188</v>
      </c>
    </row>
    <row r="2251" spans="1:2" x14ac:dyDescent="0.25">
      <c r="A2251" s="56">
        <v>41955</v>
      </c>
      <c r="B2251" s="55">
        <v>192</v>
      </c>
    </row>
    <row r="2252" spans="1:2" x14ac:dyDescent="0.25">
      <c r="A2252" s="56">
        <v>41954</v>
      </c>
      <c r="B2252" s="55">
        <v>190</v>
      </c>
    </row>
    <row r="2253" spans="1:2" x14ac:dyDescent="0.25">
      <c r="A2253" s="56">
        <v>41953</v>
      </c>
      <c r="B2253" s="55">
        <v>190</v>
      </c>
    </row>
    <row r="2254" spans="1:2" x14ac:dyDescent="0.25">
      <c r="A2254" s="56">
        <v>41950</v>
      </c>
      <c r="B2254" s="55">
        <v>192</v>
      </c>
    </row>
    <row r="2255" spans="1:2" x14ac:dyDescent="0.25">
      <c r="A2255" s="56">
        <v>41949</v>
      </c>
      <c r="B2255" s="55">
        <v>190</v>
      </c>
    </row>
    <row r="2256" spans="1:2" x14ac:dyDescent="0.25">
      <c r="A2256" s="56">
        <v>41948</v>
      </c>
      <c r="B2256" s="55">
        <v>194</v>
      </c>
    </row>
    <row r="2257" spans="1:2" x14ac:dyDescent="0.25">
      <c r="A2257" s="56">
        <v>41947</v>
      </c>
      <c r="B2257" s="55">
        <v>191</v>
      </c>
    </row>
    <row r="2258" spans="1:2" x14ac:dyDescent="0.25">
      <c r="A2258" s="56">
        <v>41946</v>
      </c>
      <c r="B2258" s="55">
        <v>192</v>
      </c>
    </row>
    <row r="2259" spans="1:2" x14ac:dyDescent="0.25">
      <c r="A2259" s="56">
        <v>41943</v>
      </c>
      <c r="B2259" s="55">
        <v>194</v>
      </c>
    </row>
    <row r="2260" spans="1:2" x14ac:dyDescent="0.25">
      <c r="A2260" s="56">
        <v>41942</v>
      </c>
      <c r="B2260" s="55">
        <v>195</v>
      </c>
    </row>
    <row r="2261" spans="1:2" x14ac:dyDescent="0.25">
      <c r="A2261" s="56">
        <v>41941</v>
      </c>
      <c r="B2261" s="55">
        <v>197</v>
      </c>
    </row>
    <row r="2262" spans="1:2" x14ac:dyDescent="0.25">
      <c r="A2262" s="56">
        <v>41940</v>
      </c>
      <c r="B2262" s="55">
        <v>194</v>
      </c>
    </row>
    <row r="2263" spans="1:2" x14ac:dyDescent="0.25">
      <c r="A2263" s="56">
        <v>41939</v>
      </c>
      <c r="B2263" s="55">
        <v>194</v>
      </c>
    </row>
    <row r="2264" spans="1:2" x14ac:dyDescent="0.25">
      <c r="A2264" s="56">
        <v>41936</v>
      </c>
      <c r="B2264" s="55">
        <v>193</v>
      </c>
    </row>
    <row r="2265" spans="1:2" x14ac:dyDescent="0.25">
      <c r="A2265" s="56">
        <v>41935</v>
      </c>
      <c r="B2265" s="55">
        <v>194</v>
      </c>
    </row>
    <row r="2266" spans="1:2" x14ac:dyDescent="0.25">
      <c r="A2266" s="56">
        <v>41934</v>
      </c>
      <c r="B2266" s="55">
        <v>198</v>
      </c>
    </row>
    <row r="2267" spans="1:2" x14ac:dyDescent="0.25">
      <c r="A2267" s="56">
        <v>41933</v>
      </c>
      <c r="B2267" s="55">
        <v>193</v>
      </c>
    </row>
    <row r="2268" spans="1:2" x14ac:dyDescent="0.25">
      <c r="A2268" s="56">
        <v>41932</v>
      </c>
      <c r="B2268" s="55">
        <v>194</v>
      </c>
    </row>
    <row r="2269" spans="1:2" x14ac:dyDescent="0.25">
      <c r="A2269" s="56">
        <v>41929</v>
      </c>
      <c r="B2269" s="55">
        <v>197</v>
      </c>
    </row>
    <row r="2270" spans="1:2" x14ac:dyDescent="0.25">
      <c r="A2270" s="56">
        <v>41928</v>
      </c>
      <c r="B2270" s="55">
        <v>197</v>
      </c>
    </row>
    <row r="2271" spans="1:2" x14ac:dyDescent="0.25">
      <c r="A2271" s="56">
        <v>41927</v>
      </c>
      <c r="B2271" s="55">
        <v>204</v>
      </c>
    </row>
    <row r="2272" spans="1:2" x14ac:dyDescent="0.25">
      <c r="A2272" s="56">
        <v>41926</v>
      </c>
      <c r="B2272" s="55">
        <v>198</v>
      </c>
    </row>
    <row r="2273" spans="1:2" x14ac:dyDescent="0.25">
      <c r="A2273" s="56">
        <v>41925</v>
      </c>
      <c r="B2273" s="55">
        <v>200</v>
      </c>
    </row>
    <row r="2274" spans="1:2" x14ac:dyDescent="0.25">
      <c r="A2274" s="56">
        <v>41922</v>
      </c>
      <c r="B2274" s="55">
        <v>200</v>
      </c>
    </row>
    <row r="2275" spans="1:2" x14ac:dyDescent="0.25">
      <c r="A2275" s="56">
        <v>41921</v>
      </c>
      <c r="B2275" s="55">
        <v>200</v>
      </c>
    </row>
    <row r="2276" spans="1:2" x14ac:dyDescent="0.25">
      <c r="A2276" s="56">
        <v>41920</v>
      </c>
      <c r="B2276" s="55">
        <v>205</v>
      </c>
    </row>
    <row r="2277" spans="1:2" x14ac:dyDescent="0.25">
      <c r="A2277" s="56">
        <v>41919</v>
      </c>
      <c r="B2277" s="55">
        <v>200</v>
      </c>
    </row>
    <row r="2278" spans="1:2" x14ac:dyDescent="0.25">
      <c r="A2278" s="56">
        <v>41918</v>
      </c>
      <c r="B2278" s="55">
        <v>200</v>
      </c>
    </row>
    <row r="2279" spans="1:2" x14ac:dyDescent="0.25">
      <c r="A2279" s="56">
        <v>41915</v>
      </c>
      <c r="B2279" s="55">
        <v>200</v>
      </c>
    </row>
    <row r="2280" spans="1:2" x14ac:dyDescent="0.25">
      <c r="A2280" s="56">
        <v>41914</v>
      </c>
      <c r="B2280" s="55">
        <v>197</v>
      </c>
    </row>
    <row r="2281" spans="1:2" x14ac:dyDescent="0.25">
      <c r="A2281" s="56">
        <v>41913</v>
      </c>
      <c r="B2281" s="55">
        <v>205</v>
      </c>
    </row>
    <row r="2282" spans="1:2" x14ac:dyDescent="0.25">
      <c r="A2282" s="56">
        <v>41912</v>
      </c>
      <c r="B2282" s="55">
        <v>196</v>
      </c>
    </row>
    <row r="2283" spans="1:2" x14ac:dyDescent="0.25">
      <c r="A2283" s="56">
        <v>41911</v>
      </c>
      <c r="B2283" s="55">
        <v>196</v>
      </c>
    </row>
    <row r="2284" spans="1:2" x14ac:dyDescent="0.25">
      <c r="A2284" s="56">
        <v>41908</v>
      </c>
      <c r="B2284" s="55">
        <v>194</v>
      </c>
    </row>
    <row r="2285" spans="1:2" x14ac:dyDescent="0.25">
      <c r="A2285" s="56">
        <v>41907</v>
      </c>
      <c r="B2285" s="55">
        <v>192</v>
      </c>
    </row>
    <row r="2286" spans="1:2" x14ac:dyDescent="0.25">
      <c r="A2286" s="56">
        <v>41906</v>
      </c>
      <c r="B2286" s="55">
        <v>198</v>
      </c>
    </row>
    <row r="2287" spans="1:2" x14ac:dyDescent="0.25">
      <c r="A2287" s="56">
        <v>41905</v>
      </c>
      <c r="B2287" s="55">
        <v>202</v>
      </c>
    </row>
    <row r="2288" spans="1:2" x14ac:dyDescent="0.25">
      <c r="A2288" s="56">
        <v>41904</v>
      </c>
      <c r="B2288" s="55">
        <v>193</v>
      </c>
    </row>
    <row r="2289" spans="1:2" x14ac:dyDescent="0.25">
      <c r="A2289" s="56">
        <v>41901</v>
      </c>
      <c r="B2289" s="55">
        <v>195</v>
      </c>
    </row>
    <row r="2290" spans="1:2" x14ac:dyDescent="0.25">
      <c r="A2290" s="56">
        <v>41900</v>
      </c>
      <c r="B2290" s="55">
        <v>193</v>
      </c>
    </row>
    <row r="2291" spans="1:2" x14ac:dyDescent="0.25">
      <c r="A2291" s="56">
        <v>41899</v>
      </c>
      <c r="B2291" s="55">
        <v>194</v>
      </c>
    </row>
    <row r="2292" spans="1:2" x14ac:dyDescent="0.25">
      <c r="A2292" s="56">
        <v>41898</v>
      </c>
      <c r="B2292" s="55">
        <v>194</v>
      </c>
    </row>
    <row r="2293" spans="1:2" x14ac:dyDescent="0.25">
      <c r="A2293" s="56">
        <v>41897</v>
      </c>
      <c r="B2293" s="55">
        <v>195</v>
      </c>
    </row>
    <row r="2294" spans="1:2" x14ac:dyDescent="0.25">
      <c r="A2294" s="56">
        <v>41894</v>
      </c>
      <c r="B2294" s="55">
        <v>194</v>
      </c>
    </row>
    <row r="2295" spans="1:2" x14ac:dyDescent="0.25">
      <c r="A2295" s="56">
        <v>41893</v>
      </c>
      <c r="B2295" s="55">
        <v>190</v>
      </c>
    </row>
    <row r="2296" spans="1:2" x14ac:dyDescent="0.25">
      <c r="A2296" s="56">
        <v>41892</v>
      </c>
      <c r="B2296" s="55">
        <v>189</v>
      </c>
    </row>
    <row r="2297" spans="1:2" x14ac:dyDescent="0.25">
      <c r="A2297" s="56">
        <v>41891</v>
      </c>
      <c r="B2297" s="55">
        <v>188</v>
      </c>
    </row>
    <row r="2298" spans="1:2" x14ac:dyDescent="0.25">
      <c r="A2298" s="56">
        <v>41890</v>
      </c>
      <c r="B2298" s="55">
        <v>190</v>
      </c>
    </row>
    <row r="2299" spans="1:2" x14ac:dyDescent="0.25">
      <c r="A2299" s="56">
        <v>41887</v>
      </c>
      <c r="B2299" s="55">
        <v>190</v>
      </c>
    </row>
    <row r="2300" spans="1:2" x14ac:dyDescent="0.25">
      <c r="A2300" s="56">
        <v>41886</v>
      </c>
      <c r="B2300" s="55">
        <v>188</v>
      </c>
    </row>
    <row r="2301" spans="1:2" x14ac:dyDescent="0.25">
      <c r="A2301" s="56">
        <v>41885</v>
      </c>
      <c r="B2301" s="55">
        <v>190</v>
      </c>
    </row>
    <row r="2302" spans="1:2" x14ac:dyDescent="0.25">
      <c r="A2302" s="56">
        <v>41884</v>
      </c>
      <c r="B2302" s="55">
        <v>188</v>
      </c>
    </row>
    <row r="2303" spans="1:2" x14ac:dyDescent="0.25">
      <c r="A2303" s="56">
        <v>41883</v>
      </c>
      <c r="B2303" s="55">
        <v>188</v>
      </c>
    </row>
    <row r="2304" spans="1:2" x14ac:dyDescent="0.25">
      <c r="A2304" s="56">
        <v>41880</v>
      </c>
      <c r="B2304" s="55">
        <v>190</v>
      </c>
    </row>
    <row r="2305" spans="1:2" x14ac:dyDescent="0.25">
      <c r="A2305" s="56">
        <v>41879</v>
      </c>
      <c r="B2305" s="55">
        <v>189</v>
      </c>
    </row>
    <row r="2306" spans="1:2" x14ac:dyDescent="0.25">
      <c r="A2306" s="56">
        <v>41878</v>
      </c>
      <c r="B2306" s="55">
        <v>193</v>
      </c>
    </row>
    <row r="2307" spans="1:2" x14ac:dyDescent="0.25">
      <c r="A2307" s="56">
        <v>41877</v>
      </c>
      <c r="B2307" s="55">
        <v>193</v>
      </c>
    </row>
    <row r="2308" spans="1:2" x14ac:dyDescent="0.25">
      <c r="A2308" s="56">
        <v>41876</v>
      </c>
      <c r="B2308" s="55">
        <v>194</v>
      </c>
    </row>
    <row r="2309" spans="1:2" x14ac:dyDescent="0.25">
      <c r="A2309" s="56">
        <v>41873</v>
      </c>
      <c r="B2309" s="55">
        <v>190</v>
      </c>
    </row>
    <row r="2310" spans="1:2" x14ac:dyDescent="0.25">
      <c r="A2310" s="56">
        <v>41872</v>
      </c>
      <c r="B2310" s="55">
        <v>190</v>
      </c>
    </row>
    <row r="2311" spans="1:2" x14ac:dyDescent="0.25">
      <c r="A2311" s="56">
        <v>41871</v>
      </c>
      <c r="B2311" s="55">
        <v>194</v>
      </c>
    </row>
    <row r="2312" spans="1:2" x14ac:dyDescent="0.25">
      <c r="A2312" s="56">
        <v>41870</v>
      </c>
      <c r="B2312" s="55">
        <v>190</v>
      </c>
    </row>
    <row r="2313" spans="1:2" x14ac:dyDescent="0.25">
      <c r="A2313" s="56">
        <v>41869</v>
      </c>
      <c r="B2313" s="55">
        <v>190</v>
      </c>
    </row>
    <row r="2314" spans="1:2" x14ac:dyDescent="0.25">
      <c r="A2314" s="56">
        <v>41866</v>
      </c>
      <c r="B2314" s="55">
        <v>190</v>
      </c>
    </row>
    <row r="2315" spans="1:2" x14ac:dyDescent="0.25">
      <c r="A2315" s="56">
        <v>41865</v>
      </c>
      <c r="B2315" s="55">
        <v>194</v>
      </c>
    </row>
    <row r="2316" spans="1:2" x14ac:dyDescent="0.25">
      <c r="A2316" s="56">
        <v>41864</v>
      </c>
      <c r="B2316" s="55">
        <v>197</v>
      </c>
    </row>
    <row r="2317" spans="1:2" x14ac:dyDescent="0.25">
      <c r="A2317" s="56">
        <v>41863</v>
      </c>
      <c r="B2317" s="55">
        <v>194</v>
      </c>
    </row>
    <row r="2318" spans="1:2" x14ac:dyDescent="0.25">
      <c r="A2318" s="56">
        <v>41862</v>
      </c>
      <c r="B2318" s="55">
        <v>195</v>
      </c>
    </row>
    <row r="2319" spans="1:2" x14ac:dyDescent="0.25">
      <c r="A2319" s="56">
        <v>41859</v>
      </c>
      <c r="B2319" s="55">
        <v>198</v>
      </c>
    </row>
    <row r="2320" spans="1:2" x14ac:dyDescent="0.25">
      <c r="A2320" s="56">
        <v>41858</v>
      </c>
      <c r="B2320" s="55">
        <v>198</v>
      </c>
    </row>
    <row r="2321" spans="1:2" x14ac:dyDescent="0.25">
      <c r="A2321" s="56">
        <v>41857</v>
      </c>
      <c r="B2321" s="55">
        <v>200</v>
      </c>
    </row>
    <row r="2322" spans="1:2" x14ac:dyDescent="0.25">
      <c r="A2322" s="56">
        <v>41856</v>
      </c>
      <c r="B2322" s="55">
        <v>198</v>
      </c>
    </row>
    <row r="2323" spans="1:2" x14ac:dyDescent="0.25">
      <c r="A2323" s="56">
        <v>41855</v>
      </c>
      <c r="B2323" s="55">
        <v>196</v>
      </c>
    </row>
    <row r="2324" spans="1:2" x14ac:dyDescent="0.25">
      <c r="A2324" s="56">
        <v>41852</v>
      </c>
      <c r="B2324" s="55">
        <v>196</v>
      </c>
    </row>
    <row r="2325" spans="1:2" x14ac:dyDescent="0.25">
      <c r="A2325" s="56">
        <v>41851</v>
      </c>
      <c r="B2325" s="55">
        <v>196</v>
      </c>
    </row>
    <row r="2326" spans="1:2" x14ac:dyDescent="0.25">
      <c r="A2326" s="56">
        <v>41850</v>
      </c>
      <c r="B2326" s="55">
        <v>196</v>
      </c>
    </row>
    <row r="2327" spans="1:2" x14ac:dyDescent="0.25">
      <c r="A2327" s="56">
        <v>41849</v>
      </c>
      <c r="B2327" s="55">
        <v>196</v>
      </c>
    </row>
    <row r="2328" spans="1:2" x14ac:dyDescent="0.25">
      <c r="A2328" s="56">
        <v>41848</v>
      </c>
      <c r="B2328" s="55">
        <v>196</v>
      </c>
    </row>
    <row r="2329" spans="1:2" x14ac:dyDescent="0.25">
      <c r="A2329" s="56">
        <v>41845</v>
      </c>
      <c r="B2329" s="55">
        <v>196</v>
      </c>
    </row>
    <row r="2330" spans="1:2" x14ac:dyDescent="0.25">
      <c r="A2330" s="56">
        <v>41844</v>
      </c>
      <c r="B2330" s="55">
        <v>196</v>
      </c>
    </row>
    <row r="2331" spans="1:2" x14ac:dyDescent="0.25">
      <c r="A2331" s="56">
        <v>41843</v>
      </c>
      <c r="B2331" s="55">
        <v>202</v>
      </c>
    </row>
    <row r="2332" spans="1:2" x14ac:dyDescent="0.25">
      <c r="A2332" s="56">
        <v>41842</v>
      </c>
      <c r="B2332" s="55">
        <v>196</v>
      </c>
    </row>
    <row r="2333" spans="1:2" x14ac:dyDescent="0.25">
      <c r="A2333" s="56">
        <v>41841</v>
      </c>
      <c r="B2333" s="55">
        <v>196</v>
      </c>
    </row>
    <row r="2334" spans="1:2" x14ac:dyDescent="0.25">
      <c r="A2334" s="56">
        <v>41838</v>
      </c>
      <c r="B2334" s="55">
        <v>197</v>
      </c>
    </row>
    <row r="2335" spans="1:2" x14ac:dyDescent="0.25">
      <c r="A2335" s="56">
        <v>41837</v>
      </c>
      <c r="B2335" s="55">
        <v>196</v>
      </c>
    </row>
    <row r="2336" spans="1:2" x14ac:dyDescent="0.25">
      <c r="A2336" s="56">
        <v>41836</v>
      </c>
      <c r="B2336" s="55">
        <v>200</v>
      </c>
    </row>
    <row r="2337" spans="1:2" x14ac:dyDescent="0.25">
      <c r="A2337" s="56">
        <v>41835</v>
      </c>
      <c r="B2337" s="55">
        <v>198</v>
      </c>
    </row>
    <row r="2338" spans="1:2" x14ac:dyDescent="0.25">
      <c r="A2338" s="56">
        <v>41834</v>
      </c>
      <c r="B2338" s="55">
        <v>198</v>
      </c>
    </row>
    <row r="2339" spans="1:2" x14ac:dyDescent="0.25">
      <c r="A2339" s="56">
        <v>41831</v>
      </c>
      <c r="B2339" s="55">
        <v>198</v>
      </c>
    </row>
    <row r="2340" spans="1:2" x14ac:dyDescent="0.25">
      <c r="A2340" s="56">
        <v>41830</v>
      </c>
      <c r="B2340" s="55">
        <v>198</v>
      </c>
    </row>
    <row r="2341" spans="1:2" x14ac:dyDescent="0.25">
      <c r="A2341" s="56">
        <v>41829</v>
      </c>
      <c r="B2341" s="55">
        <v>200</v>
      </c>
    </row>
    <row r="2342" spans="1:2" x14ac:dyDescent="0.25">
      <c r="A2342" s="56">
        <v>41828</v>
      </c>
      <c r="B2342" s="55">
        <v>200</v>
      </c>
    </row>
    <row r="2343" spans="1:2" x14ac:dyDescent="0.25">
      <c r="A2343" s="56">
        <v>41827</v>
      </c>
      <c r="B2343" s="55">
        <v>198</v>
      </c>
    </row>
    <row r="2344" spans="1:2" x14ac:dyDescent="0.25">
      <c r="A2344" s="56">
        <v>41824</v>
      </c>
      <c r="B2344" s="55">
        <v>200</v>
      </c>
    </row>
    <row r="2345" spans="1:2" x14ac:dyDescent="0.25">
      <c r="A2345" s="56">
        <v>41823</v>
      </c>
      <c r="B2345" s="55">
        <v>199</v>
      </c>
    </row>
    <row r="2346" spans="1:2" x14ac:dyDescent="0.25">
      <c r="A2346" s="56">
        <v>41822</v>
      </c>
      <c r="B2346" s="55">
        <v>200</v>
      </c>
    </row>
    <row r="2347" spans="1:2" x14ac:dyDescent="0.25">
      <c r="A2347" s="56">
        <v>41821</v>
      </c>
      <c r="B2347" s="55">
        <v>198</v>
      </c>
    </row>
    <row r="2348" spans="1:2" x14ac:dyDescent="0.25">
      <c r="A2348" s="56">
        <v>41820</v>
      </c>
      <c r="B2348" s="55">
        <v>202</v>
      </c>
    </row>
    <row r="2349" spans="1:2" x14ac:dyDescent="0.25">
      <c r="A2349" s="56">
        <v>41817</v>
      </c>
      <c r="B2349" s="55">
        <v>202</v>
      </c>
    </row>
    <row r="2350" spans="1:2" x14ac:dyDescent="0.25">
      <c r="A2350" s="56">
        <v>41816</v>
      </c>
      <c r="B2350" s="55">
        <v>201</v>
      </c>
    </row>
    <row r="2351" spans="1:2" x14ac:dyDescent="0.25">
      <c r="A2351" s="56">
        <v>41815</v>
      </c>
      <c r="B2351" s="55">
        <v>204</v>
      </c>
    </row>
    <row r="2352" spans="1:2" x14ac:dyDescent="0.25">
      <c r="A2352" s="56">
        <v>41814</v>
      </c>
      <c r="B2352" s="55">
        <v>199</v>
      </c>
    </row>
    <row r="2353" spans="1:2" x14ac:dyDescent="0.25">
      <c r="A2353" s="56">
        <v>41813</v>
      </c>
      <c r="B2353" s="55">
        <v>202</v>
      </c>
    </row>
    <row r="2354" spans="1:2" x14ac:dyDescent="0.25">
      <c r="A2354" s="56">
        <v>41810</v>
      </c>
      <c r="B2354" s="55">
        <v>199</v>
      </c>
    </row>
    <row r="2355" spans="1:2" x14ac:dyDescent="0.25">
      <c r="A2355" s="56">
        <v>41809</v>
      </c>
      <c r="B2355" s="55">
        <v>199</v>
      </c>
    </row>
    <row r="2356" spans="1:2" x14ac:dyDescent="0.25">
      <c r="A2356" s="56">
        <v>41808</v>
      </c>
      <c r="B2356" s="55">
        <v>204</v>
      </c>
    </row>
    <row r="2357" spans="1:2" x14ac:dyDescent="0.25">
      <c r="A2357" s="56">
        <v>41807</v>
      </c>
      <c r="B2357" s="55">
        <v>199</v>
      </c>
    </row>
    <row r="2358" spans="1:2" x14ac:dyDescent="0.25">
      <c r="A2358" s="56">
        <v>41806</v>
      </c>
      <c r="B2358" s="55">
        <v>198</v>
      </c>
    </row>
    <row r="2359" spans="1:2" x14ac:dyDescent="0.25">
      <c r="A2359" s="56">
        <v>41803</v>
      </c>
      <c r="B2359" s="55">
        <v>198</v>
      </c>
    </row>
    <row r="2360" spans="1:2" x14ac:dyDescent="0.25">
      <c r="A2360" s="56">
        <v>41802</v>
      </c>
      <c r="B2360" s="55">
        <v>197</v>
      </c>
    </row>
    <row r="2361" spans="1:2" x14ac:dyDescent="0.25">
      <c r="A2361" s="56">
        <v>41801</v>
      </c>
      <c r="B2361" s="55">
        <v>200</v>
      </c>
    </row>
    <row r="2362" spans="1:2" x14ac:dyDescent="0.25">
      <c r="A2362" s="56">
        <v>41800</v>
      </c>
      <c r="B2362" s="55">
        <v>196</v>
      </c>
    </row>
    <row r="2363" spans="1:2" x14ac:dyDescent="0.25">
      <c r="A2363" s="56">
        <v>41799</v>
      </c>
      <c r="B2363" s="55">
        <v>198</v>
      </c>
    </row>
    <row r="2364" spans="1:2" x14ac:dyDescent="0.25">
      <c r="A2364" s="56">
        <v>41796</v>
      </c>
      <c r="B2364" s="55">
        <v>194</v>
      </c>
    </row>
    <row r="2365" spans="1:2" x14ac:dyDescent="0.25">
      <c r="A2365" s="56">
        <v>41795</v>
      </c>
      <c r="B2365" s="55">
        <v>195</v>
      </c>
    </row>
    <row r="2366" spans="1:2" x14ac:dyDescent="0.25">
      <c r="A2366" s="56">
        <v>41794</v>
      </c>
      <c r="B2366" s="55">
        <v>195</v>
      </c>
    </row>
    <row r="2367" spans="1:2" x14ac:dyDescent="0.25">
      <c r="A2367" s="56">
        <v>41793</v>
      </c>
      <c r="B2367" s="55">
        <v>190</v>
      </c>
    </row>
    <row r="2368" spans="1:2" x14ac:dyDescent="0.25">
      <c r="A2368" s="56">
        <v>41792</v>
      </c>
      <c r="B2368" s="55">
        <v>190</v>
      </c>
    </row>
    <row r="2369" spans="1:2" x14ac:dyDescent="0.25">
      <c r="A2369" s="56">
        <v>41789</v>
      </c>
      <c r="B2369" s="55">
        <v>187</v>
      </c>
    </row>
    <row r="2370" spans="1:2" x14ac:dyDescent="0.25">
      <c r="A2370" s="56">
        <v>41788</v>
      </c>
      <c r="B2370" s="55">
        <v>188</v>
      </c>
    </row>
    <row r="2371" spans="1:2" x14ac:dyDescent="0.25">
      <c r="A2371" s="56">
        <v>41787</v>
      </c>
      <c r="B2371" s="55">
        <v>188</v>
      </c>
    </row>
    <row r="2372" spans="1:2" x14ac:dyDescent="0.25">
      <c r="A2372" s="56">
        <v>41786</v>
      </c>
      <c r="B2372" s="55">
        <v>187</v>
      </c>
    </row>
    <row r="2373" spans="1:2" x14ac:dyDescent="0.25">
      <c r="A2373" s="56">
        <v>41785</v>
      </c>
      <c r="B2373" s="55">
        <v>187</v>
      </c>
    </row>
    <row r="2374" spans="1:2" x14ac:dyDescent="0.25">
      <c r="A2374" s="56">
        <v>41782</v>
      </c>
      <c r="B2374" s="55">
        <v>188</v>
      </c>
    </row>
    <row r="2375" spans="1:2" x14ac:dyDescent="0.25">
      <c r="A2375" s="56">
        <v>41781</v>
      </c>
      <c r="B2375" s="55">
        <v>187</v>
      </c>
    </row>
    <row r="2376" spans="1:2" x14ac:dyDescent="0.25">
      <c r="A2376" s="56">
        <v>41780</v>
      </c>
      <c r="B2376" s="55">
        <v>191</v>
      </c>
    </row>
    <row r="2377" spans="1:2" x14ac:dyDescent="0.25">
      <c r="A2377" s="56">
        <v>41779</v>
      </c>
      <c r="B2377" s="55">
        <v>188</v>
      </c>
    </row>
    <row r="2378" spans="1:2" x14ac:dyDescent="0.25">
      <c r="A2378" s="56">
        <v>41778</v>
      </c>
      <c r="B2378" s="55">
        <v>190</v>
      </c>
    </row>
    <row r="2379" spans="1:2" x14ac:dyDescent="0.25">
      <c r="A2379" s="56">
        <v>41775</v>
      </c>
      <c r="B2379" s="55">
        <v>187</v>
      </c>
    </row>
    <row r="2380" spans="1:2" x14ac:dyDescent="0.25">
      <c r="A2380" s="56">
        <v>41774</v>
      </c>
      <c r="B2380" s="55">
        <v>185</v>
      </c>
    </row>
    <row r="2381" spans="1:2" x14ac:dyDescent="0.25">
      <c r="A2381" s="56">
        <v>41773</v>
      </c>
      <c r="B2381" s="55">
        <v>185</v>
      </c>
    </row>
    <row r="2382" spans="1:2" x14ac:dyDescent="0.25">
      <c r="A2382" s="56">
        <v>41772</v>
      </c>
      <c r="B2382" s="55">
        <v>195</v>
      </c>
    </row>
    <row r="2383" spans="1:2" x14ac:dyDescent="0.25">
      <c r="A2383" s="56">
        <v>41771</v>
      </c>
      <c r="B2383" s="55">
        <v>187</v>
      </c>
    </row>
    <row r="2384" spans="1:2" x14ac:dyDescent="0.25">
      <c r="A2384" s="56">
        <v>41768</v>
      </c>
      <c r="B2384" s="55">
        <v>188</v>
      </c>
    </row>
    <row r="2385" spans="1:2" x14ac:dyDescent="0.25">
      <c r="A2385" s="56">
        <v>41767</v>
      </c>
      <c r="B2385" s="55">
        <v>187</v>
      </c>
    </row>
    <row r="2386" spans="1:2" x14ac:dyDescent="0.25">
      <c r="A2386" s="56">
        <v>41766</v>
      </c>
      <c r="B2386" s="55">
        <v>191</v>
      </c>
    </row>
    <row r="2387" spans="1:2" x14ac:dyDescent="0.25">
      <c r="A2387" s="56">
        <v>41765</v>
      </c>
      <c r="B2387" s="55">
        <v>187</v>
      </c>
    </row>
    <row r="2388" spans="1:2" x14ac:dyDescent="0.25">
      <c r="A2388" s="56">
        <v>41764</v>
      </c>
      <c r="B2388" s="55">
        <v>188</v>
      </c>
    </row>
    <row r="2389" spans="1:2" x14ac:dyDescent="0.25">
      <c r="A2389" s="56">
        <v>41761</v>
      </c>
      <c r="B2389" s="55">
        <v>186</v>
      </c>
    </row>
    <row r="2390" spans="1:2" x14ac:dyDescent="0.25">
      <c r="A2390" s="56">
        <v>41760</v>
      </c>
      <c r="B2390" s="55">
        <v>186</v>
      </c>
    </row>
    <row r="2391" spans="1:2" x14ac:dyDescent="0.25">
      <c r="A2391" s="56">
        <v>41759</v>
      </c>
      <c r="B2391" s="55">
        <v>186</v>
      </c>
    </row>
    <row r="2392" spans="1:2" x14ac:dyDescent="0.25">
      <c r="A2392" s="56">
        <v>41758</v>
      </c>
      <c r="B2392" s="55">
        <v>190</v>
      </c>
    </row>
    <row r="2393" spans="1:2" x14ac:dyDescent="0.25">
      <c r="A2393" s="56">
        <v>41757</v>
      </c>
      <c r="B2393" s="55">
        <v>176</v>
      </c>
    </row>
    <row r="2394" spans="1:2" x14ac:dyDescent="0.25">
      <c r="A2394" s="56">
        <v>41754</v>
      </c>
      <c r="B2394" s="55">
        <v>178</v>
      </c>
    </row>
    <row r="2395" spans="1:2" x14ac:dyDescent="0.25">
      <c r="A2395" s="56">
        <v>41753</v>
      </c>
      <c r="B2395" s="55">
        <v>181</v>
      </c>
    </row>
    <row r="2396" spans="1:2" x14ac:dyDescent="0.25">
      <c r="A2396" s="56">
        <v>41752</v>
      </c>
      <c r="B2396" s="55">
        <v>186</v>
      </c>
    </row>
    <row r="2397" spans="1:2" x14ac:dyDescent="0.25">
      <c r="A2397" s="56">
        <v>41751</v>
      </c>
      <c r="B2397" s="55">
        <v>185</v>
      </c>
    </row>
    <row r="2398" spans="1:2" x14ac:dyDescent="0.25">
      <c r="A2398" s="56">
        <v>41750</v>
      </c>
      <c r="B2398" s="55">
        <v>186</v>
      </c>
    </row>
    <row r="2399" spans="1:2" x14ac:dyDescent="0.25">
      <c r="A2399" s="56">
        <v>41747</v>
      </c>
      <c r="B2399" s="55">
        <v>187</v>
      </c>
    </row>
    <row r="2400" spans="1:2" x14ac:dyDescent="0.25">
      <c r="A2400" s="56">
        <v>41746</v>
      </c>
      <c r="B2400" s="55">
        <v>187</v>
      </c>
    </row>
    <row r="2401" spans="1:2" x14ac:dyDescent="0.25">
      <c r="A2401" s="56">
        <v>41745</v>
      </c>
      <c r="B2401" s="55">
        <v>187</v>
      </c>
    </row>
    <row r="2402" spans="1:2" x14ac:dyDescent="0.25">
      <c r="A2402" s="56">
        <v>41744</v>
      </c>
      <c r="B2402" s="55">
        <v>185</v>
      </c>
    </row>
    <row r="2403" spans="1:2" x14ac:dyDescent="0.25">
      <c r="A2403" s="56">
        <v>41743</v>
      </c>
      <c r="B2403" s="55">
        <v>185</v>
      </c>
    </row>
    <row r="2404" spans="1:2" x14ac:dyDescent="0.25">
      <c r="A2404" s="56">
        <v>41740</v>
      </c>
      <c r="B2404" s="55">
        <v>186</v>
      </c>
    </row>
    <row r="2405" spans="1:2" x14ac:dyDescent="0.25">
      <c r="A2405" s="56">
        <v>41739</v>
      </c>
      <c r="B2405" s="55">
        <v>180</v>
      </c>
    </row>
    <row r="2406" spans="1:2" x14ac:dyDescent="0.25">
      <c r="A2406" s="56">
        <v>41738</v>
      </c>
      <c r="B2406" s="55">
        <v>185</v>
      </c>
    </row>
    <row r="2407" spans="1:2" x14ac:dyDescent="0.25">
      <c r="A2407" s="56">
        <v>41737</v>
      </c>
      <c r="B2407" s="55">
        <v>185</v>
      </c>
    </row>
    <row r="2408" spans="1:2" x14ac:dyDescent="0.25">
      <c r="A2408" s="56">
        <v>41736</v>
      </c>
      <c r="B2408" s="55">
        <v>183</v>
      </c>
    </row>
    <row r="2409" spans="1:2" x14ac:dyDescent="0.25">
      <c r="A2409" s="56">
        <v>41733</v>
      </c>
      <c r="B2409" s="55">
        <v>188</v>
      </c>
    </row>
    <row r="2410" spans="1:2" x14ac:dyDescent="0.25">
      <c r="A2410" s="56">
        <v>41732</v>
      </c>
      <c r="B2410" s="55">
        <v>185</v>
      </c>
    </row>
    <row r="2411" spans="1:2" x14ac:dyDescent="0.25">
      <c r="A2411" s="56">
        <v>41731</v>
      </c>
      <c r="B2411" s="55">
        <v>190</v>
      </c>
    </row>
    <row r="2412" spans="1:2" x14ac:dyDescent="0.25">
      <c r="A2412" s="56">
        <v>41730</v>
      </c>
      <c r="B2412" s="55">
        <v>183</v>
      </c>
    </row>
    <row r="2413" spans="1:2" x14ac:dyDescent="0.25">
      <c r="A2413" s="56">
        <v>41729</v>
      </c>
      <c r="B2413" s="55">
        <v>183</v>
      </c>
    </row>
    <row r="2414" spans="1:2" x14ac:dyDescent="0.25">
      <c r="A2414" s="56">
        <v>41726</v>
      </c>
      <c r="B2414" s="55">
        <v>183</v>
      </c>
    </row>
    <row r="2415" spans="1:2" x14ac:dyDescent="0.25">
      <c r="A2415" s="56">
        <v>41725</v>
      </c>
      <c r="B2415" s="55">
        <v>184</v>
      </c>
    </row>
    <row r="2416" spans="1:2" x14ac:dyDescent="0.25">
      <c r="A2416" s="56">
        <v>41724</v>
      </c>
      <c r="B2416" s="55">
        <v>189</v>
      </c>
    </row>
    <row r="2417" spans="1:2" x14ac:dyDescent="0.25">
      <c r="A2417" s="56">
        <v>41723</v>
      </c>
      <c r="B2417" s="55">
        <v>185</v>
      </c>
    </row>
    <row r="2418" spans="1:2" x14ac:dyDescent="0.25">
      <c r="A2418" s="56">
        <v>41722</v>
      </c>
      <c r="B2418" s="55">
        <v>185</v>
      </c>
    </row>
    <row r="2419" spans="1:2" x14ac:dyDescent="0.25">
      <c r="A2419" s="56">
        <v>41719</v>
      </c>
      <c r="B2419" s="55">
        <v>184</v>
      </c>
    </row>
    <row r="2420" spans="1:2" x14ac:dyDescent="0.25">
      <c r="A2420" s="56">
        <v>41718</v>
      </c>
      <c r="B2420" s="55">
        <v>185</v>
      </c>
    </row>
    <row r="2421" spans="1:2" x14ac:dyDescent="0.25">
      <c r="A2421" s="56">
        <v>41717</v>
      </c>
      <c r="B2421" s="55">
        <v>187</v>
      </c>
    </row>
    <row r="2422" spans="1:2" x14ac:dyDescent="0.25">
      <c r="A2422" s="56">
        <v>41716</v>
      </c>
      <c r="B2422" s="55">
        <v>185</v>
      </c>
    </row>
    <row r="2423" spans="1:2" x14ac:dyDescent="0.25">
      <c r="A2423" s="56">
        <v>41715</v>
      </c>
      <c r="B2423" s="55">
        <v>185</v>
      </c>
    </row>
    <row r="2424" spans="1:2" x14ac:dyDescent="0.25">
      <c r="A2424" s="56">
        <v>41712</v>
      </c>
      <c r="B2424" s="55">
        <v>185</v>
      </c>
    </row>
    <row r="2425" spans="1:2" x14ac:dyDescent="0.25">
      <c r="A2425" s="56">
        <v>41711</v>
      </c>
      <c r="B2425" s="55">
        <v>180</v>
      </c>
    </row>
    <row r="2426" spans="1:2" x14ac:dyDescent="0.25">
      <c r="A2426" s="56">
        <v>41710</v>
      </c>
      <c r="B2426" s="55">
        <v>190</v>
      </c>
    </row>
    <row r="2427" spans="1:2" x14ac:dyDescent="0.25">
      <c r="A2427" s="56">
        <v>41709</v>
      </c>
      <c r="B2427" s="55">
        <v>185</v>
      </c>
    </row>
    <row r="2428" spans="1:2" x14ac:dyDescent="0.25">
      <c r="A2428" s="56">
        <v>41708</v>
      </c>
      <c r="B2428" s="55">
        <v>185</v>
      </c>
    </row>
    <row r="2429" spans="1:2" x14ac:dyDescent="0.25">
      <c r="A2429" s="56">
        <v>41705</v>
      </c>
      <c r="B2429" s="55">
        <v>185</v>
      </c>
    </row>
    <row r="2430" spans="1:2" x14ac:dyDescent="0.25">
      <c r="A2430" s="56">
        <v>41704</v>
      </c>
      <c r="B2430" s="55">
        <v>180</v>
      </c>
    </row>
    <row r="2431" spans="1:2" x14ac:dyDescent="0.25">
      <c r="A2431" s="56">
        <v>41703</v>
      </c>
      <c r="B2431" s="55">
        <v>190</v>
      </c>
    </row>
    <row r="2432" spans="1:2" x14ac:dyDescent="0.25">
      <c r="A2432" s="56">
        <v>41702</v>
      </c>
      <c r="B2432" s="55">
        <v>188</v>
      </c>
    </row>
    <row r="2433" spans="1:2" x14ac:dyDescent="0.25">
      <c r="A2433" s="56">
        <v>41701</v>
      </c>
      <c r="B2433" s="55">
        <v>180</v>
      </c>
    </row>
    <row r="2434" spans="1:2" x14ac:dyDescent="0.25">
      <c r="A2434" s="56">
        <v>41698</v>
      </c>
      <c r="B2434" s="55">
        <v>180</v>
      </c>
    </row>
    <row r="2435" spans="1:2" x14ac:dyDescent="0.25">
      <c r="A2435" s="56">
        <v>41697</v>
      </c>
      <c r="B2435" s="55">
        <v>185</v>
      </c>
    </row>
    <row r="2436" spans="1:2" x14ac:dyDescent="0.25">
      <c r="A2436" s="56">
        <v>41696</v>
      </c>
      <c r="B2436" s="55">
        <v>185</v>
      </c>
    </row>
    <row r="2437" spans="1:2" x14ac:dyDescent="0.25">
      <c r="A2437" s="56">
        <v>41695</v>
      </c>
      <c r="B2437" s="55">
        <v>190</v>
      </c>
    </row>
    <row r="2438" spans="1:2" x14ac:dyDescent="0.25">
      <c r="A2438" s="56">
        <v>41694</v>
      </c>
      <c r="B2438" s="55">
        <v>192</v>
      </c>
    </row>
    <row r="2439" spans="1:2" x14ac:dyDescent="0.25">
      <c r="A2439" s="56">
        <v>41691</v>
      </c>
      <c r="B2439" s="55">
        <v>190</v>
      </c>
    </row>
    <row r="2440" spans="1:2" x14ac:dyDescent="0.25">
      <c r="A2440" s="56">
        <v>41690</v>
      </c>
      <c r="B2440" s="55">
        <v>180</v>
      </c>
    </row>
    <row r="2441" spans="1:2" x14ac:dyDescent="0.25">
      <c r="A2441" s="56">
        <v>41689</v>
      </c>
      <c r="B2441" s="55">
        <v>175</v>
      </c>
    </row>
    <row r="2442" spans="1:2" x14ac:dyDescent="0.25">
      <c r="A2442" s="56">
        <v>41688</v>
      </c>
      <c r="B2442" s="55">
        <v>187</v>
      </c>
    </row>
    <row r="2443" spans="1:2" x14ac:dyDescent="0.25">
      <c r="A2443" s="56">
        <v>41687</v>
      </c>
      <c r="B2443" s="55">
        <v>180</v>
      </c>
    </row>
    <row r="2444" spans="1:2" x14ac:dyDescent="0.25">
      <c r="A2444" s="56">
        <v>41684</v>
      </c>
      <c r="B2444" s="55">
        <v>185</v>
      </c>
    </row>
    <row r="2445" spans="1:2" x14ac:dyDescent="0.25">
      <c r="A2445" s="56">
        <v>41683</v>
      </c>
      <c r="B2445" s="55">
        <v>185</v>
      </c>
    </row>
    <row r="2446" spans="1:2" x14ac:dyDescent="0.25">
      <c r="A2446" s="56">
        <v>41682</v>
      </c>
      <c r="B2446" s="55">
        <v>196</v>
      </c>
    </row>
    <row r="2447" spans="1:2" x14ac:dyDescent="0.25">
      <c r="A2447" s="56">
        <v>41681</v>
      </c>
      <c r="B2447" s="55">
        <v>196</v>
      </c>
    </row>
    <row r="2448" spans="1:2" x14ac:dyDescent="0.25">
      <c r="A2448" s="56">
        <v>41680</v>
      </c>
      <c r="B2448" s="55">
        <v>195</v>
      </c>
    </row>
    <row r="2449" spans="1:2" x14ac:dyDescent="0.25">
      <c r="A2449" s="56">
        <v>41677</v>
      </c>
      <c r="B2449" s="55">
        <v>195</v>
      </c>
    </row>
    <row r="2450" spans="1:2" x14ac:dyDescent="0.25">
      <c r="A2450" s="56">
        <v>41676</v>
      </c>
      <c r="B2450" s="55">
        <v>200</v>
      </c>
    </row>
    <row r="2451" spans="1:2" x14ac:dyDescent="0.25">
      <c r="A2451" s="56">
        <v>41675</v>
      </c>
      <c r="B2451" s="55">
        <v>195</v>
      </c>
    </row>
    <row r="2452" spans="1:2" x14ac:dyDescent="0.25">
      <c r="A2452" s="56">
        <v>41674</v>
      </c>
      <c r="B2452" s="55">
        <v>200</v>
      </c>
    </row>
    <row r="2453" spans="1:2" x14ac:dyDescent="0.25">
      <c r="A2453" s="56">
        <v>41673</v>
      </c>
      <c r="B2453" s="55">
        <v>190</v>
      </c>
    </row>
    <row r="2454" spans="1:2" x14ac:dyDescent="0.25">
      <c r="A2454" s="56">
        <v>41670</v>
      </c>
      <c r="B2454" s="55">
        <v>200</v>
      </c>
    </row>
    <row r="2455" spans="1:2" x14ac:dyDescent="0.25">
      <c r="A2455" s="56">
        <v>41669</v>
      </c>
      <c r="B2455" s="55">
        <v>200</v>
      </c>
    </row>
    <row r="2456" spans="1:2" x14ac:dyDescent="0.25">
      <c r="A2456" s="56">
        <v>41668</v>
      </c>
      <c r="B2456" s="55">
        <v>197</v>
      </c>
    </row>
    <row r="2457" spans="1:2" x14ac:dyDescent="0.25">
      <c r="A2457" s="56">
        <v>41667</v>
      </c>
      <c r="B2457" s="55">
        <v>195</v>
      </c>
    </row>
    <row r="2458" spans="1:2" x14ac:dyDescent="0.25">
      <c r="A2458" s="56">
        <v>41666</v>
      </c>
      <c r="B2458" s="55">
        <v>200</v>
      </c>
    </row>
    <row r="2459" spans="1:2" x14ac:dyDescent="0.25">
      <c r="A2459" s="56">
        <v>41663</v>
      </c>
      <c r="B2459" s="55">
        <v>200</v>
      </c>
    </row>
    <row r="2460" spans="1:2" x14ac:dyDescent="0.25">
      <c r="A2460" s="56">
        <v>41662</v>
      </c>
      <c r="B2460" s="55">
        <v>198</v>
      </c>
    </row>
    <row r="2461" spans="1:2" x14ac:dyDescent="0.25">
      <c r="A2461" s="56">
        <v>41661</v>
      </c>
      <c r="B2461" s="55">
        <v>200</v>
      </c>
    </row>
    <row r="2462" spans="1:2" x14ac:dyDescent="0.25">
      <c r="A2462" s="56">
        <v>41660</v>
      </c>
      <c r="B2462" s="55">
        <v>195</v>
      </c>
    </row>
    <row r="2463" spans="1:2" x14ac:dyDescent="0.25">
      <c r="A2463" s="56">
        <v>41659</v>
      </c>
      <c r="B2463" s="55">
        <v>190</v>
      </c>
    </row>
    <row r="2464" spans="1:2" x14ac:dyDescent="0.25">
      <c r="A2464" s="56">
        <v>41656</v>
      </c>
      <c r="B2464" s="55">
        <v>190</v>
      </c>
    </row>
    <row r="2465" spans="1:2" x14ac:dyDescent="0.25">
      <c r="A2465" s="56">
        <v>41655</v>
      </c>
      <c r="B2465" s="55">
        <v>195</v>
      </c>
    </row>
    <row r="2466" spans="1:2" x14ac:dyDescent="0.25">
      <c r="A2466" s="56">
        <v>41654</v>
      </c>
      <c r="B2466" s="55">
        <v>185</v>
      </c>
    </row>
    <row r="2467" spans="1:2" x14ac:dyDescent="0.25">
      <c r="A2467" s="56">
        <v>41653</v>
      </c>
      <c r="B2467" s="55">
        <v>185</v>
      </c>
    </row>
    <row r="2468" spans="1:2" x14ac:dyDescent="0.25">
      <c r="A2468" s="56">
        <v>41652</v>
      </c>
      <c r="B2468" s="55">
        <v>185</v>
      </c>
    </row>
    <row r="2469" spans="1:2" x14ac:dyDescent="0.25">
      <c r="A2469" s="56">
        <v>41649</v>
      </c>
      <c r="B2469" s="55">
        <v>185</v>
      </c>
    </row>
    <row r="2470" spans="1:2" x14ac:dyDescent="0.25">
      <c r="A2470" s="56">
        <v>41648</v>
      </c>
      <c r="B2470" s="55">
        <v>185</v>
      </c>
    </row>
    <row r="2471" spans="1:2" x14ac:dyDescent="0.25">
      <c r="A2471" s="56">
        <v>41647</v>
      </c>
      <c r="B2471" s="55">
        <v>185</v>
      </c>
    </row>
    <row r="2472" spans="1:2" x14ac:dyDescent="0.25">
      <c r="A2472" s="56">
        <v>41646</v>
      </c>
      <c r="B2472" s="55">
        <v>180</v>
      </c>
    </row>
    <row r="2473" spans="1:2" x14ac:dyDescent="0.25">
      <c r="A2473" s="56">
        <v>41645</v>
      </c>
      <c r="B2473" s="55">
        <v>180</v>
      </c>
    </row>
    <row r="2474" spans="1:2" x14ac:dyDescent="0.25">
      <c r="A2474" s="56">
        <v>41642</v>
      </c>
      <c r="B2474" s="55">
        <v>180</v>
      </c>
    </row>
    <row r="2475" spans="1:2" x14ac:dyDescent="0.25">
      <c r="A2475" s="56">
        <v>41641</v>
      </c>
      <c r="B2475" s="55">
        <v>190</v>
      </c>
    </row>
    <row r="2476" spans="1:2" x14ac:dyDescent="0.25">
      <c r="A2476" s="56">
        <v>41275</v>
      </c>
      <c r="B2476" s="55">
        <v>195</v>
      </c>
    </row>
    <row r="2477" spans="1:2" x14ac:dyDescent="0.25">
      <c r="A2477" s="56">
        <v>41639</v>
      </c>
      <c r="B2477" s="55">
        <v>195</v>
      </c>
    </row>
    <row r="2478" spans="1:2" x14ac:dyDescent="0.25">
      <c r="A2478" s="56">
        <v>41638</v>
      </c>
      <c r="B2478" s="55">
        <v>195</v>
      </c>
    </row>
    <row r="2479" spans="1:2" x14ac:dyDescent="0.25">
      <c r="A2479" s="56">
        <v>41635</v>
      </c>
      <c r="B2479" s="55">
        <v>193</v>
      </c>
    </row>
    <row r="2480" spans="1:2" x14ac:dyDescent="0.25">
      <c r="A2480" s="56">
        <v>41634</v>
      </c>
      <c r="B2480" s="55">
        <v>195</v>
      </c>
    </row>
    <row r="2481" spans="1:2" x14ac:dyDescent="0.25">
      <c r="A2481" s="56">
        <v>41633</v>
      </c>
      <c r="B2481" s="55">
        <v>195</v>
      </c>
    </row>
    <row r="2482" spans="1:2" x14ac:dyDescent="0.25">
      <c r="A2482" s="56">
        <v>41632</v>
      </c>
      <c r="B2482" s="55">
        <v>195</v>
      </c>
    </row>
    <row r="2483" spans="1:2" x14ac:dyDescent="0.25">
      <c r="A2483" s="56">
        <v>41631</v>
      </c>
      <c r="B2483" s="55">
        <v>195</v>
      </c>
    </row>
    <row r="2484" spans="1:2" x14ac:dyDescent="0.25">
      <c r="A2484" s="56">
        <v>41628</v>
      </c>
      <c r="B2484" s="55">
        <v>202</v>
      </c>
    </row>
    <row r="2485" spans="1:2" x14ac:dyDescent="0.25">
      <c r="A2485" s="56">
        <v>41627</v>
      </c>
      <c r="B2485" s="55">
        <v>200</v>
      </c>
    </row>
    <row r="2486" spans="1:2" x14ac:dyDescent="0.25">
      <c r="A2486" s="56">
        <v>41626</v>
      </c>
      <c r="B2486" s="55">
        <v>200</v>
      </c>
    </row>
    <row r="2487" spans="1:2" x14ac:dyDescent="0.25">
      <c r="A2487" s="56">
        <v>41625</v>
      </c>
      <c r="B2487" s="55">
        <v>197</v>
      </c>
    </row>
    <row r="2488" spans="1:2" x14ac:dyDescent="0.25">
      <c r="A2488" s="56">
        <v>41624</v>
      </c>
      <c r="B2488" s="55">
        <v>200</v>
      </c>
    </row>
    <row r="2489" spans="1:2" x14ac:dyDescent="0.25">
      <c r="A2489" s="56">
        <v>41621</v>
      </c>
      <c r="B2489" s="55">
        <v>200</v>
      </c>
    </row>
    <row r="2490" spans="1:2" x14ac:dyDescent="0.25">
      <c r="A2490" s="56">
        <v>41620</v>
      </c>
      <c r="B2490" s="55">
        <v>192</v>
      </c>
    </row>
    <row r="2491" spans="1:2" x14ac:dyDescent="0.25">
      <c r="A2491" s="56">
        <v>41619</v>
      </c>
      <c r="B2491" s="55">
        <v>188</v>
      </c>
    </row>
    <row r="2492" spans="1:2" x14ac:dyDescent="0.25">
      <c r="A2492" s="56">
        <v>41618</v>
      </c>
      <c r="B2492" s="55">
        <v>190</v>
      </c>
    </row>
    <row r="2493" spans="1:2" x14ac:dyDescent="0.25">
      <c r="A2493" s="56">
        <v>41617</v>
      </c>
      <c r="B2493" s="55">
        <v>190</v>
      </c>
    </row>
    <row r="2494" spans="1:2" x14ac:dyDescent="0.25">
      <c r="A2494" s="56">
        <v>41614</v>
      </c>
      <c r="B2494" s="55">
        <v>195</v>
      </c>
    </row>
    <row r="2495" spans="1:2" x14ac:dyDescent="0.25">
      <c r="A2495" s="56">
        <v>41613</v>
      </c>
      <c r="B2495" s="55">
        <v>195</v>
      </c>
    </row>
    <row r="2496" spans="1:2" x14ac:dyDescent="0.25">
      <c r="A2496" s="56">
        <v>41612</v>
      </c>
      <c r="B2496" s="55">
        <v>195</v>
      </c>
    </row>
    <row r="2497" spans="1:2" x14ac:dyDescent="0.25">
      <c r="A2497" s="56">
        <v>41611</v>
      </c>
      <c r="B2497" s="55">
        <v>195</v>
      </c>
    </row>
    <row r="2498" spans="1:2" x14ac:dyDescent="0.25">
      <c r="A2498" s="56">
        <v>41610</v>
      </c>
      <c r="B2498" s="55">
        <v>195</v>
      </c>
    </row>
    <row r="2499" spans="1:2" x14ac:dyDescent="0.25">
      <c r="A2499" s="56">
        <v>41607</v>
      </c>
      <c r="B2499" s="55">
        <v>195</v>
      </c>
    </row>
    <row r="2500" spans="1:2" x14ac:dyDescent="0.25">
      <c r="A2500" s="56">
        <v>41606</v>
      </c>
      <c r="B2500" s="55">
        <v>198</v>
      </c>
    </row>
    <row r="2501" spans="1:2" x14ac:dyDescent="0.25">
      <c r="A2501" s="56">
        <v>41605</v>
      </c>
      <c r="B2501" s="55">
        <v>198</v>
      </c>
    </row>
    <row r="2502" spans="1:2" x14ac:dyDescent="0.25">
      <c r="A2502" s="56">
        <v>41604</v>
      </c>
      <c r="B2502" s="55">
        <v>195</v>
      </c>
    </row>
    <row r="2503" spans="1:2" x14ac:dyDescent="0.25">
      <c r="A2503" s="56">
        <v>41603</v>
      </c>
      <c r="B2503" s="55">
        <v>195</v>
      </c>
    </row>
    <row r="2504" spans="1:2" x14ac:dyDescent="0.25">
      <c r="A2504" s="56">
        <v>41600</v>
      </c>
      <c r="B2504" s="55">
        <v>190</v>
      </c>
    </row>
    <row r="2505" spans="1:2" x14ac:dyDescent="0.25">
      <c r="A2505" s="56">
        <v>41599</v>
      </c>
      <c r="B2505" s="55">
        <v>195</v>
      </c>
    </row>
    <row r="2506" spans="1:2" x14ac:dyDescent="0.25">
      <c r="A2506" s="56">
        <v>41598</v>
      </c>
      <c r="B2506" s="55">
        <v>201</v>
      </c>
    </row>
    <row r="2507" spans="1:2" x14ac:dyDescent="0.25">
      <c r="A2507" s="56">
        <v>41597</v>
      </c>
      <c r="B2507" s="55">
        <v>200</v>
      </c>
    </row>
    <row r="2508" spans="1:2" x14ac:dyDescent="0.25">
      <c r="A2508" s="56">
        <v>41596</v>
      </c>
      <c r="B2508" s="55">
        <v>195</v>
      </c>
    </row>
    <row r="2509" spans="1:2" x14ac:dyDescent="0.25">
      <c r="A2509" s="56">
        <v>41593</v>
      </c>
      <c r="B2509" s="55">
        <v>190</v>
      </c>
    </row>
    <row r="2510" spans="1:2" x14ac:dyDescent="0.25">
      <c r="A2510" s="56">
        <v>41592</v>
      </c>
      <c r="B2510" s="55">
        <v>190</v>
      </c>
    </row>
    <row r="2511" spans="1:2" x14ac:dyDescent="0.25">
      <c r="A2511" s="56">
        <v>41591</v>
      </c>
      <c r="B2511" s="55">
        <v>205</v>
      </c>
    </row>
    <row r="2512" spans="1:2" x14ac:dyDescent="0.25">
      <c r="A2512" s="56">
        <v>41590</v>
      </c>
      <c r="B2512" s="55">
        <v>200</v>
      </c>
    </row>
    <row r="2513" spans="1:2" x14ac:dyDescent="0.25">
      <c r="A2513" s="56">
        <v>41589</v>
      </c>
      <c r="B2513" s="55">
        <v>180</v>
      </c>
    </row>
    <row r="2514" spans="1:2" x14ac:dyDescent="0.25">
      <c r="A2514" s="56">
        <v>41586</v>
      </c>
      <c r="B2514" s="55">
        <v>185</v>
      </c>
    </row>
    <row r="2515" spans="1:2" x14ac:dyDescent="0.25">
      <c r="A2515" s="56">
        <v>41585</v>
      </c>
      <c r="B2515" s="55">
        <v>185</v>
      </c>
    </row>
    <row r="2516" spans="1:2" x14ac:dyDescent="0.25">
      <c r="A2516" s="56">
        <v>41584</v>
      </c>
      <c r="B2516" s="55">
        <v>180</v>
      </c>
    </row>
    <row r="2517" spans="1:2" x14ac:dyDescent="0.25">
      <c r="A2517" s="56">
        <v>41583</v>
      </c>
      <c r="B2517" s="55">
        <v>175</v>
      </c>
    </row>
    <row r="2518" spans="1:2" x14ac:dyDescent="0.25">
      <c r="A2518" s="56">
        <v>41582</v>
      </c>
      <c r="B2518" s="55">
        <v>175</v>
      </c>
    </row>
    <row r="2519" spans="1:2" x14ac:dyDescent="0.25">
      <c r="A2519" s="56">
        <v>41579</v>
      </c>
      <c r="B2519" s="55">
        <v>180</v>
      </c>
    </row>
    <row r="2520" spans="1:2" x14ac:dyDescent="0.25">
      <c r="A2520" s="56">
        <v>41578</v>
      </c>
      <c r="B2520" s="55">
        <v>175</v>
      </c>
    </row>
    <row r="2521" spans="1:2" x14ac:dyDescent="0.25">
      <c r="A2521" s="56">
        <v>41577</v>
      </c>
      <c r="B2521" s="55">
        <v>170</v>
      </c>
    </row>
    <row r="2522" spans="1:2" x14ac:dyDescent="0.25">
      <c r="A2522" s="56">
        <v>41576</v>
      </c>
      <c r="B2522" s="55">
        <v>160</v>
      </c>
    </row>
    <row r="2523" spans="1:2" x14ac:dyDescent="0.25">
      <c r="A2523" s="56">
        <v>41575</v>
      </c>
      <c r="B2523" s="55">
        <v>172</v>
      </c>
    </row>
    <row r="2524" spans="1:2" x14ac:dyDescent="0.25">
      <c r="A2524" s="56">
        <v>41572</v>
      </c>
      <c r="B2524" s="55">
        <v>170</v>
      </c>
    </row>
    <row r="2525" spans="1:2" x14ac:dyDescent="0.25">
      <c r="A2525" s="56">
        <v>41571</v>
      </c>
      <c r="B2525" s="55">
        <v>170</v>
      </c>
    </row>
    <row r="2526" spans="1:2" x14ac:dyDescent="0.25">
      <c r="A2526" s="56">
        <v>41570</v>
      </c>
      <c r="B2526" s="55">
        <v>180</v>
      </c>
    </row>
    <row r="2527" spans="1:2" x14ac:dyDescent="0.25">
      <c r="A2527" s="56">
        <v>41569</v>
      </c>
      <c r="B2527" s="55">
        <v>180</v>
      </c>
    </row>
    <row r="2528" spans="1:2" x14ac:dyDescent="0.25">
      <c r="A2528" s="56">
        <v>41568</v>
      </c>
      <c r="B2528" s="55">
        <v>180</v>
      </c>
    </row>
    <row r="2529" spans="1:2" x14ac:dyDescent="0.25">
      <c r="A2529" s="56">
        <v>41565</v>
      </c>
      <c r="B2529" s="55">
        <v>180</v>
      </c>
    </row>
    <row r="2530" spans="1:2" x14ac:dyDescent="0.25">
      <c r="A2530" s="56">
        <v>41564</v>
      </c>
      <c r="B2530" s="55">
        <v>185</v>
      </c>
    </row>
    <row r="2531" spans="1:2" x14ac:dyDescent="0.25">
      <c r="A2531" s="56">
        <v>41563</v>
      </c>
      <c r="B2531" s="55">
        <v>185</v>
      </c>
    </row>
    <row r="2532" spans="1:2" x14ac:dyDescent="0.25">
      <c r="A2532" s="56">
        <v>41562</v>
      </c>
      <c r="B2532" s="55">
        <v>180</v>
      </c>
    </row>
    <row r="2533" spans="1:2" x14ac:dyDescent="0.25">
      <c r="A2533" s="56">
        <v>41561</v>
      </c>
      <c r="B2533" s="55">
        <v>180</v>
      </c>
    </row>
    <row r="2534" spans="1:2" x14ac:dyDescent="0.25">
      <c r="A2534" s="56">
        <v>41558</v>
      </c>
      <c r="B2534" s="55">
        <v>180</v>
      </c>
    </row>
    <row r="2535" spans="1:2" x14ac:dyDescent="0.25">
      <c r="A2535" s="56">
        <v>41557</v>
      </c>
      <c r="B2535" s="55">
        <v>175</v>
      </c>
    </row>
    <row r="2536" spans="1:2" x14ac:dyDescent="0.25">
      <c r="A2536" s="56">
        <v>41556</v>
      </c>
      <c r="B2536" s="55">
        <v>180</v>
      </c>
    </row>
    <row r="2537" spans="1:2" x14ac:dyDescent="0.25">
      <c r="A2537" s="56">
        <v>41555</v>
      </c>
      <c r="B2537" s="55">
        <v>185</v>
      </c>
    </row>
    <row r="2538" spans="1:2" x14ac:dyDescent="0.25">
      <c r="A2538" s="56">
        <v>41554</v>
      </c>
      <c r="B2538" s="55">
        <v>185</v>
      </c>
    </row>
    <row r="2539" spans="1:2" x14ac:dyDescent="0.25">
      <c r="A2539" s="56">
        <v>41551</v>
      </c>
      <c r="B2539" s="55">
        <v>185</v>
      </c>
    </row>
    <row r="2540" spans="1:2" x14ac:dyDescent="0.25">
      <c r="A2540" s="56">
        <v>41550</v>
      </c>
      <c r="B2540" s="55">
        <v>190</v>
      </c>
    </row>
    <row r="2541" spans="1:2" x14ac:dyDescent="0.25">
      <c r="A2541" s="56">
        <v>41549</v>
      </c>
      <c r="B2541" s="55">
        <v>190</v>
      </c>
    </row>
    <row r="2542" spans="1:2" x14ac:dyDescent="0.25">
      <c r="A2542" s="56">
        <v>41548</v>
      </c>
      <c r="B2542" s="55">
        <v>185</v>
      </c>
    </row>
    <row r="2543" spans="1:2" x14ac:dyDescent="0.25">
      <c r="A2543" s="56">
        <v>41547</v>
      </c>
      <c r="B2543" s="55">
        <v>185</v>
      </c>
    </row>
    <row r="2544" spans="1:2" x14ac:dyDescent="0.25">
      <c r="A2544" s="56">
        <v>41544</v>
      </c>
      <c r="B2544" s="55">
        <v>185</v>
      </c>
    </row>
    <row r="2545" spans="1:2" x14ac:dyDescent="0.25">
      <c r="A2545" s="56">
        <v>41543</v>
      </c>
      <c r="B2545" s="55">
        <v>180</v>
      </c>
    </row>
    <row r="2546" spans="1:2" x14ac:dyDescent="0.25">
      <c r="A2546" s="56">
        <v>41542</v>
      </c>
      <c r="B2546" s="55">
        <v>180</v>
      </c>
    </row>
    <row r="2547" spans="1:2" x14ac:dyDescent="0.25">
      <c r="A2547" s="56">
        <v>41541</v>
      </c>
      <c r="B2547" s="55">
        <v>180</v>
      </c>
    </row>
    <row r="2548" spans="1:2" x14ac:dyDescent="0.25">
      <c r="A2548" s="56">
        <v>41540</v>
      </c>
      <c r="B2548" s="55">
        <v>183</v>
      </c>
    </row>
    <row r="2549" spans="1:2" x14ac:dyDescent="0.25">
      <c r="A2549" s="56">
        <v>41537</v>
      </c>
      <c r="B2549" s="55">
        <v>183</v>
      </c>
    </row>
    <row r="2550" spans="1:2" x14ac:dyDescent="0.25">
      <c r="A2550" s="56">
        <v>41536</v>
      </c>
      <c r="B2550" s="55">
        <v>160</v>
      </c>
    </row>
    <row r="2551" spans="1:2" x14ac:dyDescent="0.25">
      <c r="A2551" s="56">
        <v>41535</v>
      </c>
      <c r="B2551" s="55">
        <v>180</v>
      </c>
    </row>
    <row r="2552" spans="1:2" x14ac:dyDescent="0.25">
      <c r="A2552" s="56">
        <v>41534</v>
      </c>
      <c r="B2552" s="55">
        <v>180</v>
      </c>
    </row>
    <row r="2553" spans="1:2" x14ac:dyDescent="0.25">
      <c r="A2553" s="56">
        <v>41533</v>
      </c>
      <c r="B2553" s="55">
        <v>160</v>
      </c>
    </row>
    <row r="2554" spans="1:2" x14ac:dyDescent="0.25">
      <c r="A2554" s="56">
        <v>41530</v>
      </c>
      <c r="B2554" s="55">
        <v>160</v>
      </c>
    </row>
    <row r="2555" spans="1:2" x14ac:dyDescent="0.25">
      <c r="A2555" s="56">
        <v>41529</v>
      </c>
      <c r="B2555" s="55">
        <v>150</v>
      </c>
    </row>
    <row r="2556" spans="1:2" x14ac:dyDescent="0.25">
      <c r="A2556" s="56">
        <v>41528</v>
      </c>
      <c r="B2556" s="55">
        <v>150</v>
      </c>
    </row>
    <row r="2557" spans="1:2" x14ac:dyDescent="0.25">
      <c r="A2557" s="56">
        <v>41527</v>
      </c>
      <c r="B2557" s="55">
        <v>145</v>
      </c>
    </row>
    <row r="2558" spans="1:2" x14ac:dyDescent="0.25">
      <c r="A2558" s="56">
        <v>41526</v>
      </c>
      <c r="B2558" s="55">
        <v>140</v>
      </c>
    </row>
    <row r="2559" spans="1:2" x14ac:dyDescent="0.25">
      <c r="A2559" s="56">
        <v>41523</v>
      </c>
      <c r="B2559" s="55">
        <v>145</v>
      </c>
    </row>
    <row r="2560" spans="1:2" x14ac:dyDescent="0.25">
      <c r="A2560" s="56">
        <v>41522</v>
      </c>
      <c r="B2560" s="55">
        <v>140</v>
      </c>
    </row>
    <row r="2561" spans="1:2" x14ac:dyDescent="0.25">
      <c r="A2561" s="56">
        <v>41521</v>
      </c>
      <c r="B2561" s="55">
        <v>140</v>
      </c>
    </row>
    <row r="2562" spans="1:2" x14ac:dyDescent="0.25">
      <c r="A2562" s="56">
        <v>41520</v>
      </c>
      <c r="B2562" s="55">
        <v>140</v>
      </c>
    </row>
    <row r="2563" spans="1:2" x14ac:dyDescent="0.25">
      <c r="A2563" s="56">
        <v>41519</v>
      </c>
      <c r="B2563" s="55">
        <v>140</v>
      </c>
    </row>
    <row r="2564" spans="1:2" x14ac:dyDescent="0.25">
      <c r="A2564" s="56">
        <v>41516</v>
      </c>
      <c r="B2564" s="55">
        <v>148</v>
      </c>
    </row>
    <row r="2565" spans="1:2" x14ac:dyDescent="0.25">
      <c r="A2565" s="56">
        <v>41515</v>
      </c>
      <c r="B2565" s="55">
        <v>148</v>
      </c>
    </row>
    <row r="2566" spans="1:2" x14ac:dyDescent="0.25">
      <c r="A2566" s="56">
        <v>41514</v>
      </c>
      <c r="B2566" s="55">
        <v>140</v>
      </c>
    </row>
    <row r="2567" spans="1:2" x14ac:dyDescent="0.25">
      <c r="A2567" s="56">
        <v>41513</v>
      </c>
      <c r="B2567" s="55">
        <v>140</v>
      </c>
    </row>
    <row r="2568" spans="1:2" x14ac:dyDescent="0.25">
      <c r="A2568" s="56">
        <v>41512</v>
      </c>
      <c r="B2568" s="55">
        <v>135</v>
      </c>
    </row>
    <row r="2569" spans="1:2" x14ac:dyDescent="0.25">
      <c r="A2569" s="56">
        <v>41509</v>
      </c>
      <c r="B2569" s="55">
        <v>135</v>
      </c>
    </row>
    <row r="2570" spans="1:2" x14ac:dyDescent="0.25">
      <c r="A2570" s="56">
        <v>41508</v>
      </c>
      <c r="B2570" s="55">
        <v>130</v>
      </c>
    </row>
    <row r="2571" spans="1:2" x14ac:dyDescent="0.25">
      <c r="A2571" s="56">
        <v>41507</v>
      </c>
      <c r="B2571" s="55">
        <v>130</v>
      </c>
    </row>
    <row r="2572" spans="1:2" x14ac:dyDescent="0.25">
      <c r="A2572" s="56">
        <v>41506</v>
      </c>
      <c r="B2572" s="55">
        <v>140</v>
      </c>
    </row>
    <row r="2573" spans="1:2" x14ac:dyDescent="0.25">
      <c r="A2573" s="56">
        <v>41505</v>
      </c>
      <c r="B2573" s="55">
        <v>145</v>
      </c>
    </row>
    <row r="2574" spans="1:2" x14ac:dyDescent="0.25">
      <c r="A2574" s="56">
        <v>41502</v>
      </c>
      <c r="B2574" s="55">
        <v>145</v>
      </c>
    </row>
    <row r="2575" spans="1:2" x14ac:dyDescent="0.25">
      <c r="A2575" s="56">
        <v>41501</v>
      </c>
      <c r="B2575" s="55">
        <v>130</v>
      </c>
    </row>
    <row r="2576" spans="1:2" x14ac:dyDescent="0.25">
      <c r="A2576" s="56">
        <v>41500</v>
      </c>
      <c r="B2576" s="55">
        <v>135</v>
      </c>
    </row>
    <row r="2577" spans="1:2" x14ac:dyDescent="0.25">
      <c r="A2577" s="56">
        <v>41499</v>
      </c>
      <c r="B2577" s="55">
        <v>135</v>
      </c>
    </row>
    <row r="2578" spans="1:2" x14ac:dyDescent="0.25">
      <c r="A2578" s="56">
        <v>41498</v>
      </c>
      <c r="B2578" s="55">
        <v>135</v>
      </c>
    </row>
    <row r="2579" spans="1:2" x14ac:dyDescent="0.25">
      <c r="A2579" s="56">
        <v>41495</v>
      </c>
      <c r="B2579" s="55">
        <v>140</v>
      </c>
    </row>
    <row r="2580" spans="1:2" x14ac:dyDescent="0.25">
      <c r="A2580" s="56">
        <v>41494</v>
      </c>
      <c r="B2580" s="55">
        <v>140</v>
      </c>
    </row>
    <row r="2581" spans="1:2" x14ac:dyDescent="0.25">
      <c r="A2581" s="56">
        <v>41493</v>
      </c>
      <c r="B2581" s="55">
        <v>140</v>
      </c>
    </row>
    <row r="2582" spans="1:2" x14ac:dyDescent="0.25">
      <c r="A2582" s="56">
        <v>41492</v>
      </c>
      <c r="B2582" s="55">
        <v>140</v>
      </c>
    </row>
    <row r="2583" spans="1:2" x14ac:dyDescent="0.25">
      <c r="A2583" s="56">
        <v>41491</v>
      </c>
      <c r="B2583" s="55">
        <v>140</v>
      </c>
    </row>
    <row r="2584" spans="1:2" x14ac:dyDescent="0.25">
      <c r="A2584" s="56">
        <v>41488</v>
      </c>
      <c r="B2584" s="55">
        <v>140</v>
      </c>
    </row>
    <row r="2585" spans="1:2" x14ac:dyDescent="0.25">
      <c r="A2585" s="56">
        <v>41487</v>
      </c>
      <c r="B2585" s="55">
        <v>135</v>
      </c>
    </row>
    <row r="2586" spans="1:2" x14ac:dyDescent="0.25">
      <c r="A2586" s="56">
        <v>41486</v>
      </c>
      <c r="B2586" s="55">
        <v>135</v>
      </c>
    </row>
    <row r="2587" spans="1:2" x14ac:dyDescent="0.25">
      <c r="A2587" s="56">
        <v>41485</v>
      </c>
      <c r="B2587" s="55">
        <v>135</v>
      </c>
    </row>
    <row r="2588" spans="1:2" x14ac:dyDescent="0.25">
      <c r="A2588" s="56">
        <v>41484</v>
      </c>
      <c r="B2588" s="55">
        <v>130</v>
      </c>
    </row>
    <row r="2589" spans="1:2" x14ac:dyDescent="0.25">
      <c r="A2589" s="56">
        <v>41481</v>
      </c>
      <c r="B2589" s="55">
        <v>130</v>
      </c>
    </row>
    <row r="2590" spans="1:2" x14ac:dyDescent="0.25">
      <c r="A2590" s="56">
        <v>41480</v>
      </c>
      <c r="B2590" s="55">
        <v>135</v>
      </c>
    </row>
    <row r="2591" spans="1:2" x14ac:dyDescent="0.25">
      <c r="A2591" s="56">
        <v>41479</v>
      </c>
      <c r="B2591" s="55">
        <v>130</v>
      </c>
    </row>
    <row r="2592" spans="1:2" x14ac:dyDescent="0.25">
      <c r="A2592" s="56">
        <v>41478</v>
      </c>
      <c r="B2592" s="55">
        <v>135</v>
      </c>
    </row>
    <row r="2593" spans="1:2" x14ac:dyDescent="0.25">
      <c r="A2593" s="56">
        <v>41477</v>
      </c>
      <c r="B2593" s="55">
        <v>130</v>
      </c>
    </row>
    <row r="2594" spans="1:2" x14ac:dyDescent="0.25">
      <c r="A2594" s="56">
        <v>41474</v>
      </c>
      <c r="B2594" s="55">
        <v>130</v>
      </c>
    </row>
    <row r="2595" spans="1:2" x14ac:dyDescent="0.25">
      <c r="A2595" s="56">
        <v>41473</v>
      </c>
      <c r="B2595" s="55">
        <v>135</v>
      </c>
    </row>
    <row r="2596" spans="1:2" x14ac:dyDescent="0.25">
      <c r="A2596" s="56">
        <v>41472</v>
      </c>
      <c r="B2596" s="55">
        <v>140</v>
      </c>
    </row>
    <row r="2597" spans="1:2" x14ac:dyDescent="0.25">
      <c r="A2597" s="56">
        <v>41471</v>
      </c>
      <c r="B2597" s="55">
        <v>135</v>
      </c>
    </row>
    <row r="2598" spans="1:2" x14ac:dyDescent="0.25">
      <c r="A2598" s="56">
        <v>41470</v>
      </c>
      <c r="B2598" s="55">
        <v>135</v>
      </c>
    </row>
    <row r="2599" spans="1:2" x14ac:dyDescent="0.25">
      <c r="A2599" s="56">
        <v>41467</v>
      </c>
      <c r="B2599" s="55">
        <v>135</v>
      </c>
    </row>
    <row r="2600" spans="1:2" x14ac:dyDescent="0.25">
      <c r="A2600" s="56">
        <v>41466</v>
      </c>
      <c r="B2600" s="55">
        <v>130</v>
      </c>
    </row>
    <row r="2601" spans="1:2" x14ac:dyDescent="0.25">
      <c r="A2601" s="56">
        <v>41465</v>
      </c>
      <c r="B2601" s="55">
        <v>135</v>
      </c>
    </row>
    <row r="2602" spans="1:2" x14ac:dyDescent="0.25">
      <c r="A2602" s="56">
        <v>41464</v>
      </c>
      <c r="B2602" s="55">
        <v>125</v>
      </c>
    </row>
    <row r="2603" spans="1:2" x14ac:dyDescent="0.25">
      <c r="A2603" s="56">
        <v>41463</v>
      </c>
      <c r="B2603" s="55">
        <v>125</v>
      </c>
    </row>
    <row r="2604" spans="1:2" x14ac:dyDescent="0.25">
      <c r="A2604" s="56">
        <v>41460</v>
      </c>
      <c r="B2604" s="55">
        <v>120</v>
      </c>
    </row>
    <row r="2605" spans="1:2" x14ac:dyDescent="0.25">
      <c r="A2605" s="56">
        <v>41459</v>
      </c>
      <c r="B2605" s="55">
        <v>118</v>
      </c>
    </row>
    <row r="2606" spans="1:2" x14ac:dyDescent="0.25">
      <c r="A2606" s="56">
        <v>41458</v>
      </c>
      <c r="B2606" s="55">
        <v>120</v>
      </c>
    </row>
    <row r="2607" spans="1:2" x14ac:dyDescent="0.25">
      <c r="A2607" s="56">
        <v>41457</v>
      </c>
      <c r="B2607" s="55">
        <v>120</v>
      </c>
    </row>
    <row r="2608" spans="1:2" x14ac:dyDescent="0.25">
      <c r="A2608" s="56">
        <v>41456</v>
      </c>
      <c r="B2608" s="55">
        <v>115</v>
      </c>
    </row>
    <row r="2609" spans="1:2" x14ac:dyDescent="0.25">
      <c r="A2609" s="56">
        <v>41453</v>
      </c>
      <c r="B2609" s="55">
        <v>120</v>
      </c>
    </row>
    <row r="2610" spans="1:2" x14ac:dyDescent="0.25">
      <c r="A2610" s="56">
        <v>41452</v>
      </c>
      <c r="B2610" s="55">
        <v>115</v>
      </c>
    </row>
    <row r="2611" spans="1:2" x14ac:dyDescent="0.25">
      <c r="A2611" s="56">
        <v>41451</v>
      </c>
      <c r="B2611" s="55">
        <v>123</v>
      </c>
    </row>
    <row r="2612" spans="1:2" x14ac:dyDescent="0.25">
      <c r="A2612" s="55"/>
      <c r="B2612" s="5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ADEF0-CAF8-46F9-9EB7-0846C57F244D}">
  <dimension ref="A1:AU73"/>
  <sheetViews>
    <sheetView workbookViewId="0">
      <selection activeCell="AA33" sqref="AA33"/>
    </sheetView>
  </sheetViews>
  <sheetFormatPr defaultRowHeight="12.75" outlineLevelCol="1" x14ac:dyDescent="0.2"/>
  <cols>
    <col min="1" max="1" width="0.28515625" style="59" customWidth="1"/>
    <col min="2" max="2" width="1.7109375" style="59" customWidth="1"/>
    <col min="3" max="3" width="1.140625" style="59" customWidth="1"/>
    <col min="4" max="4" width="37.140625" style="59" customWidth="1"/>
    <col min="5" max="8" width="6.140625" style="59" hidden="1" customWidth="1" outlineLevel="1" collapsed="1"/>
    <col min="9" max="9" width="8.140625" style="59" customWidth="1" collapsed="1"/>
    <col min="10" max="12" width="6.140625" style="59" hidden="1" customWidth="1" outlineLevel="1" collapsed="1"/>
    <col min="13" max="13" width="4.42578125" style="59" hidden="1" customWidth="1" outlineLevel="1" collapsed="1"/>
    <col min="14" max="14" width="1.5703125" style="59" hidden="1" customWidth="1" outlineLevel="1" collapsed="1"/>
    <col min="15" max="15" width="8.140625" style="59" customWidth="1" collapsed="1"/>
    <col min="16" max="19" width="6.140625" style="59" hidden="1" customWidth="1" outlineLevel="1" collapsed="1"/>
    <col min="20" max="20" width="8.140625" style="59" customWidth="1" collapsed="1"/>
    <col min="21" max="24" width="6.140625" style="59" hidden="1" customWidth="1" outlineLevel="1" collapsed="1"/>
    <col min="25" max="25" width="8.140625" style="59" customWidth="1" collapsed="1"/>
    <col min="26" max="29" width="6.140625" style="59" customWidth="1" outlineLevel="1"/>
    <col min="30" max="30" width="8.140625" style="59" customWidth="1"/>
    <col min="31" max="34" width="6.140625" style="59" customWidth="1" outlineLevel="1"/>
    <col min="35" max="35" width="8.140625" style="59" customWidth="1"/>
    <col min="36" max="39" width="6.140625" style="59" hidden="1" customWidth="1" outlineLevel="1"/>
    <col min="40" max="40" width="8.140625" style="59" hidden="1" customWidth="1"/>
    <col min="41" max="41" width="2.28515625" style="59" customWidth="1"/>
    <col min="42" max="42" width="37.140625" style="59" customWidth="1"/>
    <col min="43" max="43" width="2" style="59" customWidth="1"/>
    <col min="44" max="44" width="0.5703125" style="59" customWidth="1"/>
    <col min="45" max="45" width="0" style="59" hidden="1" customWidth="1"/>
    <col min="46" max="256" width="9.140625" style="59"/>
    <col min="257" max="257" width="0.28515625" style="59" customWidth="1"/>
    <col min="258" max="258" width="1.7109375" style="59" customWidth="1"/>
    <col min="259" max="259" width="1.140625" style="59" customWidth="1"/>
    <col min="260" max="260" width="37.140625" style="59" customWidth="1"/>
    <col min="261" max="264" width="0" style="59" hidden="1" customWidth="1"/>
    <col min="265" max="265" width="8.140625" style="59" customWidth="1"/>
    <col min="266" max="270" width="0" style="59" hidden="1" customWidth="1"/>
    <col min="271" max="271" width="8.140625" style="59" customWidth="1"/>
    <col min="272" max="275" width="0" style="59" hidden="1" customWidth="1"/>
    <col min="276" max="276" width="8.140625" style="59" customWidth="1"/>
    <col min="277" max="280" width="0" style="59" hidden="1" customWidth="1"/>
    <col min="281" max="281" width="8.140625" style="59" customWidth="1"/>
    <col min="282" max="285" width="6.140625" style="59" customWidth="1"/>
    <col min="286" max="286" width="8.140625" style="59" customWidth="1"/>
    <col min="287" max="290" width="6.140625" style="59" customWidth="1"/>
    <col min="291" max="291" width="8.140625" style="59" customWidth="1"/>
    <col min="292" max="296" width="0" style="59" hidden="1" customWidth="1"/>
    <col min="297" max="297" width="2.28515625" style="59" customWidth="1"/>
    <col min="298" max="298" width="37.140625" style="59" customWidth="1"/>
    <col min="299" max="299" width="2" style="59" customWidth="1"/>
    <col min="300" max="300" width="0.5703125" style="59" customWidth="1"/>
    <col min="301" max="301" width="0" style="59" hidden="1" customWidth="1"/>
    <col min="302" max="512" width="9.140625" style="59"/>
    <col min="513" max="513" width="0.28515625" style="59" customWidth="1"/>
    <col min="514" max="514" width="1.7109375" style="59" customWidth="1"/>
    <col min="515" max="515" width="1.140625" style="59" customWidth="1"/>
    <col min="516" max="516" width="37.140625" style="59" customWidth="1"/>
    <col min="517" max="520" width="0" style="59" hidden="1" customWidth="1"/>
    <col min="521" max="521" width="8.140625" style="59" customWidth="1"/>
    <col min="522" max="526" width="0" style="59" hidden="1" customWidth="1"/>
    <col min="527" max="527" width="8.140625" style="59" customWidth="1"/>
    <col min="528" max="531" width="0" style="59" hidden="1" customWidth="1"/>
    <col min="532" max="532" width="8.140625" style="59" customWidth="1"/>
    <col min="533" max="536" width="0" style="59" hidden="1" customWidth="1"/>
    <col min="537" max="537" width="8.140625" style="59" customWidth="1"/>
    <col min="538" max="541" width="6.140625" style="59" customWidth="1"/>
    <col min="542" max="542" width="8.140625" style="59" customWidth="1"/>
    <col min="543" max="546" width="6.140625" style="59" customWidth="1"/>
    <col min="547" max="547" width="8.140625" style="59" customWidth="1"/>
    <col min="548" max="552" width="0" style="59" hidden="1" customWidth="1"/>
    <col min="553" max="553" width="2.28515625" style="59" customWidth="1"/>
    <col min="554" max="554" width="37.140625" style="59" customWidth="1"/>
    <col min="555" max="555" width="2" style="59" customWidth="1"/>
    <col min="556" max="556" width="0.5703125" style="59" customWidth="1"/>
    <col min="557" max="557" width="0" style="59" hidden="1" customWidth="1"/>
    <col min="558" max="768" width="9.140625" style="59"/>
    <col min="769" max="769" width="0.28515625" style="59" customWidth="1"/>
    <col min="770" max="770" width="1.7109375" style="59" customWidth="1"/>
    <col min="771" max="771" width="1.140625" style="59" customWidth="1"/>
    <col min="772" max="772" width="37.140625" style="59" customWidth="1"/>
    <col min="773" max="776" width="0" style="59" hidden="1" customWidth="1"/>
    <col min="777" max="777" width="8.140625" style="59" customWidth="1"/>
    <col min="778" max="782" width="0" style="59" hidden="1" customWidth="1"/>
    <col min="783" max="783" width="8.140625" style="59" customWidth="1"/>
    <col min="784" max="787" width="0" style="59" hidden="1" customWidth="1"/>
    <col min="788" max="788" width="8.140625" style="59" customWidth="1"/>
    <col min="789" max="792" width="0" style="59" hidden="1" customWidth="1"/>
    <col min="793" max="793" width="8.140625" style="59" customWidth="1"/>
    <col min="794" max="797" width="6.140625" style="59" customWidth="1"/>
    <col min="798" max="798" width="8.140625" style="59" customWidth="1"/>
    <col min="799" max="802" width="6.140625" style="59" customWidth="1"/>
    <col min="803" max="803" width="8.140625" style="59" customWidth="1"/>
    <col min="804" max="808" width="0" style="59" hidden="1" customWidth="1"/>
    <col min="809" max="809" width="2.28515625" style="59" customWidth="1"/>
    <col min="810" max="810" width="37.140625" style="59" customWidth="1"/>
    <col min="811" max="811" width="2" style="59" customWidth="1"/>
    <col min="812" max="812" width="0.5703125" style="59" customWidth="1"/>
    <col min="813" max="813" width="0" style="59" hidden="1" customWidth="1"/>
    <col min="814" max="1024" width="9.140625" style="59"/>
    <col min="1025" max="1025" width="0.28515625" style="59" customWidth="1"/>
    <col min="1026" max="1026" width="1.7109375" style="59" customWidth="1"/>
    <col min="1027" max="1027" width="1.140625" style="59" customWidth="1"/>
    <col min="1028" max="1028" width="37.140625" style="59" customWidth="1"/>
    <col min="1029" max="1032" width="0" style="59" hidden="1" customWidth="1"/>
    <col min="1033" max="1033" width="8.140625" style="59" customWidth="1"/>
    <col min="1034" max="1038" width="0" style="59" hidden="1" customWidth="1"/>
    <col min="1039" max="1039" width="8.140625" style="59" customWidth="1"/>
    <col min="1040" max="1043" width="0" style="59" hidden="1" customWidth="1"/>
    <col min="1044" max="1044" width="8.140625" style="59" customWidth="1"/>
    <col min="1045" max="1048" width="0" style="59" hidden="1" customWidth="1"/>
    <col min="1049" max="1049" width="8.140625" style="59" customWidth="1"/>
    <col min="1050" max="1053" width="6.140625" style="59" customWidth="1"/>
    <col min="1054" max="1054" width="8.140625" style="59" customWidth="1"/>
    <col min="1055" max="1058" width="6.140625" style="59" customWidth="1"/>
    <col min="1059" max="1059" width="8.140625" style="59" customWidth="1"/>
    <col min="1060" max="1064" width="0" style="59" hidden="1" customWidth="1"/>
    <col min="1065" max="1065" width="2.28515625" style="59" customWidth="1"/>
    <col min="1066" max="1066" width="37.140625" style="59" customWidth="1"/>
    <col min="1067" max="1067" width="2" style="59" customWidth="1"/>
    <col min="1068" max="1068" width="0.5703125" style="59" customWidth="1"/>
    <col min="1069" max="1069" width="0" style="59" hidden="1" customWidth="1"/>
    <col min="1070" max="1280" width="9.140625" style="59"/>
    <col min="1281" max="1281" width="0.28515625" style="59" customWidth="1"/>
    <col min="1282" max="1282" width="1.7109375" style="59" customWidth="1"/>
    <col min="1283" max="1283" width="1.140625" style="59" customWidth="1"/>
    <col min="1284" max="1284" width="37.140625" style="59" customWidth="1"/>
    <col min="1285" max="1288" width="0" style="59" hidden="1" customWidth="1"/>
    <col min="1289" max="1289" width="8.140625" style="59" customWidth="1"/>
    <col min="1290" max="1294" width="0" style="59" hidden="1" customWidth="1"/>
    <col min="1295" max="1295" width="8.140625" style="59" customWidth="1"/>
    <col min="1296" max="1299" width="0" style="59" hidden="1" customWidth="1"/>
    <col min="1300" max="1300" width="8.140625" style="59" customWidth="1"/>
    <col min="1301" max="1304" width="0" style="59" hidden="1" customWidth="1"/>
    <col min="1305" max="1305" width="8.140625" style="59" customWidth="1"/>
    <col min="1306" max="1309" width="6.140625" style="59" customWidth="1"/>
    <col min="1310" max="1310" width="8.140625" style="59" customWidth="1"/>
    <col min="1311" max="1314" width="6.140625" style="59" customWidth="1"/>
    <col min="1315" max="1315" width="8.140625" style="59" customWidth="1"/>
    <col min="1316" max="1320" width="0" style="59" hidden="1" customWidth="1"/>
    <col min="1321" max="1321" width="2.28515625" style="59" customWidth="1"/>
    <col min="1322" max="1322" width="37.140625" style="59" customWidth="1"/>
    <col min="1323" max="1323" width="2" style="59" customWidth="1"/>
    <col min="1324" max="1324" width="0.5703125" style="59" customWidth="1"/>
    <col min="1325" max="1325" width="0" style="59" hidden="1" customWidth="1"/>
    <col min="1326" max="1536" width="9.140625" style="59"/>
    <col min="1537" max="1537" width="0.28515625" style="59" customWidth="1"/>
    <col min="1538" max="1538" width="1.7109375" style="59" customWidth="1"/>
    <col min="1539" max="1539" width="1.140625" style="59" customWidth="1"/>
    <col min="1540" max="1540" width="37.140625" style="59" customWidth="1"/>
    <col min="1541" max="1544" width="0" style="59" hidden="1" customWidth="1"/>
    <col min="1545" max="1545" width="8.140625" style="59" customWidth="1"/>
    <col min="1546" max="1550" width="0" style="59" hidden="1" customWidth="1"/>
    <col min="1551" max="1551" width="8.140625" style="59" customWidth="1"/>
    <col min="1552" max="1555" width="0" style="59" hidden="1" customWidth="1"/>
    <col min="1556" max="1556" width="8.140625" style="59" customWidth="1"/>
    <col min="1557" max="1560" width="0" style="59" hidden="1" customWidth="1"/>
    <col min="1561" max="1561" width="8.140625" style="59" customWidth="1"/>
    <col min="1562" max="1565" width="6.140625" style="59" customWidth="1"/>
    <col min="1566" max="1566" width="8.140625" style="59" customWidth="1"/>
    <col min="1567" max="1570" width="6.140625" style="59" customWidth="1"/>
    <col min="1571" max="1571" width="8.140625" style="59" customWidth="1"/>
    <col min="1572" max="1576" width="0" style="59" hidden="1" customWidth="1"/>
    <col min="1577" max="1577" width="2.28515625" style="59" customWidth="1"/>
    <col min="1578" max="1578" width="37.140625" style="59" customWidth="1"/>
    <col min="1579" max="1579" width="2" style="59" customWidth="1"/>
    <col min="1580" max="1580" width="0.5703125" style="59" customWidth="1"/>
    <col min="1581" max="1581" width="0" style="59" hidden="1" customWidth="1"/>
    <col min="1582" max="1792" width="9.140625" style="59"/>
    <col min="1793" max="1793" width="0.28515625" style="59" customWidth="1"/>
    <col min="1794" max="1794" width="1.7109375" style="59" customWidth="1"/>
    <col min="1795" max="1795" width="1.140625" style="59" customWidth="1"/>
    <col min="1796" max="1796" width="37.140625" style="59" customWidth="1"/>
    <col min="1797" max="1800" width="0" style="59" hidden="1" customWidth="1"/>
    <col min="1801" max="1801" width="8.140625" style="59" customWidth="1"/>
    <col min="1802" max="1806" width="0" style="59" hidden="1" customWidth="1"/>
    <col min="1807" max="1807" width="8.140625" style="59" customWidth="1"/>
    <col min="1808" max="1811" width="0" style="59" hidden="1" customWidth="1"/>
    <col min="1812" max="1812" width="8.140625" style="59" customWidth="1"/>
    <col min="1813" max="1816" width="0" style="59" hidden="1" customWidth="1"/>
    <col min="1817" max="1817" width="8.140625" style="59" customWidth="1"/>
    <col min="1818" max="1821" width="6.140625" style="59" customWidth="1"/>
    <col min="1822" max="1822" width="8.140625" style="59" customWidth="1"/>
    <col min="1823" max="1826" width="6.140625" style="59" customWidth="1"/>
    <col min="1827" max="1827" width="8.140625" style="59" customWidth="1"/>
    <col min="1828" max="1832" width="0" style="59" hidden="1" customWidth="1"/>
    <col min="1833" max="1833" width="2.28515625" style="59" customWidth="1"/>
    <col min="1834" max="1834" width="37.140625" style="59" customWidth="1"/>
    <col min="1835" max="1835" width="2" style="59" customWidth="1"/>
    <col min="1836" max="1836" width="0.5703125" style="59" customWidth="1"/>
    <col min="1837" max="1837" width="0" style="59" hidden="1" customWidth="1"/>
    <col min="1838" max="2048" width="9.140625" style="59"/>
    <col min="2049" max="2049" width="0.28515625" style="59" customWidth="1"/>
    <col min="2050" max="2050" width="1.7109375" style="59" customWidth="1"/>
    <col min="2051" max="2051" width="1.140625" style="59" customWidth="1"/>
    <col min="2052" max="2052" width="37.140625" style="59" customWidth="1"/>
    <col min="2053" max="2056" width="0" style="59" hidden="1" customWidth="1"/>
    <col min="2057" max="2057" width="8.140625" style="59" customWidth="1"/>
    <col min="2058" max="2062" width="0" style="59" hidden="1" customWidth="1"/>
    <col min="2063" max="2063" width="8.140625" style="59" customWidth="1"/>
    <col min="2064" max="2067" width="0" style="59" hidden="1" customWidth="1"/>
    <col min="2068" max="2068" width="8.140625" style="59" customWidth="1"/>
    <col min="2069" max="2072" width="0" style="59" hidden="1" customWidth="1"/>
    <col min="2073" max="2073" width="8.140625" style="59" customWidth="1"/>
    <col min="2074" max="2077" width="6.140625" style="59" customWidth="1"/>
    <col min="2078" max="2078" width="8.140625" style="59" customWidth="1"/>
    <col min="2079" max="2082" width="6.140625" style="59" customWidth="1"/>
    <col min="2083" max="2083" width="8.140625" style="59" customWidth="1"/>
    <col min="2084" max="2088" width="0" style="59" hidden="1" customWidth="1"/>
    <col min="2089" max="2089" width="2.28515625" style="59" customWidth="1"/>
    <col min="2090" max="2090" width="37.140625" style="59" customWidth="1"/>
    <col min="2091" max="2091" width="2" style="59" customWidth="1"/>
    <col min="2092" max="2092" width="0.5703125" style="59" customWidth="1"/>
    <col min="2093" max="2093" width="0" style="59" hidden="1" customWidth="1"/>
    <col min="2094" max="2304" width="9.140625" style="59"/>
    <col min="2305" max="2305" width="0.28515625" style="59" customWidth="1"/>
    <col min="2306" max="2306" width="1.7109375" style="59" customWidth="1"/>
    <col min="2307" max="2307" width="1.140625" style="59" customWidth="1"/>
    <col min="2308" max="2308" width="37.140625" style="59" customWidth="1"/>
    <col min="2309" max="2312" width="0" style="59" hidden="1" customWidth="1"/>
    <col min="2313" max="2313" width="8.140625" style="59" customWidth="1"/>
    <col min="2314" max="2318" width="0" style="59" hidden="1" customWidth="1"/>
    <col min="2319" max="2319" width="8.140625" style="59" customWidth="1"/>
    <col min="2320" max="2323" width="0" style="59" hidden="1" customWidth="1"/>
    <col min="2324" max="2324" width="8.140625" style="59" customWidth="1"/>
    <col min="2325" max="2328" width="0" style="59" hidden="1" customWidth="1"/>
    <col min="2329" max="2329" width="8.140625" style="59" customWidth="1"/>
    <col min="2330" max="2333" width="6.140625" style="59" customWidth="1"/>
    <col min="2334" max="2334" width="8.140625" style="59" customWidth="1"/>
    <col min="2335" max="2338" width="6.140625" style="59" customWidth="1"/>
    <col min="2339" max="2339" width="8.140625" style="59" customWidth="1"/>
    <col min="2340" max="2344" width="0" style="59" hidden="1" customWidth="1"/>
    <col min="2345" max="2345" width="2.28515625" style="59" customWidth="1"/>
    <col min="2346" max="2346" width="37.140625" style="59" customWidth="1"/>
    <col min="2347" max="2347" width="2" style="59" customWidth="1"/>
    <col min="2348" max="2348" width="0.5703125" style="59" customWidth="1"/>
    <col min="2349" max="2349" width="0" style="59" hidden="1" customWidth="1"/>
    <col min="2350" max="2560" width="9.140625" style="59"/>
    <col min="2561" max="2561" width="0.28515625" style="59" customWidth="1"/>
    <col min="2562" max="2562" width="1.7109375" style="59" customWidth="1"/>
    <col min="2563" max="2563" width="1.140625" style="59" customWidth="1"/>
    <col min="2564" max="2564" width="37.140625" style="59" customWidth="1"/>
    <col min="2565" max="2568" width="0" style="59" hidden="1" customWidth="1"/>
    <col min="2569" max="2569" width="8.140625" style="59" customWidth="1"/>
    <col min="2570" max="2574" width="0" style="59" hidden="1" customWidth="1"/>
    <col min="2575" max="2575" width="8.140625" style="59" customWidth="1"/>
    <col min="2576" max="2579" width="0" style="59" hidden="1" customWidth="1"/>
    <col min="2580" max="2580" width="8.140625" style="59" customWidth="1"/>
    <col min="2581" max="2584" width="0" style="59" hidden="1" customWidth="1"/>
    <col min="2585" max="2585" width="8.140625" style="59" customWidth="1"/>
    <col min="2586" max="2589" width="6.140625" style="59" customWidth="1"/>
    <col min="2590" max="2590" width="8.140625" style="59" customWidth="1"/>
    <col min="2591" max="2594" width="6.140625" style="59" customWidth="1"/>
    <col min="2595" max="2595" width="8.140625" style="59" customWidth="1"/>
    <col min="2596" max="2600" width="0" style="59" hidden="1" customWidth="1"/>
    <col min="2601" max="2601" width="2.28515625" style="59" customWidth="1"/>
    <col min="2602" max="2602" width="37.140625" style="59" customWidth="1"/>
    <col min="2603" max="2603" width="2" style="59" customWidth="1"/>
    <col min="2604" max="2604" width="0.5703125" style="59" customWidth="1"/>
    <col min="2605" max="2605" width="0" style="59" hidden="1" customWidth="1"/>
    <col min="2606" max="2816" width="9.140625" style="59"/>
    <col min="2817" max="2817" width="0.28515625" style="59" customWidth="1"/>
    <col min="2818" max="2818" width="1.7109375" style="59" customWidth="1"/>
    <col min="2819" max="2819" width="1.140625" style="59" customWidth="1"/>
    <col min="2820" max="2820" width="37.140625" style="59" customWidth="1"/>
    <col min="2821" max="2824" width="0" style="59" hidden="1" customWidth="1"/>
    <col min="2825" max="2825" width="8.140625" style="59" customWidth="1"/>
    <col min="2826" max="2830" width="0" style="59" hidden="1" customWidth="1"/>
    <col min="2831" max="2831" width="8.140625" style="59" customWidth="1"/>
    <col min="2832" max="2835" width="0" style="59" hidden="1" customWidth="1"/>
    <col min="2836" max="2836" width="8.140625" style="59" customWidth="1"/>
    <col min="2837" max="2840" width="0" style="59" hidden="1" customWidth="1"/>
    <col min="2841" max="2841" width="8.140625" style="59" customWidth="1"/>
    <col min="2842" max="2845" width="6.140625" style="59" customWidth="1"/>
    <col min="2846" max="2846" width="8.140625" style="59" customWidth="1"/>
    <col min="2847" max="2850" width="6.140625" style="59" customWidth="1"/>
    <col min="2851" max="2851" width="8.140625" style="59" customWidth="1"/>
    <col min="2852" max="2856" width="0" style="59" hidden="1" customWidth="1"/>
    <col min="2857" max="2857" width="2.28515625" style="59" customWidth="1"/>
    <col min="2858" max="2858" width="37.140625" style="59" customWidth="1"/>
    <col min="2859" max="2859" width="2" style="59" customWidth="1"/>
    <col min="2860" max="2860" width="0.5703125" style="59" customWidth="1"/>
    <col min="2861" max="2861" width="0" style="59" hidden="1" customWidth="1"/>
    <col min="2862" max="3072" width="9.140625" style="59"/>
    <col min="3073" max="3073" width="0.28515625" style="59" customWidth="1"/>
    <col min="3074" max="3074" width="1.7109375" style="59" customWidth="1"/>
    <col min="3075" max="3075" width="1.140625" style="59" customWidth="1"/>
    <col min="3076" max="3076" width="37.140625" style="59" customWidth="1"/>
    <col min="3077" max="3080" width="0" style="59" hidden="1" customWidth="1"/>
    <col min="3081" max="3081" width="8.140625" style="59" customWidth="1"/>
    <col min="3082" max="3086" width="0" style="59" hidden="1" customWidth="1"/>
    <col min="3087" max="3087" width="8.140625" style="59" customWidth="1"/>
    <col min="3088" max="3091" width="0" style="59" hidden="1" customWidth="1"/>
    <col min="3092" max="3092" width="8.140625" style="59" customWidth="1"/>
    <col min="3093" max="3096" width="0" style="59" hidden="1" customWidth="1"/>
    <col min="3097" max="3097" width="8.140625" style="59" customWidth="1"/>
    <col min="3098" max="3101" width="6.140625" style="59" customWidth="1"/>
    <col min="3102" max="3102" width="8.140625" style="59" customWidth="1"/>
    <col min="3103" max="3106" width="6.140625" style="59" customWidth="1"/>
    <col min="3107" max="3107" width="8.140625" style="59" customWidth="1"/>
    <col min="3108" max="3112" width="0" style="59" hidden="1" customWidth="1"/>
    <col min="3113" max="3113" width="2.28515625" style="59" customWidth="1"/>
    <col min="3114" max="3114" width="37.140625" style="59" customWidth="1"/>
    <col min="3115" max="3115" width="2" style="59" customWidth="1"/>
    <col min="3116" max="3116" width="0.5703125" style="59" customWidth="1"/>
    <col min="3117" max="3117" width="0" style="59" hidden="1" customWidth="1"/>
    <col min="3118" max="3328" width="9.140625" style="59"/>
    <col min="3329" max="3329" width="0.28515625" style="59" customWidth="1"/>
    <col min="3330" max="3330" width="1.7109375" style="59" customWidth="1"/>
    <col min="3331" max="3331" width="1.140625" style="59" customWidth="1"/>
    <col min="3332" max="3332" width="37.140625" style="59" customWidth="1"/>
    <col min="3333" max="3336" width="0" style="59" hidden="1" customWidth="1"/>
    <col min="3337" max="3337" width="8.140625" style="59" customWidth="1"/>
    <col min="3338" max="3342" width="0" style="59" hidden="1" customWidth="1"/>
    <col min="3343" max="3343" width="8.140625" style="59" customWidth="1"/>
    <col min="3344" max="3347" width="0" style="59" hidden="1" customWidth="1"/>
    <col min="3348" max="3348" width="8.140625" style="59" customWidth="1"/>
    <col min="3349" max="3352" width="0" style="59" hidden="1" customWidth="1"/>
    <col min="3353" max="3353" width="8.140625" style="59" customWidth="1"/>
    <col min="3354" max="3357" width="6.140625" style="59" customWidth="1"/>
    <col min="3358" max="3358" width="8.140625" style="59" customWidth="1"/>
    <col min="3359" max="3362" width="6.140625" style="59" customWidth="1"/>
    <col min="3363" max="3363" width="8.140625" style="59" customWidth="1"/>
    <col min="3364" max="3368" width="0" style="59" hidden="1" customWidth="1"/>
    <col min="3369" max="3369" width="2.28515625" style="59" customWidth="1"/>
    <col min="3370" max="3370" width="37.140625" style="59" customWidth="1"/>
    <col min="3371" max="3371" width="2" style="59" customWidth="1"/>
    <col min="3372" max="3372" width="0.5703125" style="59" customWidth="1"/>
    <col min="3373" max="3373" width="0" style="59" hidden="1" customWidth="1"/>
    <col min="3374" max="3584" width="9.140625" style="59"/>
    <col min="3585" max="3585" width="0.28515625" style="59" customWidth="1"/>
    <col min="3586" max="3586" width="1.7109375" style="59" customWidth="1"/>
    <col min="3587" max="3587" width="1.140625" style="59" customWidth="1"/>
    <col min="3588" max="3588" width="37.140625" style="59" customWidth="1"/>
    <col min="3589" max="3592" width="0" style="59" hidden="1" customWidth="1"/>
    <col min="3593" max="3593" width="8.140625" style="59" customWidth="1"/>
    <col min="3594" max="3598" width="0" style="59" hidden="1" customWidth="1"/>
    <col min="3599" max="3599" width="8.140625" style="59" customWidth="1"/>
    <col min="3600" max="3603" width="0" style="59" hidden="1" customWidth="1"/>
    <col min="3604" max="3604" width="8.140625" style="59" customWidth="1"/>
    <col min="3605" max="3608" width="0" style="59" hidden="1" customWidth="1"/>
    <col min="3609" max="3609" width="8.140625" style="59" customWidth="1"/>
    <col min="3610" max="3613" width="6.140625" style="59" customWidth="1"/>
    <col min="3614" max="3614" width="8.140625" style="59" customWidth="1"/>
    <col min="3615" max="3618" width="6.140625" style="59" customWidth="1"/>
    <col min="3619" max="3619" width="8.140625" style="59" customWidth="1"/>
    <col min="3620" max="3624" width="0" style="59" hidden="1" customWidth="1"/>
    <col min="3625" max="3625" width="2.28515625" style="59" customWidth="1"/>
    <col min="3626" max="3626" width="37.140625" style="59" customWidth="1"/>
    <col min="3627" max="3627" width="2" style="59" customWidth="1"/>
    <col min="3628" max="3628" width="0.5703125" style="59" customWidth="1"/>
    <col min="3629" max="3629" width="0" style="59" hidden="1" customWidth="1"/>
    <col min="3630" max="3840" width="9.140625" style="59"/>
    <col min="3841" max="3841" width="0.28515625" style="59" customWidth="1"/>
    <col min="3842" max="3842" width="1.7109375" style="59" customWidth="1"/>
    <col min="3843" max="3843" width="1.140625" style="59" customWidth="1"/>
    <col min="3844" max="3844" width="37.140625" style="59" customWidth="1"/>
    <col min="3845" max="3848" width="0" style="59" hidden="1" customWidth="1"/>
    <col min="3849" max="3849" width="8.140625" style="59" customWidth="1"/>
    <col min="3850" max="3854" width="0" style="59" hidden="1" customWidth="1"/>
    <col min="3855" max="3855" width="8.140625" style="59" customWidth="1"/>
    <col min="3856" max="3859" width="0" style="59" hidden="1" customWidth="1"/>
    <col min="3860" max="3860" width="8.140625" style="59" customWidth="1"/>
    <col min="3861" max="3864" width="0" style="59" hidden="1" customWidth="1"/>
    <col min="3865" max="3865" width="8.140625" style="59" customWidth="1"/>
    <col min="3866" max="3869" width="6.140625" style="59" customWidth="1"/>
    <col min="3870" max="3870" width="8.140625" style="59" customWidth="1"/>
    <col min="3871" max="3874" width="6.140625" style="59" customWidth="1"/>
    <col min="3875" max="3875" width="8.140625" style="59" customWidth="1"/>
    <col min="3876" max="3880" width="0" style="59" hidden="1" customWidth="1"/>
    <col min="3881" max="3881" width="2.28515625" style="59" customWidth="1"/>
    <col min="3882" max="3882" width="37.140625" style="59" customWidth="1"/>
    <col min="3883" max="3883" width="2" style="59" customWidth="1"/>
    <col min="3884" max="3884" width="0.5703125" style="59" customWidth="1"/>
    <col min="3885" max="3885" width="0" style="59" hidden="1" customWidth="1"/>
    <col min="3886" max="4096" width="9.140625" style="59"/>
    <col min="4097" max="4097" width="0.28515625" style="59" customWidth="1"/>
    <col min="4098" max="4098" width="1.7109375" style="59" customWidth="1"/>
    <col min="4099" max="4099" width="1.140625" style="59" customWidth="1"/>
    <col min="4100" max="4100" width="37.140625" style="59" customWidth="1"/>
    <col min="4101" max="4104" width="0" style="59" hidden="1" customWidth="1"/>
    <col min="4105" max="4105" width="8.140625" style="59" customWidth="1"/>
    <col min="4106" max="4110" width="0" style="59" hidden="1" customWidth="1"/>
    <col min="4111" max="4111" width="8.140625" style="59" customWidth="1"/>
    <col min="4112" max="4115" width="0" style="59" hidden="1" customWidth="1"/>
    <col min="4116" max="4116" width="8.140625" style="59" customWidth="1"/>
    <col min="4117" max="4120" width="0" style="59" hidden="1" customWidth="1"/>
    <col min="4121" max="4121" width="8.140625" style="59" customWidth="1"/>
    <col min="4122" max="4125" width="6.140625" style="59" customWidth="1"/>
    <col min="4126" max="4126" width="8.140625" style="59" customWidth="1"/>
    <col min="4127" max="4130" width="6.140625" style="59" customWidth="1"/>
    <col min="4131" max="4131" width="8.140625" style="59" customWidth="1"/>
    <col min="4132" max="4136" width="0" style="59" hidden="1" customWidth="1"/>
    <col min="4137" max="4137" width="2.28515625" style="59" customWidth="1"/>
    <col min="4138" max="4138" width="37.140625" style="59" customWidth="1"/>
    <col min="4139" max="4139" width="2" style="59" customWidth="1"/>
    <col min="4140" max="4140" width="0.5703125" style="59" customWidth="1"/>
    <col min="4141" max="4141" width="0" style="59" hidden="1" customWidth="1"/>
    <col min="4142" max="4352" width="9.140625" style="59"/>
    <col min="4353" max="4353" width="0.28515625" style="59" customWidth="1"/>
    <col min="4354" max="4354" width="1.7109375" style="59" customWidth="1"/>
    <col min="4355" max="4355" width="1.140625" style="59" customWidth="1"/>
    <col min="4356" max="4356" width="37.140625" style="59" customWidth="1"/>
    <col min="4357" max="4360" width="0" style="59" hidden="1" customWidth="1"/>
    <col min="4361" max="4361" width="8.140625" style="59" customWidth="1"/>
    <col min="4362" max="4366" width="0" style="59" hidden="1" customWidth="1"/>
    <col min="4367" max="4367" width="8.140625" style="59" customWidth="1"/>
    <col min="4368" max="4371" width="0" style="59" hidden="1" customWidth="1"/>
    <col min="4372" max="4372" width="8.140625" style="59" customWidth="1"/>
    <col min="4373" max="4376" width="0" style="59" hidden="1" customWidth="1"/>
    <col min="4377" max="4377" width="8.140625" style="59" customWidth="1"/>
    <col min="4378" max="4381" width="6.140625" style="59" customWidth="1"/>
    <col min="4382" max="4382" width="8.140625" style="59" customWidth="1"/>
    <col min="4383" max="4386" width="6.140625" style="59" customWidth="1"/>
    <col min="4387" max="4387" width="8.140625" style="59" customWidth="1"/>
    <col min="4388" max="4392" width="0" style="59" hidden="1" customWidth="1"/>
    <col min="4393" max="4393" width="2.28515625" style="59" customWidth="1"/>
    <col min="4394" max="4394" width="37.140625" style="59" customWidth="1"/>
    <col min="4395" max="4395" width="2" style="59" customWidth="1"/>
    <col min="4396" max="4396" width="0.5703125" style="59" customWidth="1"/>
    <col min="4397" max="4397" width="0" style="59" hidden="1" customWidth="1"/>
    <col min="4398" max="4608" width="9.140625" style="59"/>
    <col min="4609" max="4609" width="0.28515625" style="59" customWidth="1"/>
    <col min="4610" max="4610" width="1.7109375" style="59" customWidth="1"/>
    <col min="4611" max="4611" width="1.140625" style="59" customWidth="1"/>
    <col min="4612" max="4612" width="37.140625" style="59" customWidth="1"/>
    <col min="4613" max="4616" width="0" style="59" hidden="1" customWidth="1"/>
    <col min="4617" max="4617" width="8.140625" style="59" customWidth="1"/>
    <col min="4618" max="4622" width="0" style="59" hidden="1" customWidth="1"/>
    <col min="4623" max="4623" width="8.140625" style="59" customWidth="1"/>
    <col min="4624" max="4627" width="0" style="59" hidden="1" customWidth="1"/>
    <col min="4628" max="4628" width="8.140625" style="59" customWidth="1"/>
    <col min="4629" max="4632" width="0" style="59" hidden="1" customWidth="1"/>
    <col min="4633" max="4633" width="8.140625" style="59" customWidth="1"/>
    <col min="4634" max="4637" width="6.140625" style="59" customWidth="1"/>
    <col min="4638" max="4638" width="8.140625" style="59" customWidth="1"/>
    <col min="4639" max="4642" width="6.140625" style="59" customWidth="1"/>
    <col min="4643" max="4643" width="8.140625" style="59" customWidth="1"/>
    <col min="4644" max="4648" width="0" style="59" hidden="1" customWidth="1"/>
    <col min="4649" max="4649" width="2.28515625" style="59" customWidth="1"/>
    <col min="4650" max="4650" width="37.140625" style="59" customWidth="1"/>
    <col min="4651" max="4651" width="2" style="59" customWidth="1"/>
    <col min="4652" max="4652" width="0.5703125" style="59" customWidth="1"/>
    <col min="4653" max="4653" width="0" style="59" hidden="1" customWidth="1"/>
    <col min="4654" max="4864" width="9.140625" style="59"/>
    <col min="4865" max="4865" width="0.28515625" style="59" customWidth="1"/>
    <col min="4866" max="4866" width="1.7109375" style="59" customWidth="1"/>
    <col min="4867" max="4867" width="1.140625" style="59" customWidth="1"/>
    <col min="4868" max="4868" width="37.140625" style="59" customWidth="1"/>
    <col min="4869" max="4872" width="0" style="59" hidden="1" customWidth="1"/>
    <col min="4873" max="4873" width="8.140625" style="59" customWidth="1"/>
    <col min="4874" max="4878" width="0" style="59" hidden="1" customWidth="1"/>
    <col min="4879" max="4879" width="8.140625" style="59" customWidth="1"/>
    <col min="4880" max="4883" width="0" style="59" hidden="1" customWidth="1"/>
    <col min="4884" max="4884" width="8.140625" style="59" customWidth="1"/>
    <col min="4885" max="4888" width="0" style="59" hidden="1" customWidth="1"/>
    <col min="4889" max="4889" width="8.140625" style="59" customWidth="1"/>
    <col min="4890" max="4893" width="6.140625" style="59" customWidth="1"/>
    <col min="4894" max="4894" width="8.140625" style="59" customWidth="1"/>
    <col min="4895" max="4898" width="6.140625" style="59" customWidth="1"/>
    <col min="4899" max="4899" width="8.140625" style="59" customWidth="1"/>
    <col min="4900" max="4904" width="0" style="59" hidden="1" customWidth="1"/>
    <col min="4905" max="4905" width="2.28515625" style="59" customWidth="1"/>
    <col min="4906" max="4906" width="37.140625" style="59" customWidth="1"/>
    <col min="4907" max="4907" width="2" style="59" customWidth="1"/>
    <col min="4908" max="4908" width="0.5703125" style="59" customWidth="1"/>
    <col min="4909" max="4909" width="0" style="59" hidden="1" customWidth="1"/>
    <col min="4910" max="5120" width="9.140625" style="59"/>
    <col min="5121" max="5121" width="0.28515625" style="59" customWidth="1"/>
    <col min="5122" max="5122" width="1.7109375" style="59" customWidth="1"/>
    <col min="5123" max="5123" width="1.140625" style="59" customWidth="1"/>
    <col min="5124" max="5124" width="37.140625" style="59" customWidth="1"/>
    <col min="5125" max="5128" width="0" style="59" hidden="1" customWidth="1"/>
    <col min="5129" max="5129" width="8.140625" style="59" customWidth="1"/>
    <col min="5130" max="5134" width="0" style="59" hidden="1" customWidth="1"/>
    <col min="5135" max="5135" width="8.140625" style="59" customWidth="1"/>
    <col min="5136" max="5139" width="0" style="59" hidden="1" customWidth="1"/>
    <col min="5140" max="5140" width="8.140625" style="59" customWidth="1"/>
    <col min="5141" max="5144" width="0" style="59" hidden="1" customWidth="1"/>
    <col min="5145" max="5145" width="8.140625" style="59" customWidth="1"/>
    <col min="5146" max="5149" width="6.140625" style="59" customWidth="1"/>
    <col min="5150" max="5150" width="8.140625" style="59" customWidth="1"/>
    <col min="5151" max="5154" width="6.140625" style="59" customWidth="1"/>
    <col min="5155" max="5155" width="8.140625" style="59" customWidth="1"/>
    <col min="5156" max="5160" width="0" style="59" hidden="1" customWidth="1"/>
    <col min="5161" max="5161" width="2.28515625" style="59" customWidth="1"/>
    <col min="5162" max="5162" width="37.140625" style="59" customWidth="1"/>
    <col min="5163" max="5163" width="2" style="59" customWidth="1"/>
    <col min="5164" max="5164" width="0.5703125" style="59" customWidth="1"/>
    <col min="5165" max="5165" width="0" style="59" hidden="1" customWidth="1"/>
    <col min="5166" max="5376" width="9.140625" style="59"/>
    <col min="5377" max="5377" width="0.28515625" style="59" customWidth="1"/>
    <col min="5378" max="5378" width="1.7109375" style="59" customWidth="1"/>
    <col min="5379" max="5379" width="1.140625" style="59" customWidth="1"/>
    <col min="5380" max="5380" width="37.140625" style="59" customWidth="1"/>
    <col min="5381" max="5384" width="0" style="59" hidden="1" customWidth="1"/>
    <col min="5385" max="5385" width="8.140625" style="59" customWidth="1"/>
    <col min="5386" max="5390" width="0" style="59" hidden="1" customWidth="1"/>
    <col min="5391" max="5391" width="8.140625" style="59" customWidth="1"/>
    <col min="5392" max="5395" width="0" style="59" hidden="1" customWidth="1"/>
    <col min="5396" max="5396" width="8.140625" style="59" customWidth="1"/>
    <col min="5397" max="5400" width="0" style="59" hidden="1" customWidth="1"/>
    <col min="5401" max="5401" width="8.140625" style="59" customWidth="1"/>
    <col min="5402" max="5405" width="6.140625" style="59" customWidth="1"/>
    <col min="5406" max="5406" width="8.140625" style="59" customWidth="1"/>
    <col min="5407" max="5410" width="6.140625" style="59" customWidth="1"/>
    <col min="5411" max="5411" width="8.140625" style="59" customWidth="1"/>
    <col min="5412" max="5416" width="0" style="59" hidden="1" customWidth="1"/>
    <col min="5417" max="5417" width="2.28515625" style="59" customWidth="1"/>
    <col min="5418" max="5418" width="37.140625" style="59" customWidth="1"/>
    <col min="5419" max="5419" width="2" style="59" customWidth="1"/>
    <col min="5420" max="5420" width="0.5703125" style="59" customWidth="1"/>
    <col min="5421" max="5421" width="0" style="59" hidden="1" customWidth="1"/>
    <col min="5422" max="5632" width="9.140625" style="59"/>
    <col min="5633" max="5633" width="0.28515625" style="59" customWidth="1"/>
    <col min="5634" max="5634" width="1.7109375" style="59" customWidth="1"/>
    <col min="5635" max="5635" width="1.140625" style="59" customWidth="1"/>
    <col min="5636" max="5636" width="37.140625" style="59" customWidth="1"/>
    <col min="5637" max="5640" width="0" style="59" hidden="1" customWidth="1"/>
    <col min="5641" max="5641" width="8.140625" style="59" customWidth="1"/>
    <col min="5642" max="5646" width="0" style="59" hidden="1" customWidth="1"/>
    <col min="5647" max="5647" width="8.140625" style="59" customWidth="1"/>
    <col min="5648" max="5651" width="0" style="59" hidden="1" customWidth="1"/>
    <col min="5652" max="5652" width="8.140625" style="59" customWidth="1"/>
    <col min="5653" max="5656" width="0" style="59" hidden="1" customWidth="1"/>
    <col min="5657" max="5657" width="8.140625" style="59" customWidth="1"/>
    <col min="5658" max="5661" width="6.140625" style="59" customWidth="1"/>
    <col min="5662" max="5662" width="8.140625" style="59" customWidth="1"/>
    <col min="5663" max="5666" width="6.140625" style="59" customWidth="1"/>
    <col min="5667" max="5667" width="8.140625" style="59" customWidth="1"/>
    <col min="5668" max="5672" width="0" style="59" hidden="1" customWidth="1"/>
    <col min="5673" max="5673" width="2.28515625" style="59" customWidth="1"/>
    <col min="5674" max="5674" width="37.140625" style="59" customWidth="1"/>
    <col min="5675" max="5675" width="2" style="59" customWidth="1"/>
    <col min="5676" max="5676" width="0.5703125" style="59" customWidth="1"/>
    <col min="5677" max="5677" width="0" style="59" hidden="1" customWidth="1"/>
    <col min="5678" max="5888" width="9.140625" style="59"/>
    <col min="5889" max="5889" width="0.28515625" style="59" customWidth="1"/>
    <col min="5890" max="5890" width="1.7109375" style="59" customWidth="1"/>
    <col min="5891" max="5891" width="1.140625" style="59" customWidth="1"/>
    <col min="5892" max="5892" width="37.140625" style="59" customWidth="1"/>
    <col min="5893" max="5896" width="0" style="59" hidden="1" customWidth="1"/>
    <col min="5897" max="5897" width="8.140625" style="59" customWidth="1"/>
    <col min="5898" max="5902" width="0" style="59" hidden="1" customWidth="1"/>
    <col min="5903" max="5903" width="8.140625" style="59" customWidth="1"/>
    <col min="5904" max="5907" width="0" style="59" hidden="1" customWidth="1"/>
    <col min="5908" max="5908" width="8.140625" style="59" customWidth="1"/>
    <col min="5909" max="5912" width="0" style="59" hidden="1" customWidth="1"/>
    <col min="5913" max="5913" width="8.140625" style="59" customWidth="1"/>
    <col min="5914" max="5917" width="6.140625" style="59" customWidth="1"/>
    <col min="5918" max="5918" width="8.140625" style="59" customWidth="1"/>
    <col min="5919" max="5922" width="6.140625" style="59" customWidth="1"/>
    <col min="5923" max="5923" width="8.140625" style="59" customWidth="1"/>
    <col min="5924" max="5928" width="0" style="59" hidden="1" customWidth="1"/>
    <col min="5929" max="5929" width="2.28515625" style="59" customWidth="1"/>
    <col min="5930" max="5930" width="37.140625" style="59" customWidth="1"/>
    <col min="5931" max="5931" width="2" style="59" customWidth="1"/>
    <col min="5932" max="5932" width="0.5703125" style="59" customWidth="1"/>
    <col min="5933" max="5933" width="0" style="59" hidden="1" customWidth="1"/>
    <col min="5934" max="6144" width="9.140625" style="59"/>
    <col min="6145" max="6145" width="0.28515625" style="59" customWidth="1"/>
    <col min="6146" max="6146" width="1.7109375" style="59" customWidth="1"/>
    <col min="6147" max="6147" width="1.140625" style="59" customWidth="1"/>
    <col min="6148" max="6148" width="37.140625" style="59" customWidth="1"/>
    <col min="6149" max="6152" width="0" style="59" hidden="1" customWidth="1"/>
    <col min="6153" max="6153" width="8.140625" style="59" customWidth="1"/>
    <col min="6154" max="6158" width="0" style="59" hidden="1" customWidth="1"/>
    <col min="6159" max="6159" width="8.140625" style="59" customWidth="1"/>
    <col min="6160" max="6163" width="0" style="59" hidden="1" customWidth="1"/>
    <col min="6164" max="6164" width="8.140625" style="59" customWidth="1"/>
    <col min="6165" max="6168" width="0" style="59" hidden="1" customWidth="1"/>
    <col min="6169" max="6169" width="8.140625" style="59" customWidth="1"/>
    <col min="6170" max="6173" width="6.140625" style="59" customWidth="1"/>
    <col min="6174" max="6174" width="8.140625" style="59" customWidth="1"/>
    <col min="6175" max="6178" width="6.140625" style="59" customWidth="1"/>
    <col min="6179" max="6179" width="8.140625" style="59" customWidth="1"/>
    <col min="6180" max="6184" width="0" style="59" hidden="1" customWidth="1"/>
    <col min="6185" max="6185" width="2.28515625" style="59" customWidth="1"/>
    <col min="6186" max="6186" width="37.140625" style="59" customWidth="1"/>
    <col min="6187" max="6187" width="2" style="59" customWidth="1"/>
    <col min="6188" max="6188" width="0.5703125" style="59" customWidth="1"/>
    <col min="6189" max="6189" width="0" style="59" hidden="1" customWidth="1"/>
    <col min="6190" max="6400" width="9.140625" style="59"/>
    <col min="6401" max="6401" width="0.28515625" style="59" customWidth="1"/>
    <col min="6402" max="6402" width="1.7109375" style="59" customWidth="1"/>
    <col min="6403" max="6403" width="1.140625" style="59" customWidth="1"/>
    <col min="6404" max="6404" width="37.140625" style="59" customWidth="1"/>
    <col min="6405" max="6408" width="0" style="59" hidden="1" customWidth="1"/>
    <col min="6409" max="6409" width="8.140625" style="59" customWidth="1"/>
    <col min="6410" max="6414" width="0" style="59" hidden="1" customWidth="1"/>
    <col min="6415" max="6415" width="8.140625" style="59" customWidth="1"/>
    <col min="6416" max="6419" width="0" style="59" hidden="1" customWidth="1"/>
    <col min="6420" max="6420" width="8.140625" style="59" customWidth="1"/>
    <col min="6421" max="6424" width="0" style="59" hidden="1" customWidth="1"/>
    <col min="6425" max="6425" width="8.140625" style="59" customWidth="1"/>
    <col min="6426" max="6429" width="6.140625" style="59" customWidth="1"/>
    <col min="6430" max="6430" width="8.140625" style="59" customWidth="1"/>
    <col min="6431" max="6434" width="6.140625" style="59" customWidth="1"/>
    <col min="6435" max="6435" width="8.140625" style="59" customWidth="1"/>
    <col min="6436" max="6440" width="0" style="59" hidden="1" customWidth="1"/>
    <col min="6441" max="6441" width="2.28515625" style="59" customWidth="1"/>
    <col min="6442" max="6442" width="37.140625" style="59" customWidth="1"/>
    <col min="6443" max="6443" width="2" style="59" customWidth="1"/>
    <col min="6444" max="6444" width="0.5703125" style="59" customWidth="1"/>
    <col min="6445" max="6445" width="0" style="59" hidden="1" customWidth="1"/>
    <col min="6446" max="6656" width="9.140625" style="59"/>
    <col min="6657" max="6657" width="0.28515625" style="59" customWidth="1"/>
    <col min="6658" max="6658" width="1.7109375" style="59" customWidth="1"/>
    <col min="6659" max="6659" width="1.140625" style="59" customWidth="1"/>
    <col min="6660" max="6660" width="37.140625" style="59" customWidth="1"/>
    <col min="6661" max="6664" width="0" style="59" hidden="1" customWidth="1"/>
    <col min="6665" max="6665" width="8.140625" style="59" customWidth="1"/>
    <col min="6666" max="6670" width="0" style="59" hidden="1" customWidth="1"/>
    <col min="6671" max="6671" width="8.140625" style="59" customWidth="1"/>
    <col min="6672" max="6675" width="0" style="59" hidden="1" customWidth="1"/>
    <col min="6676" max="6676" width="8.140625" style="59" customWidth="1"/>
    <col min="6677" max="6680" width="0" style="59" hidden="1" customWidth="1"/>
    <col min="6681" max="6681" width="8.140625" style="59" customWidth="1"/>
    <col min="6682" max="6685" width="6.140625" style="59" customWidth="1"/>
    <col min="6686" max="6686" width="8.140625" style="59" customWidth="1"/>
    <col min="6687" max="6690" width="6.140625" style="59" customWidth="1"/>
    <col min="6691" max="6691" width="8.140625" style="59" customWidth="1"/>
    <col min="6692" max="6696" width="0" style="59" hidden="1" customWidth="1"/>
    <col min="6697" max="6697" width="2.28515625" style="59" customWidth="1"/>
    <col min="6698" max="6698" width="37.140625" style="59" customWidth="1"/>
    <col min="6699" max="6699" width="2" style="59" customWidth="1"/>
    <col min="6700" max="6700" width="0.5703125" style="59" customWidth="1"/>
    <col min="6701" max="6701" width="0" style="59" hidden="1" customWidth="1"/>
    <col min="6702" max="6912" width="9.140625" style="59"/>
    <col min="6913" max="6913" width="0.28515625" style="59" customWidth="1"/>
    <col min="6914" max="6914" width="1.7109375" style="59" customWidth="1"/>
    <col min="6915" max="6915" width="1.140625" style="59" customWidth="1"/>
    <col min="6916" max="6916" width="37.140625" style="59" customWidth="1"/>
    <col min="6917" max="6920" width="0" style="59" hidden="1" customWidth="1"/>
    <col min="6921" max="6921" width="8.140625" style="59" customWidth="1"/>
    <col min="6922" max="6926" width="0" style="59" hidden="1" customWidth="1"/>
    <col min="6927" max="6927" width="8.140625" style="59" customWidth="1"/>
    <col min="6928" max="6931" width="0" style="59" hidden="1" customWidth="1"/>
    <col min="6932" max="6932" width="8.140625" style="59" customWidth="1"/>
    <col min="6933" max="6936" width="0" style="59" hidden="1" customWidth="1"/>
    <col min="6937" max="6937" width="8.140625" style="59" customWidth="1"/>
    <col min="6938" max="6941" width="6.140625" style="59" customWidth="1"/>
    <col min="6942" max="6942" width="8.140625" style="59" customWidth="1"/>
    <col min="6943" max="6946" width="6.140625" style="59" customWidth="1"/>
    <col min="6947" max="6947" width="8.140625" style="59" customWidth="1"/>
    <col min="6948" max="6952" width="0" style="59" hidden="1" customWidth="1"/>
    <col min="6953" max="6953" width="2.28515625" style="59" customWidth="1"/>
    <col min="6954" max="6954" width="37.140625" style="59" customWidth="1"/>
    <col min="6955" max="6955" width="2" style="59" customWidth="1"/>
    <col min="6956" max="6956" width="0.5703125" style="59" customWidth="1"/>
    <col min="6957" max="6957" width="0" style="59" hidden="1" customWidth="1"/>
    <col min="6958" max="7168" width="9.140625" style="59"/>
    <col min="7169" max="7169" width="0.28515625" style="59" customWidth="1"/>
    <col min="7170" max="7170" width="1.7109375" style="59" customWidth="1"/>
    <col min="7171" max="7171" width="1.140625" style="59" customWidth="1"/>
    <col min="7172" max="7172" width="37.140625" style="59" customWidth="1"/>
    <col min="7173" max="7176" width="0" style="59" hidden="1" customWidth="1"/>
    <col min="7177" max="7177" width="8.140625" style="59" customWidth="1"/>
    <col min="7178" max="7182" width="0" style="59" hidden="1" customWidth="1"/>
    <col min="7183" max="7183" width="8.140625" style="59" customWidth="1"/>
    <col min="7184" max="7187" width="0" style="59" hidden="1" customWidth="1"/>
    <col min="7188" max="7188" width="8.140625" style="59" customWidth="1"/>
    <col min="7189" max="7192" width="0" style="59" hidden="1" customWidth="1"/>
    <col min="7193" max="7193" width="8.140625" style="59" customWidth="1"/>
    <col min="7194" max="7197" width="6.140625" style="59" customWidth="1"/>
    <col min="7198" max="7198" width="8.140625" style="59" customWidth="1"/>
    <col min="7199" max="7202" width="6.140625" style="59" customWidth="1"/>
    <col min="7203" max="7203" width="8.140625" style="59" customWidth="1"/>
    <col min="7204" max="7208" width="0" style="59" hidden="1" customWidth="1"/>
    <col min="7209" max="7209" width="2.28515625" style="59" customWidth="1"/>
    <col min="7210" max="7210" width="37.140625" style="59" customWidth="1"/>
    <col min="7211" max="7211" width="2" style="59" customWidth="1"/>
    <col min="7212" max="7212" width="0.5703125" style="59" customWidth="1"/>
    <col min="7213" max="7213" width="0" style="59" hidden="1" customWidth="1"/>
    <col min="7214" max="7424" width="9.140625" style="59"/>
    <col min="7425" max="7425" width="0.28515625" style="59" customWidth="1"/>
    <col min="7426" max="7426" width="1.7109375" style="59" customWidth="1"/>
    <col min="7427" max="7427" width="1.140625" style="59" customWidth="1"/>
    <col min="7428" max="7428" width="37.140625" style="59" customWidth="1"/>
    <col min="7429" max="7432" width="0" style="59" hidden="1" customWidth="1"/>
    <col min="7433" max="7433" width="8.140625" style="59" customWidth="1"/>
    <col min="7434" max="7438" width="0" style="59" hidden="1" customWidth="1"/>
    <col min="7439" max="7439" width="8.140625" style="59" customWidth="1"/>
    <col min="7440" max="7443" width="0" style="59" hidden="1" customWidth="1"/>
    <col min="7444" max="7444" width="8.140625" style="59" customWidth="1"/>
    <col min="7445" max="7448" width="0" style="59" hidden="1" customWidth="1"/>
    <col min="7449" max="7449" width="8.140625" style="59" customWidth="1"/>
    <col min="7450" max="7453" width="6.140625" style="59" customWidth="1"/>
    <col min="7454" max="7454" width="8.140625" style="59" customWidth="1"/>
    <col min="7455" max="7458" width="6.140625" style="59" customWidth="1"/>
    <col min="7459" max="7459" width="8.140625" style="59" customWidth="1"/>
    <col min="7460" max="7464" width="0" style="59" hidden="1" customWidth="1"/>
    <col min="7465" max="7465" width="2.28515625" style="59" customWidth="1"/>
    <col min="7466" max="7466" width="37.140625" style="59" customWidth="1"/>
    <col min="7467" max="7467" width="2" style="59" customWidth="1"/>
    <col min="7468" max="7468" width="0.5703125" style="59" customWidth="1"/>
    <col min="7469" max="7469" width="0" style="59" hidden="1" customWidth="1"/>
    <col min="7470" max="7680" width="9.140625" style="59"/>
    <col min="7681" max="7681" width="0.28515625" style="59" customWidth="1"/>
    <col min="7682" max="7682" width="1.7109375" style="59" customWidth="1"/>
    <col min="7683" max="7683" width="1.140625" style="59" customWidth="1"/>
    <col min="7684" max="7684" width="37.140625" style="59" customWidth="1"/>
    <col min="7685" max="7688" width="0" style="59" hidden="1" customWidth="1"/>
    <col min="7689" max="7689" width="8.140625" style="59" customWidth="1"/>
    <col min="7690" max="7694" width="0" style="59" hidden="1" customWidth="1"/>
    <col min="7695" max="7695" width="8.140625" style="59" customWidth="1"/>
    <col min="7696" max="7699" width="0" style="59" hidden="1" customWidth="1"/>
    <col min="7700" max="7700" width="8.140625" style="59" customWidth="1"/>
    <col min="7701" max="7704" width="0" style="59" hidden="1" customWidth="1"/>
    <col min="7705" max="7705" width="8.140625" style="59" customWidth="1"/>
    <col min="7706" max="7709" width="6.140625" style="59" customWidth="1"/>
    <col min="7710" max="7710" width="8.140625" style="59" customWidth="1"/>
    <col min="7711" max="7714" width="6.140625" style="59" customWidth="1"/>
    <col min="7715" max="7715" width="8.140625" style="59" customWidth="1"/>
    <col min="7716" max="7720" width="0" style="59" hidden="1" customWidth="1"/>
    <col min="7721" max="7721" width="2.28515625" style="59" customWidth="1"/>
    <col min="7722" max="7722" width="37.140625" style="59" customWidth="1"/>
    <col min="7723" max="7723" width="2" style="59" customWidth="1"/>
    <col min="7724" max="7724" width="0.5703125" style="59" customWidth="1"/>
    <col min="7725" max="7725" width="0" style="59" hidden="1" customWidth="1"/>
    <col min="7726" max="7936" width="9.140625" style="59"/>
    <col min="7937" max="7937" width="0.28515625" style="59" customWidth="1"/>
    <col min="7938" max="7938" width="1.7109375" style="59" customWidth="1"/>
    <col min="7939" max="7939" width="1.140625" style="59" customWidth="1"/>
    <col min="7940" max="7940" width="37.140625" style="59" customWidth="1"/>
    <col min="7941" max="7944" width="0" style="59" hidden="1" customWidth="1"/>
    <col min="7945" max="7945" width="8.140625" style="59" customWidth="1"/>
    <col min="7946" max="7950" width="0" style="59" hidden="1" customWidth="1"/>
    <col min="7951" max="7951" width="8.140625" style="59" customWidth="1"/>
    <col min="7952" max="7955" width="0" style="59" hidden="1" customWidth="1"/>
    <col min="7956" max="7956" width="8.140625" style="59" customWidth="1"/>
    <col min="7957" max="7960" width="0" style="59" hidden="1" customWidth="1"/>
    <col min="7961" max="7961" width="8.140625" style="59" customWidth="1"/>
    <col min="7962" max="7965" width="6.140625" style="59" customWidth="1"/>
    <col min="7966" max="7966" width="8.140625" style="59" customWidth="1"/>
    <col min="7967" max="7970" width="6.140625" style="59" customWidth="1"/>
    <col min="7971" max="7971" width="8.140625" style="59" customWidth="1"/>
    <col min="7972" max="7976" width="0" style="59" hidden="1" customWidth="1"/>
    <col min="7977" max="7977" width="2.28515625" style="59" customWidth="1"/>
    <col min="7978" max="7978" width="37.140625" style="59" customWidth="1"/>
    <col min="7979" max="7979" width="2" style="59" customWidth="1"/>
    <col min="7980" max="7980" width="0.5703125" style="59" customWidth="1"/>
    <col min="7981" max="7981" width="0" style="59" hidden="1" customWidth="1"/>
    <col min="7982" max="8192" width="9.140625" style="59"/>
    <col min="8193" max="8193" width="0.28515625" style="59" customWidth="1"/>
    <col min="8194" max="8194" width="1.7109375" style="59" customWidth="1"/>
    <col min="8195" max="8195" width="1.140625" style="59" customWidth="1"/>
    <col min="8196" max="8196" width="37.140625" style="59" customWidth="1"/>
    <col min="8197" max="8200" width="0" style="59" hidden="1" customWidth="1"/>
    <col min="8201" max="8201" width="8.140625" style="59" customWidth="1"/>
    <col min="8202" max="8206" width="0" style="59" hidden="1" customWidth="1"/>
    <col min="8207" max="8207" width="8.140625" style="59" customWidth="1"/>
    <col min="8208" max="8211" width="0" style="59" hidden="1" customWidth="1"/>
    <col min="8212" max="8212" width="8.140625" style="59" customWidth="1"/>
    <col min="8213" max="8216" width="0" style="59" hidden="1" customWidth="1"/>
    <col min="8217" max="8217" width="8.140625" style="59" customWidth="1"/>
    <col min="8218" max="8221" width="6.140625" style="59" customWidth="1"/>
    <col min="8222" max="8222" width="8.140625" style="59" customWidth="1"/>
    <col min="8223" max="8226" width="6.140625" style="59" customWidth="1"/>
    <col min="8227" max="8227" width="8.140625" style="59" customWidth="1"/>
    <col min="8228" max="8232" width="0" style="59" hidden="1" customWidth="1"/>
    <col min="8233" max="8233" width="2.28515625" style="59" customWidth="1"/>
    <col min="8234" max="8234" width="37.140625" style="59" customWidth="1"/>
    <col min="8235" max="8235" width="2" style="59" customWidth="1"/>
    <col min="8236" max="8236" width="0.5703125" style="59" customWidth="1"/>
    <col min="8237" max="8237" width="0" style="59" hidden="1" customWidth="1"/>
    <col min="8238" max="8448" width="9.140625" style="59"/>
    <col min="8449" max="8449" width="0.28515625" style="59" customWidth="1"/>
    <col min="8450" max="8450" width="1.7109375" style="59" customWidth="1"/>
    <col min="8451" max="8451" width="1.140625" style="59" customWidth="1"/>
    <col min="8452" max="8452" width="37.140625" style="59" customWidth="1"/>
    <col min="8453" max="8456" width="0" style="59" hidden="1" customWidth="1"/>
    <col min="8457" max="8457" width="8.140625" style="59" customWidth="1"/>
    <col min="8458" max="8462" width="0" style="59" hidden="1" customWidth="1"/>
    <col min="8463" max="8463" width="8.140625" style="59" customWidth="1"/>
    <col min="8464" max="8467" width="0" style="59" hidden="1" customWidth="1"/>
    <col min="8468" max="8468" width="8.140625" style="59" customWidth="1"/>
    <col min="8469" max="8472" width="0" style="59" hidden="1" customWidth="1"/>
    <col min="8473" max="8473" width="8.140625" style="59" customWidth="1"/>
    <col min="8474" max="8477" width="6.140625" style="59" customWidth="1"/>
    <col min="8478" max="8478" width="8.140625" style="59" customWidth="1"/>
    <col min="8479" max="8482" width="6.140625" style="59" customWidth="1"/>
    <col min="8483" max="8483" width="8.140625" style="59" customWidth="1"/>
    <col min="8484" max="8488" width="0" style="59" hidden="1" customWidth="1"/>
    <col min="8489" max="8489" width="2.28515625" style="59" customWidth="1"/>
    <col min="8490" max="8490" width="37.140625" style="59" customWidth="1"/>
    <col min="8491" max="8491" width="2" style="59" customWidth="1"/>
    <col min="8492" max="8492" width="0.5703125" style="59" customWidth="1"/>
    <col min="8493" max="8493" width="0" style="59" hidden="1" customWidth="1"/>
    <col min="8494" max="8704" width="9.140625" style="59"/>
    <col min="8705" max="8705" width="0.28515625" style="59" customWidth="1"/>
    <col min="8706" max="8706" width="1.7109375" style="59" customWidth="1"/>
    <col min="8707" max="8707" width="1.140625" style="59" customWidth="1"/>
    <col min="8708" max="8708" width="37.140625" style="59" customWidth="1"/>
    <col min="8709" max="8712" width="0" style="59" hidden="1" customWidth="1"/>
    <col min="8713" max="8713" width="8.140625" style="59" customWidth="1"/>
    <col min="8714" max="8718" width="0" style="59" hidden="1" customWidth="1"/>
    <col min="8719" max="8719" width="8.140625" style="59" customWidth="1"/>
    <col min="8720" max="8723" width="0" style="59" hidden="1" customWidth="1"/>
    <col min="8724" max="8724" width="8.140625" style="59" customWidth="1"/>
    <col min="8725" max="8728" width="0" style="59" hidden="1" customWidth="1"/>
    <col min="8729" max="8729" width="8.140625" style="59" customWidth="1"/>
    <col min="8730" max="8733" width="6.140625" style="59" customWidth="1"/>
    <col min="8734" max="8734" width="8.140625" style="59" customWidth="1"/>
    <col min="8735" max="8738" width="6.140625" style="59" customWidth="1"/>
    <col min="8739" max="8739" width="8.140625" style="59" customWidth="1"/>
    <col min="8740" max="8744" width="0" style="59" hidden="1" customWidth="1"/>
    <col min="8745" max="8745" width="2.28515625" style="59" customWidth="1"/>
    <col min="8746" max="8746" width="37.140625" style="59" customWidth="1"/>
    <col min="8747" max="8747" width="2" style="59" customWidth="1"/>
    <col min="8748" max="8748" width="0.5703125" style="59" customWidth="1"/>
    <col min="8749" max="8749" width="0" style="59" hidden="1" customWidth="1"/>
    <col min="8750" max="8960" width="9.140625" style="59"/>
    <col min="8961" max="8961" width="0.28515625" style="59" customWidth="1"/>
    <col min="8962" max="8962" width="1.7109375" style="59" customWidth="1"/>
    <col min="8963" max="8963" width="1.140625" style="59" customWidth="1"/>
    <col min="8964" max="8964" width="37.140625" style="59" customWidth="1"/>
    <col min="8965" max="8968" width="0" style="59" hidden="1" customWidth="1"/>
    <col min="8969" max="8969" width="8.140625" style="59" customWidth="1"/>
    <col min="8970" max="8974" width="0" style="59" hidden="1" customWidth="1"/>
    <col min="8975" max="8975" width="8.140625" style="59" customWidth="1"/>
    <col min="8976" max="8979" width="0" style="59" hidden="1" customWidth="1"/>
    <col min="8980" max="8980" width="8.140625" style="59" customWidth="1"/>
    <col min="8981" max="8984" width="0" style="59" hidden="1" customWidth="1"/>
    <col min="8985" max="8985" width="8.140625" style="59" customWidth="1"/>
    <col min="8986" max="8989" width="6.140625" style="59" customWidth="1"/>
    <col min="8990" max="8990" width="8.140625" style="59" customWidth="1"/>
    <col min="8991" max="8994" width="6.140625" style="59" customWidth="1"/>
    <col min="8995" max="8995" width="8.140625" style="59" customWidth="1"/>
    <col min="8996" max="9000" width="0" style="59" hidden="1" customWidth="1"/>
    <col min="9001" max="9001" width="2.28515625" style="59" customWidth="1"/>
    <col min="9002" max="9002" width="37.140625" style="59" customWidth="1"/>
    <col min="9003" max="9003" width="2" style="59" customWidth="1"/>
    <col min="9004" max="9004" width="0.5703125" style="59" customWidth="1"/>
    <col min="9005" max="9005" width="0" style="59" hidden="1" customWidth="1"/>
    <col min="9006" max="9216" width="9.140625" style="59"/>
    <col min="9217" max="9217" width="0.28515625" style="59" customWidth="1"/>
    <col min="9218" max="9218" width="1.7109375" style="59" customWidth="1"/>
    <col min="9219" max="9219" width="1.140625" style="59" customWidth="1"/>
    <col min="9220" max="9220" width="37.140625" style="59" customWidth="1"/>
    <col min="9221" max="9224" width="0" style="59" hidden="1" customWidth="1"/>
    <col min="9225" max="9225" width="8.140625" style="59" customWidth="1"/>
    <col min="9226" max="9230" width="0" style="59" hidden="1" customWidth="1"/>
    <col min="9231" max="9231" width="8.140625" style="59" customWidth="1"/>
    <col min="9232" max="9235" width="0" style="59" hidden="1" customWidth="1"/>
    <col min="9236" max="9236" width="8.140625" style="59" customWidth="1"/>
    <col min="9237" max="9240" width="0" style="59" hidden="1" customWidth="1"/>
    <col min="9241" max="9241" width="8.140625" style="59" customWidth="1"/>
    <col min="9242" max="9245" width="6.140625" style="59" customWidth="1"/>
    <col min="9246" max="9246" width="8.140625" style="59" customWidth="1"/>
    <col min="9247" max="9250" width="6.140625" style="59" customWidth="1"/>
    <col min="9251" max="9251" width="8.140625" style="59" customWidth="1"/>
    <col min="9252" max="9256" width="0" style="59" hidden="1" customWidth="1"/>
    <col min="9257" max="9257" width="2.28515625" style="59" customWidth="1"/>
    <col min="9258" max="9258" width="37.140625" style="59" customWidth="1"/>
    <col min="9259" max="9259" width="2" style="59" customWidth="1"/>
    <col min="9260" max="9260" width="0.5703125" style="59" customWidth="1"/>
    <col min="9261" max="9261" width="0" style="59" hidden="1" customWidth="1"/>
    <col min="9262" max="9472" width="9.140625" style="59"/>
    <col min="9473" max="9473" width="0.28515625" style="59" customWidth="1"/>
    <col min="9474" max="9474" width="1.7109375" style="59" customWidth="1"/>
    <col min="9475" max="9475" width="1.140625" style="59" customWidth="1"/>
    <col min="9476" max="9476" width="37.140625" style="59" customWidth="1"/>
    <col min="9477" max="9480" width="0" style="59" hidden="1" customWidth="1"/>
    <col min="9481" max="9481" width="8.140625" style="59" customWidth="1"/>
    <col min="9482" max="9486" width="0" style="59" hidden="1" customWidth="1"/>
    <col min="9487" max="9487" width="8.140625" style="59" customWidth="1"/>
    <col min="9488" max="9491" width="0" style="59" hidden="1" customWidth="1"/>
    <col min="9492" max="9492" width="8.140625" style="59" customWidth="1"/>
    <col min="9493" max="9496" width="0" style="59" hidden="1" customWidth="1"/>
    <col min="9497" max="9497" width="8.140625" style="59" customWidth="1"/>
    <col min="9498" max="9501" width="6.140625" style="59" customWidth="1"/>
    <col min="9502" max="9502" width="8.140625" style="59" customWidth="1"/>
    <col min="9503" max="9506" width="6.140625" style="59" customWidth="1"/>
    <col min="9507" max="9507" width="8.140625" style="59" customWidth="1"/>
    <col min="9508" max="9512" width="0" style="59" hidden="1" customWidth="1"/>
    <col min="9513" max="9513" width="2.28515625" style="59" customWidth="1"/>
    <col min="9514" max="9514" width="37.140625" style="59" customWidth="1"/>
    <col min="9515" max="9515" width="2" style="59" customWidth="1"/>
    <col min="9516" max="9516" width="0.5703125" style="59" customWidth="1"/>
    <col min="9517" max="9517" width="0" style="59" hidden="1" customWidth="1"/>
    <col min="9518" max="9728" width="9.140625" style="59"/>
    <col min="9729" max="9729" width="0.28515625" style="59" customWidth="1"/>
    <col min="9730" max="9730" width="1.7109375" style="59" customWidth="1"/>
    <col min="9731" max="9731" width="1.140625" style="59" customWidth="1"/>
    <col min="9732" max="9732" width="37.140625" style="59" customWidth="1"/>
    <col min="9733" max="9736" width="0" style="59" hidden="1" customWidth="1"/>
    <col min="9737" max="9737" width="8.140625" style="59" customWidth="1"/>
    <col min="9738" max="9742" width="0" style="59" hidden="1" customWidth="1"/>
    <col min="9743" max="9743" width="8.140625" style="59" customWidth="1"/>
    <col min="9744" max="9747" width="0" style="59" hidden="1" customWidth="1"/>
    <col min="9748" max="9748" width="8.140625" style="59" customWidth="1"/>
    <col min="9749" max="9752" width="0" style="59" hidden="1" customWidth="1"/>
    <col min="9753" max="9753" width="8.140625" style="59" customWidth="1"/>
    <col min="9754" max="9757" width="6.140625" style="59" customWidth="1"/>
    <col min="9758" max="9758" width="8.140625" style="59" customWidth="1"/>
    <col min="9759" max="9762" width="6.140625" style="59" customWidth="1"/>
    <col min="9763" max="9763" width="8.140625" style="59" customWidth="1"/>
    <col min="9764" max="9768" width="0" style="59" hidden="1" customWidth="1"/>
    <col min="9769" max="9769" width="2.28515625" style="59" customWidth="1"/>
    <col min="9770" max="9770" width="37.140625" style="59" customWidth="1"/>
    <col min="9771" max="9771" width="2" style="59" customWidth="1"/>
    <col min="9772" max="9772" width="0.5703125" style="59" customWidth="1"/>
    <col min="9773" max="9773" width="0" style="59" hidden="1" customWidth="1"/>
    <col min="9774" max="9984" width="9.140625" style="59"/>
    <col min="9985" max="9985" width="0.28515625" style="59" customWidth="1"/>
    <col min="9986" max="9986" width="1.7109375" style="59" customWidth="1"/>
    <col min="9987" max="9987" width="1.140625" style="59" customWidth="1"/>
    <col min="9988" max="9988" width="37.140625" style="59" customWidth="1"/>
    <col min="9989" max="9992" width="0" style="59" hidden="1" customWidth="1"/>
    <col min="9993" max="9993" width="8.140625" style="59" customWidth="1"/>
    <col min="9994" max="9998" width="0" style="59" hidden="1" customWidth="1"/>
    <col min="9999" max="9999" width="8.140625" style="59" customWidth="1"/>
    <col min="10000" max="10003" width="0" style="59" hidden="1" customWidth="1"/>
    <col min="10004" max="10004" width="8.140625" style="59" customWidth="1"/>
    <col min="10005" max="10008" width="0" style="59" hidden="1" customWidth="1"/>
    <col min="10009" max="10009" width="8.140625" style="59" customWidth="1"/>
    <col min="10010" max="10013" width="6.140625" style="59" customWidth="1"/>
    <col min="10014" max="10014" width="8.140625" style="59" customWidth="1"/>
    <col min="10015" max="10018" width="6.140625" style="59" customWidth="1"/>
    <col min="10019" max="10019" width="8.140625" style="59" customWidth="1"/>
    <col min="10020" max="10024" width="0" style="59" hidden="1" customWidth="1"/>
    <col min="10025" max="10025" width="2.28515625" style="59" customWidth="1"/>
    <col min="10026" max="10026" width="37.140625" style="59" customWidth="1"/>
    <col min="10027" max="10027" width="2" style="59" customWidth="1"/>
    <col min="10028" max="10028" width="0.5703125" style="59" customWidth="1"/>
    <col min="10029" max="10029" width="0" style="59" hidden="1" customWidth="1"/>
    <col min="10030" max="10240" width="9.140625" style="59"/>
    <col min="10241" max="10241" width="0.28515625" style="59" customWidth="1"/>
    <col min="10242" max="10242" width="1.7109375" style="59" customWidth="1"/>
    <col min="10243" max="10243" width="1.140625" style="59" customWidth="1"/>
    <col min="10244" max="10244" width="37.140625" style="59" customWidth="1"/>
    <col min="10245" max="10248" width="0" style="59" hidden="1" customWidth="1"/>
    <col min="10249" max="10249" width="8.140625" style="59" customWidth="1"/>
    <col min="10250" max="10254" width="0" style="59" hidden="1" customWidth="1"/>
    <col min="10255" max="10255" width="8.140625" style="59" customWidth="1"/>
    <col min="10256" max="10259" width="0" style="59" hidden="1" customWidth="1"/>
    <col min="10260" max="10260" width="8.140625" style="59" customWidth="1"/>
    <col min="10261" max="10264" width="0" style="59" hidden="1" customWidth="1"/>
    <col min="10265" max="10265" width="8.140625" style="59" customWidth="1"/>
    <col min="10266" max="10269" width="6.140625" style="59" customWidth="1"/>
    <col min="10270" max="10270" width="8.140625" style="59" customWidth="1"/>
    <col min="10271" max="10274" width="6.140625" style="59" customWidth="1"/>
    <col min="10275" max="10275" width="8.140625" style="59" customWidth="1"/>
    <col min="10276" max="10280" width="0" style="59" hidden="1" customWidth="1"/>
    <col min="10281" max="10281" width="2.28515625" style="59" customWidth="1"/>
    <col min="10282" max="10282" width="37.140625" style="59" customWidth="1"/>
    <col min="10283" max="10283" width="2" style="59" customWidth="1"/>
    <col min="10284" max="10284" width="0.5703125" style="59" customWidth="1"/>
    <col min="10285" max="10285" width="0" style="59" hidden="1" customWidth="1"/>
    <col min="10286" max="10496" width="9.140625" style="59"/>
    <col min="10497" max="10497" width="0.28515625" style="59" customWidth="1"/>
    <col min="10498" max="10498" width="1.7109375" style="59" customWidth="1"/>
    <col min="10499" max="10499" width="1.140625" style="59" customWidth="1"/>
    <col min="10500" max="10500" width="37.140625" style="59" customWidth="1"/>
    <col min="10501" max="10504" width="0" style="59" hidden="1" customWidth="1"/>
    <col min="10505" max="10505" width="8.140625" style="59" customWidth="1"/>
    <col min="10506" max="10510" width="0" style="59" hidden="1" customWidth="1"/>
    <col min="10511" max="10511" width="8.140625" style="59" customWidth="1"/>
    <col min="10512" max="10515" width="0" style="59" hidden="1" customWidth="1"/>
    <col min="10516" max="10516" width="8.140625" style="59" customWidth="1"/>
    <col min="10517" max="10520" width="0" style="59" hidden="1" customWidth="1"/>
    <col min="10521" max="10521" width="8.140625" style="59" customWidth="1"/>
    <col min="10522" max="10525" width="6.140625" style="59" customWidth="1"/>
    <col min="10526" max="10526" width="8.140625" style="59" customWidth="1"/>
    <col min="10527" max="10530" width="6.140625" style="59" customWidth="1"/>
    <col min="10531" max="10531" width="8.140625" style="59" customWidth="1"/>
    <col min="10532" max="10536" width="0" style="59" hidden="1" customWidth="1"/>
    <col min="10537" max="10537" width="2.28515625" style="59" customWidth="1"/>
    <col min="10538" max="10538" width="37.140625" style="59" customWidth="1"/>
    <col min="10539" max="10539" width="2" style="59" customWidth="1"/>
    <col min="10540" max="10540" width="0.5703125" style="59" customWidth="1"/>
    <col min="10541" max="10541" width="0" style="59" hidden="1" customWidth="1"/>
    <col min="10542" max="10752" width="9.140625" style="59"/>
    <col min="10753" max="10753" width="0.28515625" style="59" customWidth="1"/>
    <col min="10754" max="10754" width="1.7109375" style="59" customWidth="1"/>
    <col min="10755" max="10755" width="1.140625" style="59" customWidth="1"/>
    <col min="10756" max="10756" width="37.140625" style="59" customWidth="1"/>
    <col min="10757" max="10760" width="0" style="59" hidden="1" customWidth="1"/>
    <col min="10761" max="10761" width="8.140625" style="59" customWidth="1"/>
    <col min="10762" max="10766" width="0" style="59" hidden="1" customWidth="1"/>
    <col min="10767" max="10767" width="8.140625" style="59" customWidth="1"/>
    <col min="10768" max="10771" width="0" style="59" hidden="1" customWidth="1"/>
    <col min="10772" max="10772" width="8.140625" style="59" customWidth="1"/>
    <col min="10773" max="10776" width="0" style="59" hidden="1" customWidth="1"/>
    <col min="10777" max="10777" width="8.140625" style="59" customWidth="1"/>
    <col min="10778" max="10781" width="6.140625" style="59" customWidth="1"/>
    <col min="10782" max="10782" width="8.140625" style="59" customWidth="1"/>
    <col min="10783" max="10786" width="6.140625" style="59" customWidth="1"/>
    <col min="10787" max="10787" width="8.140625" style="59" customWidth="1"/>
    <col min="10788" max="10792" width="0" style="59" hidden="1" customWidth="1"/>
    <col min="10793" max="10793" width="2.28515625" style="59" customWidth="1"/>
    <col min="10794" max="10794" width="37.140625" style="59" customWidth="1"/>
    <col min="10795" max="10795" width="2" style="59" customWidth="1"/>
    <col min="10796" max="10796" width="0.5703125" style="59" customWidth="1"/>
    <col min="10797" max="10797" width="0" style="59" hidden="1" customWidth="1"/>
    <col min="10798" max="11008" width="9.140625" style="59"/>
    <col min="11009" max="11009" width="0.28515625" style="59" customWidth="1"/>
    <col min="11010" max="11010" width="1.7109375" style="59" customWidth="1"/>
    <col min="11011" max="11011" width="1.140625" style="59" customWidth="1"/>
    <col min="11012" max="11012" width="37.140625" style="59" customWidth="1"/>
    <col min="11013" max="11016" width="0" style="59" hidden="1" customWidth="1"/>
    <col min="11017" max="11017" width="8.140625" style="59" customWidth="1"/>
    <col min="11018" max="11022" width="0" style="59" hidden="1" customWidth="1"/>
    <col min="11023" max="11023" width="8.140625" style="59" customWidth="1"/>
    <col min="11024" max="11027" width="0" style="59" hidden="1" customWidth="1"/>
    <col min="11028" max="11028" width="8.140625" style="59" customWidth="1"/>
    <col min="11029" max="11032" width="0" style="59" hidden="1" customWidth="1"/>
    <col min="11033" max="11033" width="8.140625" style="59" customWidth="1"/>
    <col min="11034" max="11037" width="6.140625" style="59" customWidth="1"/>
    <col min="11038" max="11038" width="8.140625" style="59" customWidth="1"/>
    <col min="11039" max="11042" width="6.140625" style="59" customWidth="1"/>
    <col min="11043" max="11043" width="8.140625" style="59" customWidth="1"/>
    <col min="11044" max="11048" width="0" style="59" hidden="1" customWidth="1"/>
    <col min="11049" max="11049" width="2.28515625" style="59" customWidth="1"/>
    <col min="11050" max="11050" width="37.140625" style="59" customWidth="1"/>
    <col min="11051" max="11051" width="2" style="59" customWidth="1"/>
    <col min="11052" max="11052" width="0.5703125" style="59" customWidth="1"/>
    <col min="11053" max="11053" width="0" style="59" hidden="1" customWidth="1"/>
    <col min="11054" max="11264" width="9.140625" style="59"/>
    <col min="11265" max="11265" width="0.28515625" style="59" customWidth="1"/>
    <col min="11266" max="11266" width="1.7109375" style="59" customWidth="1"/>
    <col min="11267" max="11267" width="1.140625" style="59" customWidth="1"/>
    <col min="11268" max="11268" width="37.140625" style="59" customWidth="1"/>
    <col min="11269" max="11272" width="0" style="59" hidden="1" customWidth="1"/>
    <col min="11273" max="11273" width="8.140625" style="59" customWidth="1"/>
    <col min="11274" max="11278" width="0" style="59" hidden="1" customWidth="1"/>
    <col min="11279" max="11279" width="8.140625" style="59" customWidth="1"/>
    <col min="11280" max="11283" width="0" style="59" hidden="1" customWidth="1"/>
    <col min="11284" max="11284" width="8.140625" style="59" customWidth="1"/>
    <col min="11285" max="11288" width="0" style="59" hidden="1" customWidth="1"/>
    <col min="11289" max="11289" width="8.140625" style="59" customWidth="1"/>
    <col min="11290" max="11293" width="6.140625" style="59" customWidth="1"/>
    <col min="11294" max="11294" width="8.140625" style="59" customWidth="1"/>
    <col min="11295" max="11298" width="6.140625" style="59" customWidth="1"/>
    <col min="11299" max="11299" width="8.140625" style="59" customWidth="1"/>
    <col min="11300" max="11304" width="0" style="59" hidden="1" customWidth="1"/>
    <col min="11305" max="11305" width="2.28515625" style="59" customWidth="1"/>
    <col min="11306" max="11306" width="37.140625" style="59" customWidth="1"/>
    <col min="11307" max="11307" width="2" style="59" customWidth="1"/>
    <col min="11308" max="11308" width="0.5703125" style="59" customWidth="1"/>
    <col min="11309" max="11309" width="0" style="59" hidden="1" customWidth="1"/>
    <col min="11310" max="11520" width="9.140625" style="59"/>
    <col min="11521" max="11521" width="0.28515625" style="59" customWidth="1"/>
    <col min="11522" max="11522" width="1.7109375" style="59" customWidth="1"/>
    <col min="11523" max="11523" width="1.140625" style="59" customWidth="1"/>
    <col min="11524" max="11524" width="37.140625" style="59" customWidth="1"/>
    <col min="11525" max="11528" width="0" style="59" hidden="1" customWidth="1"/>
    <col min="11529" max="11529" width="8.140625" style="59" customWidth="1"/>
    <col min="11530" max="11534" width="0" style="59" hidden="1" customWidth="1"/>
    <col min="11535" max="11535" width="8.140625" style="59" customWidth="1"/>
    <col min="11536" max="11539" width="0" style="59" hidden="1" customWidth="1"/>
    <col min="11540" max="11540" width="8.140625" style="59" customWidth="1"/>
    <col min="11541" max="11544" width="0" style="59" hidden="1" customWidth="1"/>
    <col min="11545" max="11545" width="8.140625" style="59" customWidth="1"/>
    <col min="11546" max="11549" width="6.140625" style="59" customWidth="1"/>
    <col min="11550" max="11550" width="8.140625" style="59" customWidth="1"/>
    <col min="11551" max="11554" width="6.140625" style="59" customWidth="1"/>
    <col min="11555" max="11555" width="8.140625" style="59" customWidth="1"/>
    <col min="11556" max="11560" width="0" style="59" hidden="1" customWidth="1"/>
    <col min="11561" max="11561" width="2.28515625" style="59" customWidth="1"/>
    <col min="11562" max="11562" width="37.140625" style="59" customWidth="1"/>
    <col min="11563" max="11563" width="2" style="59" customWidth="1"/>
    <col min="11564" max="11564" width="0.5703125" style="59" customWidth="1"/>
    <col min="11565" max="11565" width="0" style="59" hidden="1" customWidth="1"/>
    <col min="11566" max="11776" width="9.140625" style="59"/>
    <col min="11777" max="11777" width="0.28515625" style="59" customWidth="1"/>
    <col min="11778" max="11778" width="1.7109375" style="59" customWidth="1"/>
    <col min="11779" max="11779" width="1.140625" style="59" customWidth="1"/>
    <col min="11780" max="11780" width="37.140625" style="59" customWidth="1"/>
    <col min="11781" max="11784" width="0" style="59" hidden="1" customWidth="1"/>
    <col min="11785" max="11785" width="8.140625" style="59" customWidth="1"/>
    <col min="11786" max="11790" width="0" style="59" hidden="1" customWidth="1"/>
    <col min="11791" max="11791" width="8.140625" style="59" customWidth="1"/>
    <col min="11792" max="11795" width="0" style="59" hidden="1" customWidth="1"/>
    <col min="11796" max="11796" width="8.140625" style="59" customWidth="1"/>
    <col min="11797" max="11800" width="0" style="59" hidden="1" customWidth="1"/>
    <col min="11801" max="11801" width="8.140625" style="59" customWidth="1"/>
    <col min="11802" max="11805" width="6.140625" style="59" customWidth="1"/>
    <col min="11806" max="11806" width="8.140625" style="59" customWidth="1"/>
    <col min="11807" max="11810" width="6.140625" style="59" customWidth="1"/>
    <col min="11811" max="11811" width="8.140625" style="59" customWidth="1"/>
    <col min="11812" max="11816" width="0" style="59" hidden="1" customWidth="1"/>
    <col min="11817" max="11817" width="2.28515625" style="59" customWidth="1"/>
    <col min="11818" max="11818" width="37.140625" style="59" customWidth="1"/>
    <col min="11819" max="11819" width="2" style="59" customWidth="1"/>
    <col min="11820" max="11820" width="0.5703125" style="59" customWidth="1"/>
    <col min="11821" max="11821" width="0" style="59" hidden="1" customWidth="1"/>
    <col min="11822" max="12032" width="9.140625" style="59"/>
    <col min="12033" max="12033" width="0.28515625" style="59" customWidth="1"/>
    <col min="12034" max="12034" width="1.7109375" style="59" customWidth="1"/>
    <col min="12035" max="12035" width="1.140625" style="59" customWidth="1"/>
    <col min="12036" max="12036" width="37.140625" style="59" customWidth="1"/>
    <col min="12037" max="12040" width="0" style="59" hidden="1" customWidth="1"/>
    <col min="12041" max="12041" width="8.140625" style="59" customWidth="1"/>
    <col min="12042" max="12046" width="0" style="59" hidden="1" customWidth="1"/>
    <col min="12047" max="12047" width="8.140625" style="59" customWidth="1"/>
    <col min="12048" max="12051" width="0" style="59" hidden="1" customWidth="1"/>
    <col min="12052" max="12052" width="8.140625" style="59" customWidth="1"/>
    <col min="12053" max="12056" width="0" style="59" hidden="1" customWidth="1"/>
    <col min="12057" max="12057" width="8.140625" style="59" customWidth="1"/>
    <col min="12058" max="12061" width="6.140625" style="59" customWidth="1"/>
    <col min="12062" max="12062" width="8.140625" style="59" customWidth="1"/>
    <col min="12063" max="12066" width="6.140625" style="59" customWidth="1"/>
    <col min="12067" max="12067" width="8.140625" style="59" customWidth="1"/>
    <col min="12068" max="12072" width="0" style="59" hidden="1" customWidth="1"/>
    <col min="12073" max="12073" width="2.28515625" style="59" customWidth="1"/>
    <col min="12074" max="12074" width="37.140625" style="59" customWidth="1"/>
    <col min="12075" max="12075" width="2" style="59" customWidth="1"/>
    <col min="12076" max="12076" width="0.5703125" style="59" customWidth="1"/>
    <col min="12077" max="12077" width="0" style="59" hidden="1" customWidth="1"/>
    <col min="12078" max="12288" width="9.140625" style="59"/>
    <col min="12289" max="12289" width="0.28515625" style="59" customWidth="1"/>
    <col min="12290" max="12290" width="1.7109375" style="59" customWidth="1"/>
    <col min="12291" max="12291" width="1.140625" style="59" customWidth="1"/>
    <col min="12292" max="12292" width="37.140625" style="59" customWidth="1"/>
    <col min="12293" max="12296" width="0" style="59" hidden="1" customWidth="1"/>
    <col min="12297" max="12297" width="8.140625" style="59" customWidth="1"/>
    <col min="12298" max="12302" width="0" style="59" hidden="1" customWidth="1"/>
    <col min="12303" max="12303" width="8.140625" style="59" customWidth="1"/>
    <col min="12304" max="12307" width="0" style="59" hidden="1" customWidth="1"/>
    <col min="12308" max="12308" width="8.140625" style="59" customWidth="1"/>
    <col min="12309" max="12312" width="0" style="59" hidden="1" customWidth="1"/>
    <col min="12313" max="12313" width="8.140625" style="59" customWidth="1"/>
    <col min="12314" max="12317" width="6.140625" style="59" customWidth="1"/>
    <col min="12318" max="12318" width="8.140625" style="59" customWidth="1"/>
    <col min="12319" max="12322" width="6.140625" style="59" customWidth="1"/>
    <col min="12323" max="12323" width="8.140625" style="59" customWidth="1"/>
    <col min="12324" max="12328" width="0" style="59" hidden="1" customWidth="1"/>
    <col min="12329" max="12329" width="2.28515625" style="59" customWidth="1"/>
    <col min="12330" max="12330" width="37.140625" style="59" customWidth="1"/>
    <col min="12331" max="12331" width="2" style="59" customWidth="1"/>
    <col min="12332" max="12332" width="0.5703125" style="59" customWidth="1"/>
    <col min="12333" max="12333" width="0" style="59" hidden="1" customWidth="1"/>
    <col min="12334" max="12544" width="9.140625" style="59"/>
    <col min="12545" max="12545" width="0.28515625" style="59" customWidth="1"/>
    <col min="12546" max="12546" width="1.7109375" style="59" customWidth="1"/>
    <col min="12547" max="12547" width="1.140625" style="59" customWidth="1"/>
    <col min="12548" max="12548" width="37.140625" style="59" customWidth="1"/>
    <col min="12549" max="12552" width="0" style="59" hidden="1" customWidth="1"/>
    <col min="12553" max="12553" width="8.140625" style="59" customWidth="1"/>
    <col min="12554" max="12558" width="0" style="59" hidden="1" customWidth="1"/>
    <col min="12559" max="12559" width="8.140625" style="59" customWidth="1"/>
    <col min="12560" max="12563" width="0" style="59" hidden="1" customWidth="1"/>
    <col min="12564" max="12564" width="8.140625" style="59" customWidth="1"/>
    <col min="12565" max="12568" width="0" style="59" hidden="1" customWidth="1"/>
    <col min="12569" max="12569" width="8.140625" style="59" customWidth="1"/>
    <col min="12570" max="12573" width="6.140625" style="59" customWidth="1"/>
    <col min="12574" max="12574" width="8.140625" style="59" customWidth="1"/>
    <col min="12575" max="12578" width="6.140625" style="59" customWidth="1"/>
    <col min="12579" max="12579" width="8.140625" style="59" customWidth="1"/>
    <col min="12580" max="12584" width="0" style="59" hidden="1" customWidth="1"/>
    <col min="12585" max="12585" width="2.28515625" style="59" customWidth="1"/>
    <col min="12586" max="12586" width="37.140625" style="59" customWidth="1"/>
    <col min="12587" max="12587" width="2" style="59" customWidth="1"/>
    <col min="12588" max="12588" width="0.5703125" style="59" customWidth="1"/>
    <col min="12589" max="12589" width="0" style="59" hidden="1" customWidth="1"/>
    <col min="12590" max="12800" width="9.140625" style="59"/>
    <col min="12801" max="12801" width="0.28515625" style="59" customWidth="1"/>
    <col min="12802" max="12802" width="1.7109375" style="59" customWidth="1"/>
    <col min="12803" max="12803" width="1.140625" style="59" customWidth="1"/>
    <col min="12804" max="12804" width="37.140625" style="59" customWidth="1"/>
    <col min="12805" max="12808" width="0" style="59" hidden="1" customWidth="1"/>
    <col min="12809" max="12809" width="8.140625" style="59" customWidth="1"/>
    <col min="12810" max="12814" width="0" style="59" hidden="1" customWidth="1"/>
    <col min="12815" max="12815" width="8.140625" style="59" customWidth="1"/>
    <col min="12816" max="12819" width="0" style="59" hidden="1" customWidth="1"/>
    <col min="12820" max="12820" width="8.140625" style="59" customWidth="1"/>
    <col min="12821" max="12824" width="0" style="59" hidden="1" customWidth="1"/>
    <col min="12825" max="12825" width="8.140625" style="59" customWidth="1"/>
    <col min="12826" max="12829" width="6.140625" style="59" customWidth="1"/>
    <col min="12830" max="12830" width="8.140625" style="59" customWidth="1"/>
    <col min="12831" max="12834" width="6.140625" style="59" customWidth="1"/>
    <col min="12835" max="12835" width="8.140625" style="59" customWidth="1"/>
    <col min="12836" max="12840" width="0" style="59" hidden="1" customWidth="1"/>
    <col min="12841" max="12841" width="2.28515625" style="59" customWidth="1"/>
    <col min="12842" max="12842" width="37.140625" style="59" customWidth="1"/>
    <col min="12843" max="12843" width="2" style="59" customWidth="1"/>
    <col min="12844" max="12844" width="0.5703125" style="59" customWidth="1"/>
    <col min="12845" max="12845" width="0" style="59" hidden="1" customWidth="1"/>
    <col min="12846" max="13056" width="9.140625" style="59"/>
    <col min="13057" max="13057" width="0.28515625" style="59" customWidth="1"/>
    <col min="13058" max="13058" width="1.7109375" style="59" customWidth="1"/>
    <col min="13059" max="13059" width="1.140625" style="59" customWidth="1"/>
    <col min="13060" max="13060" width="37.140625" style="59" customWidth="1"/>
    <col min="13061" max="13064" width="0" style="59" hidden="1" customWidth="1"/>
    <col min="13065" max="13065" width="8.140625" style="59" customWidth="1"/>
    <col min="13066" max="13070" width="0" style="59" hidden="1" customWidth="1"/>
    <col min="13071" max="13071" width="8.140625" style="59" customWidth="1"/>
    <col min="13072" max="13075" width="0" style="59" hidden="1" customWidth="1"/>
    <col min="13076" max="13076" width="8.140625" style="59" customWidth="1"/>
    <col min="13077" max="13080" width="0" style="59" hidden="1" customWidth="1"/>
    <col min="13081" max="13081" width="8.140625" style="59" customWidth="1"/>
    <col min="13082" max="13085" width="6.140625" style="59" customWidth="1"/>
    <col min="13086" max="13086" width="8.140625" style="59" customWidth="1"/>
    <col min="13087" max="13090" width="6.140625" style="59" customWidth="1"/>
    <col min="13091" max="13091" width="8.140625" style="59" customWidth="1"/>
    <col min="13092" max="13096" width="0" style="59" hidden="1" customWidth="1"/>
    <col min="13097" max="13097" width="2.28515625" style="59" customWidth="1"/>
    <col min="13098" max="13098" width="37.140625" style="59" customWidth="1"/>
    <col min="13099" max="13099" width="2" style="59" customWidth="1"/>
    <col min="13100" max="13100" width="0.5703125" style="59" customWidth="1"/>
    <col min="13101" max="13101" width="0" style="59" hidden="1" customWidth="1"/>
    <col min="13102" max="13312" width="9.140625" style="59"/>
    <col min="13313" max="13313" width="0.28515625" style="59" customWidth="1"/>
    <col min="13314" max="13314" width="1.7109375" style="59" customWidth="1"/>
    <col min="13315" max="13315" width="1.140625" style="59" customWidth="1"/>
    <col min="13316" max="13316" width="37.140625" style="59" customWidth="1"/>
    <col min="13317" max="13320" width="0" style="59" hidden="1" customWidth="1"/>
    <col min="13321" max="13321" width="8.140625" style="59" customWidth="1"/>
    <col min="13322" max="13326" width="0" style="59" hidden="1" customWidth="1"/>
    <col min="13327" max="13327" width="8.140625" style="59" customWidth="1"/>
    <col min="13328" max="13331" width="0" style="59" hidden="1" customWidth="1"/>
    <col min="13332" max="13332" width="8.140625" style="59" customWidth="1"/>
    <col min="13333" max="13336" width="0" style="59" hidden="1" customWidth="1"/>
    <col min="13337" max="13337" width="8.140625" style="59" customWidth="1"/>
    <col min="13338" max="13341" width="6.140625" style="59" customWidth="1"/>
    <col min="13342" max="13342" width="8.140625" style="59" customWidth="1"/>
    <col min="13343" max="13346" width="6.140625" style="59" customWidth="1"/>
    <col min="13347" max="13347" width="8.140625" style="59" customWidth="1"/>
    <col min="13348" max="13352" width="0" style="59" hidden="1" customWidth="1"/>
    <col min="13353" max="13353" width="2.28515625" style="59" customWidth="1"/>
    <col min="13354" max="13354" width="37.140625" style="59" customWidth="1"/>
    <col min="13355" max="13355" width="2" style="59" customWidth="1"/>
    <col min="13356" max="13356" width="0.5703125" style="59" customWidth="1"/>
    <col min="13357" max="13357" width="0" style="59" hidden="1" customWidth="1"/>
    <col min="13358" max="13568" width="9.140625" style="59"/>
    <col min="13569" max="13569" width="0.28515625" style="59" customWidth="1"/>
    <col min="13570" max="13570" width="1.7109375" style="59" customWidth="1"/>
    <col min="13571" max="13571" width="1.140625" style="59" customWidth="1"/>
    <col min="13572" max="13572" width="37.140625" style="59" customWidth="1"/>
    <col min="13573" max="13576" width="0" style="59" hidden="1" customWidth="1"/>
    <col min="13577" max="13577" width="8.140625" style="59" customWidth="1"/>
    <col min="13578" max="13582" width="0" style="59" hidden="1" customWidth="1"/>
    <col min="13583" max="13583" width="8.140625" style="59" customWidth="1"/>
    <col min="13584" max="13587" width="0" style="59" hidden="1" customWidth="1"/>
    <col min="13588" max="13588" width="8.140625" style="59" customWidth="1"/>
    <col min="13589" max="13592" width="0" style="59" hidden="1" customWidth="1"/>
    <col min="13593" max="13593" width="8.140625" style="59" customWidth="1"/>
    <col min="13594" max="13597" width="6.140625" style="59" customWidth="1"/>
    <col min="13598" max="13598" width="8.140625" style="59" customWidth="1"/>
    <col min="13599" max="13602" width="6.140625" style="59" customWidth="1"/>
    <col min="13603" max="13603" width="8.140625" style="59" customWidth="1"/>
    <col min="13604" max="13608" width="0" style="59" hidden="1" customWidth="1"/>
    <col min="13609" max="13609" width="2.28515625" style="59" customWidth="1"/>
    <col min="13610" max="13610" width="37.140625" style="59" customWidth="1"/>
    <col min="13611" max="13611" width="2" style="59" customWidth="1"/>
    <col min="13612" max="13612" width="0.5703125" style="59" customWidth="1"/>
    <col min="13613" max="13613" width="0" style="59" hidden="1" customWidth="1"/>
    <col min="13614" max="13824" width="9.140625" style="59"/>
    <col min="13825" max="13825" width="0.28515625" style="59" customWidth="1"/>
    <col min="13826" max="13826" width="1.7109375" style="59" customWidth="1"/>
    <col min="13827" max="13827" width="1.140625" style="59" customWidth="1"/>
    <col min="13828" max="13828" width="37.140625" style="59" customWidth="1"/>
    <col min="13829" max="13832" width="0" style="59" hidden="1" customWidth="1"/>
    <col min="13833" max="13833" width="8.140625" style="59" customWidth="1"/>
    <col min="13834" max="13838" width="0" style="59" hidden="1" customWidth="1"/>
    <col min="13839" max="13839" width="8.140625" style="59" customWidth="1"/>
    <col min="13840" max="13843" width="0" style="59" hidden="1" customWidth="1"/>
    <col min="13844" max="13844" width="8.140625" style="59" customWidth="1"/>
    <col min="13845" max="13848" width="0" style="59" hidden="1" customWidth="1"/>
    <col min="13849" max="13849" width="8.140625" style="59" customWidth="1"/>
    <col min="13850" max="13853" width="6.140625" style="59" customWidth="1"/>
    <col min="13854" max="13854" width="8.140625" style="59" customWidth="1"/>
    <col min="13855" max="13858" width="6.140625" style="59" customWidth="1"/>
    <col min="13859" max="13859" width="8.140625" style="59" customWidth="1"/>
    <col min="13860" max="13864" width="0" style="59" hidden="1" customWidth="1"/>
    <col min="13865" max="13865" width="2.28515625" style="59" customWidth="1"/>
    <col min="13866" max="13866" width="37.140625" style="59" customWidth="1"/>
    <col min="13867" max="13867" width="2" style="59" customWidth="1"/>
    <col min="13868" max="13868" width="0.5703125" style="59" customWidth="1"/>
    <col min="13869" max="13869" width="0" style="59" hidden="1" customWidth="1"/>
    <col min="13870" max="14080" width="9.140625" style="59"/>
    <col min="14081" max="14081" width="0.28515625" style="59" customWidth="1"/>
    <col min="14082" max="14082" width="1.7109375" style="59" customWidth="1"/>
    <col min="14083" max="14083" width="1.140625" style="59" customWidth="1"/>
    <col min="14084" max="14084" width="37.140625" style="59" customWidth="1"/>
    <col min="14085" max="14088" width="0" style="59" hidden="1" customWidth="1"/>
    <col min="14089" max="14089" width="8.140625" style="59" customWidth="1"/>
    <col min="14090" max="14094" width="0" style="59" hidden="1" customWidth="1"/>
    <col min="14095" max="14095" width="8.140625" style="59" customWidth="1"/>
    <col min="14096" max="14099" width="0" style="59" hidden="1" customWidth="1"/>
    <col min="14100" max="14100" width="8.140625" style="59" customWidth="1"/>
    <col min="14101" max="14104" width="0" style="59" hidden="1" customWidth="1"/>
    <col min="14105" max="14105" width="8.140625" style="59" customWidth="1"/>
    <col min="14106" max="14109" width="6.140625" style="59" customWidth="1"/>
    <col min="14110" max="14110" width="8.140625" style="59" customWidth="1"/>
    <col min="14111" max="14114" width="6.140625" style="59" customWidth="1"/>
    <col min="14115" max="14115" width="8.140625" style="59" customWidth="1"/>
    <col min="14116" max="14120" width="0" style="59" hidden="1" customWidth="1"/>
    <col min="14121" max="14121" width="2.28515625" style="59" customWidth="1"/>
    <col min="14122" max="14122" width="37.140625" style="59" customWidth="1"/>
    <col min="14123" max="14123" width="2" style="59" customWidth="1"/>
    <col min="14124" max="14124" width="0.5703125" style="59" customWidth="1"/>
    <col min="14125" max="14125" width="0" style="59" hidden="1" customWidth="1"/>
    <col min="14126" max="14336" width="9.140625" style="59"/>
    <col min="14337" max="14337" width="0.28515625" style="59" customWidth="1"/>
    <col min="14338" max="14338" width="1.7109375" style="59" customWidth="1"/>
    <col min="14339" max="14339" width="1.140625" style="59" customWidth="1"/>
    <col min="14340" max="14340" width="37.140625" style="59" customWidth="1"/>
    <col min="14341" max="14344" width="0" style="59" hidden="1" customWidth="1"/>
    <col min="14345" max="14345" width="8.140625" style="59" customWidth="1"/>
    <col min="14346" max="14350" width="0" style="59" hidden="1" customWidth="1"/>
    <col min="14351" max="14351" width="8.140625" style="59" customWidth="1"/>
    <col min="14352" max="14355" width="0" style="59" hidden="1" customWidth="1"/>
    <col min="14356" max="14356" width="8.140625" style="59" customWidth="1"/>
    <col min="14357" max="14360" width="0" style="59" hidden="1" customWidth="1"/>
    <col min="14361" max="14361" width="8.140625" style="59" customWidth="1"/>
    <col min="14362" max="14365" width="6.140625" style="59" customWidth="1"/>
    <col min="14366" max="14366" width="8.140625" style="59" customWidth="1"/>
    <col min="14367" max="14370" width="6.140625" style="59" customWidth="1"/>
    <col min="14371" max="14371" width="8.140625" style="59" customWidth="1"/>
    <col min="14372" max="14376" width="0" style="59" hidden="1" customWidth="1"/>
    <col min="14377" max="14377" width="2.28515625" style="59" customWidth="1"/>
    <col min="14378" max="14378" width="37.140625" style="59" customWidth="1"/>
    <col min="14379" max="14379" width="2" style="59" customWidth="1"/>
    <col min="14380" max="14380" width="0.5703125" style="59" customWidth="1"/>
    <col min="14381" max="14381" width="0" style="59" hidden="1" customWidth="1"/>
    <col min="14382" max="14592" width="9.140625" style="59"/>
    <col min="14593" max="14593" width="0.28515625" style="59" customWidth="1"/>
    <col min="14594" max="14594" width="1.7109375" style="59" customWidth="1"/>
    <col min="14595" max="14595" width="1.140625" style="59" customWidth="1"/>
    <col min="14596" max="14596" width="37.140625" style="59" customWidth="1"/>
    <col min="14597" max="14600" width="0" style="59" hidden="1" customWidth="1"/>
    <col min="14601" max="14601" width="8.140625" style="59" customWidth="1"/>
    <col min="14602" max="14606" width="0" style="59" hidden="1" customWidth="1"/>
    <col min="14607" max="14607" width="8.140625" style="59" customWidth="1"/>
    <col min="14608" max="14611" width="0" style="59" hidden="1" customWidth="1"/>
    <col min="14612" max="14612" width="8.140625" style="59" customWidth="1"/>
    <col min="14613" max="14616" width="0" style="59" hidden="1" customWidth="1"/>
    <col min="14617" max="14617" width="8.140625" style="59" customWidth="1"/>
    <col min="14618" max="14621" width="6.140625" style="59" customWidth="1"/>
    <col min="14622" max="14622" width="8.140625" style="59" customWidth="1"/>
    <col min="14623" max="14626" width="6.140625" style="59" customWidth="1"/>
    <col min="14627" max="14627" width="8.140625" style="59" customWidth="1"/>
    <col min="14628" max="14632" width="0" style="59" hidden="1" customWidth="1"/>
    <col min="14633" max="14633" width="2.28515625" style="59" customWidth="1"/>
    <col min="14634" max="14634" width="37.140625" style="59" customWidth="1"/>
    <col min="14635" max="14635" width="2" style="59" customWidth="1"/>
    <col min="14636" max="14636" width="0.5703125" style="59" customWidth="1"/>
    <col min="14637" max="14637" width="0" style="59" hidden="1" customWidth="1"/>
    <col min="14638" max="14848" width="9.140625" style="59"/>
    <col min="14849" max="14849" width="0.28515625" style="59" customWidth="1"/>
    <col min="14850" max="14850" width="1.7109375" style="59" customWidth="1"/>
    <col min="14851" max="14851" width="1.140625" style="59" customWidth="1"/>
    <col min="14852" max="14852" width="37.140625" style="59" customWidth="1"/>
    <col min="14853" max="14856" width="0" style="59" hidden="1" customWidth="1"/>
    <col min="14857" max="14857" width="8.140625" style="59" customWidth="1"/>
    <col min="14858" max="14862" width="0" style="59" hidden="1" customWidth="1"/>
    <col min="14863" max="14863" width="8.140625" style="59" customWidth="1"/>
    <col min="14864" max="14867" width="0" style="59" hidden="1" customWidth="1"/>
    <col min="14868" max="14868" width="8.140625" style="59" customWidth="1"/>
    <col min="14869" max="14872" width="0" style="59" hidden="1" customWidth="1"/>
    <col min="14873" max="14873" width="8.140625" style="59" customWidth="1"/>
    <col min="14874" max="14877" width="6.140625" style="59" customWidth="1"/>
    <col min="14878" max="14878" width="8.140625" style="59" customWidth="1"/>
    <col min="14879" max="14882" width="6.140625" style="59" customWidth="1"/>
    <col min="14883" max="14883" width="8.140625" style="59" customWidth="1"/>
    <col min="14884" max="14888" width="0" style="59" hidden="1" customWidth="1"/>
    <col min="14889" max="14889" width="2.28515625" style="59" customWidth="1"/>
    <col min="14890" max="14890" width="37.140625" style="59" customWidth="1"/>
    <col min="14891" max="14891" width="2" style="59" customWidth="1"/>
    <col min="14892" max="14892" width="0.5703125" style="59" customWidth="1"/>
    <col min="14893" max="14893" width="0" style="59" hidden="1" customWidth="1"/>
    <col min="14894" max="15104" width="9.140625" style="59"/>
    <col min="15105" max="15105" width="0.28515625" style="59" customWidth="1"/>
    <col min="15106" max="15106" width="1.7109375" style="59" customWidth="1"/>
    <col min="15107" max="15107" width="1.140625" style="59" customWidth="1"/>
    <col min="15108" max="15108" width="37.140625" style="59" customWidth="1"/>
    <col min="15109" max="15112" width="0" style="59" hidden="1" customWidth="1"/>
    <col min="15113" max="15113" width="8.140625" style="59" customWidth="1"/>
    <col min="15114" max="15118" width="0" style="59" hidden="1" customWidth="1"/>
    <col min="15119" max="15119" width="8.140625" style="59" customWidth="1"/>
    <col min="15120" max="15123" width="0" style="59" hidden="1" customWidth="1"/>
    <col min="15124" max="15124" width="8.140625" style="59" customWidth="1"/>
    <col min="15125" max="15128" width="0" style="59" hidden="1" customWidth="1"/>
    <col min="15129" max="15129" width="8.140625" style="59" customWidth="1"/>
    <col min="15130" max="15133" width="6.140625" style="59" customWidth="1"/>
    <col min="15134" max="15134" width="8.140625" style="59" customWidth="1"/>
    <col min="15135" max="15138" width="6.140625" style="59" customWidth="1"/>
    <col min="15139" max="15139" width="8.140625" style="59" customWidth="1"/>
    <col min="15140" max="15144" width="0" style="59" hidden="1" customWidth="1"/>
    <col min="15145" max="15145" width="2.28515625" style="59" customWidth="1"/>
    <col min="15146" max="15146" width="37.140625" style="59" customWidth="1"/>
    <col min="15147" max="15147" width="2" style="59" customWidth="1"/>
    <col min="15148" max="15148" width="0.5703125" style="59" customWidth="1"/>
    <col min="15149" max="15149" width="0" style="59" hidden="1" customWidth="1"/>
    <col min="15150" max="15360" width="9.140625" style="59"/>
    <col min="15361" max="15361" width="0.28515625" style="59" customWidth="1"/>
    <col min="15362" max="15362" width="1.7109375" style="59" customWidth="1"/>
    <col min="15363" max="15363" width="1.140625" style="59" customWidth="1"/>
    <col min="15364" max="15364" width="37.140625" style="59" customWidth="1"/>
    <col min="15365" max="15368" width="0" style="59" hidden="1" customWidth="1"/>
    <col min="15369" max="15369" width="8.140625" style="59" customWidth="1"/>
    <col min="15370" max="15374" width="0" style="59" hidden="1" customWidth="1"/>
    <col min="15375" max="15375" width="8.140625" style="59" customWidth="1"/>
    <col min="15376" max="15379" width="0" style="59" hidden="1" customWidth="1"/>
    <col min="15380" max="15380" width="8.140625" style="59" customWidth="1"/>
    <col min="15381" max="15384" width="0" style="59" hidden="1" customWidth="1"/>
    <col min="15385" max="15385" width="8.140625" style="59" customWidth="1"/>
    <col min="15386" max="15389" width="6.140625" style="59" customWidth="1"/>
    <col min="15390" max="15390" width="8.140625" style="59" customWidth="1"/>
    <col min="15391" max="15394" width="6.140625" style="59" customWidth="1"/>
    <col min="15395" max="15395" width="8.140625" style="59" customWidth="1"/>
    <col min="15396" max="15400" width="0" style="59" hidden="1" customWidth="1"/>
    <col min="15401" max="15401" width="2.28515625" style="59" customWidth="1"/>
    <col min="15402" max="15402" width="37.140625" style="59" customWidth="1"/>
    <col min="15403" max="15403" width="2" style="59" customWidth="1"/>
    <col min="15404" max="15404" width="0.5703125" style="59" customWidth="1"/>
    <col min="15405" max="15405" width="0" style="59" hidden="1" customWidth="1"/>
    <col min="15406" max="15616" width="9.140625" style="59"/>
    <col min="15617" max="15617" width="0.28515625" style="59" customWidth="1"/>
    <col min="15618" max="15618" width="1.7109375" style="59" customWidth="1"/>
    <col min="15619" max="15619" width="1.140625" style="59" customWidth="1"/>
    <col min="15620" max="15620" width="37.140625" style="59" customWidth="1"/>
    <col min="15621" max="15624" width="0" style="59" hidden="1" customWidth="1"/>
    <col min="15625" max="15625" width="8.140625" style="59" customWidth="1"/>
    <col min="15626" max="15630" width="0" style="59" hidden="1" customWidth="1"/>
    <col min="15631" max="15631" width="8.140625" style="59" customWidth="1"/>
    <col min="15632" max="15635" width="0" style="59" hidden="1" customWidth="1"/>
    <col min="15636" max="15636" width="8.140625" style="59" customWidth="1"/>
    <col min="15637" max="15640" width="0" style="59" hidden="1" customWidth="1"/>
    <col min="15641" max="15641" width="8.140625" style="59" customWidth="1"/>
    <col min="15642" max="15645" width="6.140625" style="59" customWidth="1"/>
    <col min="15646" max="15646" width="8.140625" style="59" customWidth="1"/>
    <col min="15647" max="15650" width="6.140625" style="59" customWidth="1"/>
    <col min="15651" max="15651" width="8.140625" style="59" customWidth="1"/>
    <col min="15652" max="15656" width="0" style="59" hidden="1" customWidth="1"/>
    <col min="15657" max="15657" width="2.28515625" style="59" customWidth="1"/>
    <col min="15658" max="15658" width="37.140625" style="59" customWidth="1"/>
    <col min="15659" max="15659" width="2" style="59" customWidth="1"/>
    <col min="15660" max="15660" width="0.5703125" style="59" customWidth="1"/>
    <col min="15661" max="15661" width="0" style="59" hidden="1" customWidth="1"/>
    <col min="15662" max="15872" width="9.140625" style="59"/>
    <col min="15873" max="15873" width="0.28515625" style="59" customWidth="1"/>
    <col min="15874" max="15874" width="1.7109375" style="59" customWidth="1"/>
    <col min="15875" max="15875" width="1.140625" style="59" customWidth="1"/>
    <col min="15876" max="15876" width="37.140625" style="59" customWidth="1"/>
    <col min="15877" max="15880" width="0" style="59" hidden="1" customWidth="1"/>
    <col min="15881" max="15881" width="8.140625" style="59" customWidth="1"/>
    <col min="15882" max="15886" width="0" style="59" hidden="1" customWidth="1"/>
    <col min="15887" max="15887" width="8.140625" style="59" customWidth="1"/>
    <col min="15888" max="15891" width="0" style="59" hidden="1" customWidth="1"/>
    <col min="15892" max="15892" width="8.140625" style="59" customWidth="1"/>
    <col min="15893" max="15896" width="0" style="59" hidden="1" customWidth="1"/>
    <col min="15897" max="15897" width="8.140625" style="59" customWidth="1"/>
    <col min="15898" max="15901" width="6.140625" style="59" customWidth="1"/>
    <col min="15902" max="15902" width="8.140625" style="59" customWidth="1"/>
    <col min="15903" max="15906" width="6.140625" style="59" customWidth="1"/>
    <col min="15907" max="15907" width="8.140625" style="59" customWidth="1"/>
    <col min="15908" max="15912" width="0" style="59" hidden="1" customWidth="1"/>
    <col min="15913" max="15913" width="2.28515625" style="59" customWidth="1"/>
    <col min="15914" max="15914" width="37.140625" style="59" customWidth="1"/>
    <col min="15915" max="15915" width="2" style="59" customWidth="1"/>
    <col min="15916" max="15916" width="0.5703125" style="59" customWidth="1"/>
    <col min="15917" max="15917" width="0" style="59" hidden="1" customWidth="1"/>
    <col min="15918" max="16128" width="9.140625" style="59"/>
    <col min="16129" max="16129" width="0.28515625" style="59" customWidth="1"/>
    <col min="16130" max="16130" width="1.7109375" style="59" customWidth="1"/>
    <col min="16131" max="16131" width="1.140625" style="59" customWidth="1"/>
    <col min="16132" max="16132" width="37.140625" style="59" customWidth="1"/>
    <col min="16133" max="16136" width="0" style="59" hidden="1" customWidth="1"/>
    <col min="16137" max="16137" width="8.140625" style="59" customWidth="1"/>
    <col min="16138" max="16142" width="0" style="59" hidden="1" customWidth="1"/>
    <col min="16143" max="16143" width="8.140625" style="59" customWidth="1"/>
    <col min="16144" max="16147" width="0" style="59" hidden="1" customWidth="1"/>
    <col min="16148" max="16148" width="8.140625" style="59" customWidth="1"/>
    <col min="16149" max="16152" width="0" style="59" hidden="1" customWidth="1"/>
    <col min="16153" max="16153" width="8.140625" style="59" customWidth="1"/>
    <col min="16154" max="16157" width="6.140625" style="59" customWidth="1"/>
    <col min="16158" max="16158" width="8.140625" style="59" customWidth="1"/>
    <col min="16159" max="16162" width="6.140625" style="59" customWidth="1"/>
    <col min="16163" max="16163" width="8.140625" style="59" customWidth="1"/>
    <col min="16164" max="16168" width="0" style="59" hidden="1" customWidth="1"/>
    <col min="16169" max="16169" width="2.28515625" style="59" customWidth="1"/>
    <col min="16170" max="16170" width="37.140625" style="59" customWidth="1"/>
    <col min="16171" max="16171" width="2" style="59" customWidth="1"/>
    <col min="16172" max="16172" width="0.5703125" style="59" customWidth="1"/>
    <col min="16173" max="16173" width="0" style="59" hidden="1" customWidth="1"/>
    <col min="16174" max="16384" width="9.140625" style="59"/>
  </cols>
  <sheetData>
    <row r="1" spans="1:44" ht="2.85" customHeight="1" x14ac:dyDescent="0.2"/>
    <row r="2" spans="1:44" ht="10.7" customHeight="1" x14ac:dyDescent="0.2">
      <c r="B2" s="191" t="s">
        <v>676</v>
      </c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</row>
    <row r="3" spans="1:44" ht="1.35" customHeight="1" x14ac:dyDescent="0.2"/>
    <row r="4" spans="1:44" ht="10.7" customHeight="1" x14ac:dyDescent="0.2">
      <c r="B4" s="191" t="s">
        <v>677</v>
      </c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  <c r="AE4" s="60"/>
    </row>
    <row r="5" spans="1:44" ht="2.1" customHeight="1" x14ac:dyDescent="0.2"/>
    <row r="6" spans="1:44" ht="10.7" customHeight="1" x14ac:dyDescent="0.2">
      <c r="B6" s="192" t="s">
        <v>678</v>
      </c>
      <c r="C6" s="171"/>
      <c r="D6" s="171"/>
      <c r="E6" s="171"/>
      <c r="F6" s="171"/>
      <c r="G6" s="171"/>
      <c r="H6" s="171"/>
      <c r="I6" s="171"/>
      <c r="J6" s="171"/>
      <c r="K6" s="171"/>
      <c r="L6" s="171"/>
      <c r="M6" s="171"/>
      <c r="AE6" s="60"/>
    </row>
    <row r="7" spans="1:44" ht="1.9" customHeight="1" x14ac:dyDescent="0.2"/>
    <row r="8" spans="1:44" ht="10.7" customHeight="1" x14ac:dyDescent="0.2">
      <c r="B8" s="192" t="s">
        <v>679</v>
      </c>
      <c r="C8" s="171"/>
      <c r="D8" s="171"/>
      <c r="E8" s="171"/>
      <c r="F8" s="171"/>
      <c r="G8" s="171"/>
      <c r="H8" s="171"/>
      <c r="I8" s="171"/>
      <c r="J8" s="171"/>
      <c r="K8" s="171"/>
      <c r="L8" s="171"/>
      <c r="M8" s="171"/>
    </row>
    <row r="9" spans="1:44" ht="12.6" customHeight="1" x14ac:dyDescent="0.2"/>
    <row r="10" spans="1:44" x14ac:dyDescent="0.2">
      <c r="A10" s="193"/>
      <c r="B10" s="187"/>
      <c r="C10" s="193"/>
      <c r="D10" s="193" t="s">
        <v>680</v>
      </c>
      <c r="E10" s="190">
        <v>2004</v>
      </c>
      <c r="F10" s="187"/>
      <c r="G10" s="187"/>
      <c r="H10" s="187"/>
      <c r="I10" s="187"/>
      <c r="J10" s="190">
        <v>2005</v>
      </c>
      <c r="K10" s="187"/>
      <c r="L10" s="187"/>
      <c r="M10" s="187"/>
      <c r="N10" s="187"/>
      <c r="O10" s="187"/>
      <c r="P10" s="190">
        <v>2006</v>
      </c>
      <c r="Q10" s="187"/>
      <c r="R10" s="187"/>
      <c r="S10" s="187"/>
      <c r="T10" s="187"/>
      <c r="U10" s="190">
        <v>2007</v>
      </c>
      <c r="V10" s="187"/>
      <c r="W10" s="187"/>
      <c r="X10" s="187"/>
      <c r="Y10" s="187"/>
      <c r="Z10" s="190">
        <v>2008</v>
      </c>
      <c r="AA10" s="187"/>
      <c r="AB10" s="187"/>
      <c r="AC10" s="187"/>
      <c r="AD10" s="187"/>
      <c r="AE10" s="61"/>
      <c r="AF10" s="62"/>
      <c r="AG10" s="62"/>
      <c r="AH10" s="62"/>
      <c r="AI10" s="63">
        <v>2009</v>
      </c>
      <c r="AJ10" s="190">
        <v>2010</v>
      </c>
      <c r="AK10" s="187"/>
      <c r="AL10" s="187"/>
      <c r="AM10" s="187"/>
      <c r="AN10" s="187"/>
      <c r="AO10" s="190"/>
      <c r="AP10" s="184" t="s">
        <v>681</v>
      </c>
      <c r="AQ10" s="184"/>
      <c r="AR10" s="184"/>
    </row>
    <row r="11" spans="1:44" x14ac:dyDescent="0.2">
      <c r="A11" s="171"/>
      <c r="B11" s="171"/>
      <c r="C11" s="171"/>
      <c r="D11" s="171"/>
      <c r="E11" s="64" t="s">
        <v>682</v>
      </c>
      <c r="F11" s="64" t="s">
        <v>683</v>
      </c>
      <c r="G11" s="64" t="s">
        <v>684</v>
      </c>
      <c r="H11" s="64" t="s">
        <v>685</v>
      </c>
      <c r="I11" s="64"/>
      <c r="J11" s="64" t="s">
        <v>682</v>
      </c>
      <c r="K11" s="64" t="s">
        <v>683</v>
      </c>
      <c r="L11" s="64" t="s">
        <v>684</v>
      </c>
      <c r="M11" s="185" t="s">
        <v>685</v>
      </c>
      <c r="N11" s="171"/>
      <c r="O11" s="64"/>
      <c r="P11" s="64" t="s">
        <v>682</v>
      </c>
      <c r="Q11" s="64" t="s">
        <v>683</v>
      </c>
      <c r="R11" s="64" t="s">
        <v>684</v>
      </c>
      <c r="S11" s="64" t="s">
        <v>685</v>
      </c>
      <c r="T11" s="64"/>
      <c r="U11" s="64" t="s">
        <v>682</v>
      </c>
      <c r="V11" s="64" t="s">
        <v>683</v>
      </c>
      <c r="W11" s="64" t="s">
        <v>684</v>
      </c>
      <c r="X11" s="64" t="s">
        <v>685</v>
      </c>
      <c r="Y11" s="64"/>
      <c r="Z11" s="64" t="s">
        <v>682</v>
      </c>
      <c r="AA11" s="64" t="s">
        <v>683</v>
      </c>
      <c r="AB11" s="64" t="s">
        <v>684</v>
      </c>
      <c r="AC11" s="64" t="s">
        <v>685</v>
      </c>
      <c r="AD11" s="64"/>
      <c r="AE11" s="64" t="s">
        <v>682</v>
      </c>
      <c r="AF11" s="64" t="s">
        <v>683</v>
      </c>
      <c r="AG11" s="64" t="s">
        <v>684</v>
      </c>
      <c r="AH11" s="64" t="s">
        <v>685</v>
      </c>
      <c r="AI11" s="64"/>
      <c r="AJ11" s="64" t="s">
        <v>682</v>
      </c>
      <c r="AK11" s="64" t="s">
        <v>683</v>
      </c>
      <c r="AL11" s="64" t="s">
        <v>684</v>
      </c>
      <c r="AM11" s="64" t="s">
        <v>685</v>
      </c>
      <c r="AN11" s="64"/>
      <c r="AO11" s="171"/>
      <c r="AP11" s="171"/>
      <c r="AQ11" s="171"/>
      <c r="AR11" s="171"/>
    </row>
    <row r="12" spans="1:44" x14ac:dyDescent="0.2">
      <c r="A12" s="186">
        <v>1</v>
      </c>
      <c r="B12" s="187"/>
      <c r="C12" s="65"/>
      <c r="D12" s="66" t="s">
        <v>686</v>
      </c>
      <c r="E12" s="67">
        <v>-1992.11</v>
      </c>
      <c r="F12" s="67">
        <v>972.96</v>
      </c>
      <c r="G12" s="67">
        <v>2038.34</v>
      </c>
      <c r="H12" s="67">
        <v>544.01</v>
      </c>
      <c r="I12" s="67">
        <v>1563.2</v>
      </c>
      <c r="J12" s="67">
        <v>208.85</v>
      </c>
      <c r="K12" s="67">
        <v>436.46</v>
      </c>
      <c r="L12" s="67">
        <v>-1164.8499999999999</v>
      </c>
      <c r="M12" s="188">
        <v>797.1</v>
      </c>
      <c r="N12" s="189"/>
      <c r="O12" s="67">
        <v>277.55</v>
      </c>
      <c r="P12" s="67">
        <v>2949.17</v>
      </c>
      <c r="Q12" s="67">
        <v>1958.9</v>
      </c>
      <c r="R12" s="67">
        <v>3794.89</v>
      </c>
      <c r="S12" s="67">
        <v>2156.52</v>
      </c>
      <c r="T12" s="67">
        <v>10859.49</v>
      </c>
      <c r="U12" s="67">
        <v>2638.45</v>
      </c>
      <c r="V12" s="67">
        <v>2270.46</v>
      </c>
      <c r="W12" s="67">
        <v>2143.7199999999998</v>
      </c>
      <c r="X12" s="67">
        <v>3438.39</v>
      </c>
      <c r="Y12" s="67">
        <v>10491.02</v>
      </c>
      <c r="Z12" s="67">
        <v>2741.94</v>
      </c>
      <c r="AA12" s="67">
        <v>-1012.92</v>
      </c>
      <c r="AB12" s="67">
        <v>-966.54</v>
      </c>
      <c r="AC12" s="67">
        <v>-636.89</v>
      </c>
      <c r="AD12" s="67">
        <v>125.58</v>
      </c>
      <c r="AE12" s="67">
        <v>2689.6</v>
      </c>
      <c r="AF12" s="67">
        <v>2376.85</v>
      </c>
      <c r="AG12" s="67">
        <v>1780.87</v>
      </c>
      <c r="AH12" s="67">
        <v>3781.17</v>
      </c>
      <c r="AI12" s="67">
        <v>10628.49</v>
      </c>
      <c r="AJ12" s="67">
        <v>1890.52</v>
      </c>
      <c r="AK12" s="67">
        <v>1341.57</v>
      </c>
      <c r="AL12" s="67">
        <v>1042.6300000000001</v>
      </c>
      <c r="AM12" s="67">
        <v>869.57</v>
      </c>
      <c r="AN12" s="67">
        <v>5144.29</v>
      </c>
      <c r="AO12" s="68"/>
      <c r="AP12" s="69" t="s">
        <v>687</v>
      </c>
      <c r="AQ12" s="70">
        <v>1</v>
      </c>
      <c r="AR12" s="70"/>
    </row>
    <row r="13" spans="1:44" x14ac:dyDescent="0.2">
      <c r="A13" s="170">
        <v>2</v>
      </c>
      <c r="B13" s="171"/>
      <c r="C13" s="71"/>
      <c r="D13" s="72" t="s">
        <v>688</v>
      </c>
      <c r="E13" s="73">
        <v>2904.58</v>
      </c>
      <c r="F13" s="73">
        <v>5251.37</v>
      </c>
      <c r="G13" s="73">
        <v>5720.69</v>
      </c>
      <c r="H13" s="73">
        <v>5287.18</v>
      </c>
      <c r="I13" s="73">
        <v>19163.82</v>
      </c>
      <c r="J13" s="73">
        <v>3599.64</v>
      </c>
      <c r="K13" s="73">
        <v>3888.31</v>
      </c>
      <c r="L13" s="73">
        <v>3408.69</v>
      </c>
      <c r="M13" s="180">
        <v>6293.42</v>
      </c>
      <c r="N13" s="181"/>
      <c r="O13" s="73">
        <v>17190.060000000001</v>
      </c>
      <c r="P13" s="73">
        <v>7711.14</v>
      </c>
      <c r="Q13" s="73">
        <v>7542.36</v>
      </c>
      <c r="R13" s="73">
        <v>8553.9500000000007</v>
      </c>
      <c r="S13" s="73">
        <v>7772.7</v>
      </c>
      <c r="T13" s="73">
        <v>31580.15</v>
      </c>
      <c r="U13" s="73">
        <v>7792.25</v>
      </c>
      <c r="V13" s="73">
        <v>8449.2999999999993</v>
      </c>
      <c r="W13" s="73">
        <v>7840.1</v>
      </c>
      <c r="X13" s="73">
        <v>9778.67</v>
      </c>
      <c r="Y13" s="73">
        <v>33860.32</v>
      </c>
      <c r="Z13" s="73">
        <v>8170.05</v>
      </c>
      <c r="AA13" s="73">
        <v>5810.54</v>
      </c>
      <c r="AB13" s="73">
        <v>6077.3</v>
      </c>
      <c r="AC13" s="73">
        <v>4522.3100000000004</v>
      </c>
      <c r="AD13" s="73">
        <v>24580.2</v>
      </c>
      <c r="AE13" s="73">
        <v>6582.04</v>
      </c>
      <c r="AF13" s="73">
        <v>7509.04</v>
      </c>
      <c r="AG13" s="73">
        <v>7595.16</v>
      </c>
      <c r="AH13" s="73">
        <v>10580.5</v>
      </c>
      <c r="AI13" s="73">
        <v>32266.74</v>
      </c>
      <c r="AJ13" s="73">
        <v>7297.5</v>
      </c>
      <c r="AK13" s="73">
        <v>6732.9</v>
      </c>
      <c r="AL13" s="73">
        <v>7718.73</v>
      </c>
      <c r="AM13" s="73">
        <v>9253.52</v>
      </c>
      <c r="AN13" s="73">
        <v>31002.66</v>
      </c>
      <c r="AO13" s="74"/>
      <c r="AP13" s="75" t="s">
        <v>689</v>
      </c>
      <c r="AQ13" s="76">
        <v>2</v>
      </c>
      <c r="AR13" s="76"/>
    </row>
    <row r="14" spans="1:44" x14ac:dyDescent="0.2">
      <c r="A14" s="170">
        <v>3</v>
      </c>
      <c r="B14" s="171"/>
      <c r="C14" s="71"/>
      <c r="D14" s="77" t="s">
        <v>690</v>
      </c>
      <c r="E14" s="73">
        <v>13667.02</v>
      </c>
      <c r="F14" s="73">
        <v>16389.41</v>
      </c>
      <c r="G14" s="73">
        <v>17886.150000000001</v>
      </c>
      <c r="H14" s="73">
        <v>18141.150000000001</v>
      </c>
      <c r="I14" s="73">
        <v>66083.73</v>
      </c>
      <c r="J14" s="73">
        <v>18876.97</v>
      </c>
      <c r="K14" s="73">
        <v>20210.060000000001</v>
      </c>
      <c r="L14" s="73">
        <v>20719</v>
      </c>
      <c r="M14" s="180">
        <v>21876.36</v>
      </c>
      <c r="N14" s="181"/>
      <c r="O14" s="73">
        <v>81682.38</v>
      </c>
      <c r="P14" s="73">
        <v>21989.87</v>
      </c>
      <c r="Q14" s="73">
        <v>24337.72</v>
      </c>
      <c r="R14" s="73">
        <v>26261.34</v>
      </c>
      <c r="S14" s="73">
        <v>25662.07</v>
      </c>
      <c r="T14" s="73">
        <v>98251</v>
      </c>
      <c r="U14" s="73">
        <v>24931.29</v>
      </c>
      <c r="V14" s="73">
        <v>27649.919999999998</v>
      </c>
      <c r="W14" s="73">
        <v>28425.23</v>
      </c>
      <c r="X14" s="73">
        <v>30296.25</v>
      </c>
      <c r="Y14" s="73">
        <v>111302.69</v>
      </c>
      <c r="Z14" s="73">
        <v>32761.95</v>
      </c>
      <c r="AA14" s="73">
        <v>35432.910000000003</v>
      </c>
      <c r="AB14" s="73">
        <v>35998.21</v>
      </c>
      <c r="AC14" s="73">
        <v>28032.43</v>
      </c>
      <c r="AD14" s="73">
        <v>132225.5</v>
      </c>
      <c r="AE14" s="73">
        <v>22882.98</v>
      </c>
      <c r="AF14" s="73">
        <v>26427.99</v>
      </c>
      <c r="AG14" s="73">
        <v>29748.04</v>
      </c>
      <c r="AH14" s="73">
        <v>34207.42</v>
      </c>
      <c r="AI14" s="73">
        <v>113266.44</v>
      </c>
      <c r="AJ14" s="73">
        <v>33169.64</v>
      </c>
      <c r="AK14" s="73">
        <v>35461.089999999997</v>
      </c>
      <c r="AL14" s="73">
        <v>37613.53</v>
      </c>
      <c r="AM14" s="73">
        <v>43721.59</v>
      </c>
      <c r="AN14" s="73">
        <v>149965.84</v>
      </c>
      <c r="AO14" s="74"/>
      <c r="AP14" s="78" t="s">
        <v>691</v>
      </c>
      <c r="AQ14" s="76">
        <v>3</v>
      </c>
      <c r="AR14" s="76"/>
    </row>
    <row r="15" spans="1:44" x14ac:dyDescent="0.2">
      <c r="A15" s="170">
        <v>4</v>
      </c>
      <c r="B15" s="171"/>
      <c r="C15" s="71"/>
      <c r="D15" s="77" t="s">
        <v>692</v>
      </c>
      <c r="E15" s="73">
        <v>-10762.44</v>
      </c>
      <c r="F15" s="73">
        <v>-11138.04</v>
      </c>
      <c r="G15" s="73">
        <v>-12165.46</v>
      </c>
      <c r="H15" s="73">
        <v>-12853.97</v>
      </c>
      <c r="I15" s="73">
        <v>-46919.91</v>
      </c>
      <c r="J15" s="73">
        <v>-15277.33</v>
      </c>
      <c r="K15" s="73">
        <v>-16321.76</v>
      </c>
      <c r="L15" s="73">
        <v>-17310.3</v>
      </c>
      <c r="M15" s="180">
        <v>-15582.93</v>
      </c>
      <c r="N15" s="181"/>
      <c r="O15" s="73">
        <v>-64492.32</v>
      </c>
      <c r="P15" s="73">
        <v>-14278.73</v>
      </c>
      <c r="Q15" s="73">
        <v>-16795.36</v>
      </c>
      <c r="R15" s="73">
        <v>-17707.39</v>
      </c>
      <c r="S15" s="73">
        <v>-17889.38</v>
      </c>
      <c r="T15" s="73">
        <v>-66670.850000000006</v>
      </c>
      <c r="U15" s="73">
        <v>-17139.04</v>
      </c>
      <c r="V15" s="73">
        <v>-19200.63</v>
      </c>
      <c r="W15" s="73">
        <v>-20585.13</v>
      </c>
      <c r="X15" s="73">
        <v>-20517.580000000002</v>
      </c>
      <c r="Y15" s="73">
        <v>-77442.37</v>
      </c>
      <c r="Z15" s="73">
        <v>-24591.9</v>
      </c>
      <c r="AA15" s="73">
        <v>-29622.37</v>
      </c>
      <c r="AB15" s="73">
        <v>-29920.91</v>
      </c>
      <c r="AC15" s="73">
        <v>-23510.12</v>
      </c>
      <c r="AD15" s="73">
        <v>-107645.3</v>
      </c>
      <c r="AE15" s="73">
        <v>-16300.94</v>
      </c>
      <c r="AF15" s="73">
        <v>-18918.96</v>
      </c>
      <c r="AG15" s="73">
        <v>-22152.880000000001</v>
      </c>
      <c r="AH15" s="73">
        <v>-23626.92</v>
      </c>
      <c r="AI15" s="73">
        <v>-80999.69</v>
      </c>
      <c r="AJ15" s="73">
        <v>-25872.13</v>
      </c>
      <c r="AK15" s="73">
        <v>-28728.18</v>
      </c>
      <c r="AL15" s="73">
        <v>-29894.799999999999</v>
      </c>
      <c r="AM15" s="73">
        <v>-34468.07</v>
      </c>
      <c r="AN15" s="73">
        <v>-118963.18</v>
      </c>
      <c r="AO15" s="74"/>
      <c r="AP15" s="78" t="s">
        <v>693</v>
      </c>
      <c r="AQ15" s="76">
        <v>4</v>
      </c>
      <c r="AR15" s="76"/>
    </row>
    <row r="16" spans="1:44" x14ac:dyDescent="0.2">
      <c r="A16" s="170">
        <v>5</v>
      </c>
      <c r="B16" s="171"/>
      <c r="C16" s="71"/>
      <c r="D16" s="77" t="s">
        <v>694</v>
      </c>
      <c r="E16" s="73">
        <v>2832.28</v>
      </c>
      <c r="F16" s="73">
        <v>5205.17</v>
      </c>
      <c r="G16" s="73">
        <v>5658.19</v>
      </c>
      <c r="H16" s="73">
        <v>5239.4799999999996</v>
      </c>
      <c r="I16" s="73">
        <v>18935.12</v>
      </c>
      <c r="J16" s="73">
        <v>3523.25</v>
      </c>
      <c r="K16" s="73">
        <v>3844.59</v>
      </c>
      <c r="L16" s="73">
        <v>3364.26</v>
      </c>
      <c r="M16" s="180">
        <v>6221.55</v>
      </c>
      <c r="N16" s="181"/>
      <c r="O16" s="73">
        <v>16953.650000000001</v>
      </c>
      <c r="P16" s="73">
        <v>7573.08</v>
      </c>
      <c r="Q16" s="73">
        <v>7371.17</v>
      </c>
      <c r="R16" s="73">
        <v>8435.9599999999991</v>
      </c>
      <c r="S16" s="73">
        <v>7661.79</v>
      </c>
      <c r="T16" s="73">
        <v>31042</v>
      </c>
      <c r="U16" s="73">
        <v>7600</v>
      </c>
      <c r="V16" s="73">
        <v>8292.93</v>
      </c>
      <c r="W16" s="73">
        <v>7630.58</v>
      </c>
      <c r="X16" s="73">
        <v>9635.51</v>
      </c>
      <c r="Y16" s="73">
        <v>33159.01</v>
      </c>
      <c r="Z16" s="73">
        <v>7889.22</v>
      </c>
      <c r="AA16" s="73">
        <v>5697.64</v>
      </c>
      <c r="AB16" s="73">
        <v>5857.51</v>
      </c>
      <c r="AC16" s="73">
        <v>4308.21</v>
      </c>
      <c r="AD16" s="73">
        <v>23752.57</v>
      </c>
      <c r="AE16" s="73">
        <v>6227.92</v>
      </c>
      <c r="AF16" s="73">
        <v>7374.2</v>
      </c>
      <c r="AG16" s="73">
        <v>7461.58</v>
      </c>
      <c r="AH16" s="73">
        <v>10371.01</v>
      </c>
      <c r="AI16" s="73">
        <v>31434.7</v>
      </c>
      <c r="AJ16" s="73">
        <v>7120.68</v>
      </c>
      <c r="AK16" s="73">
        <v>6319.6</v>
      </c>
      <c r="AL16" s="73">
        <v>7541.22</v>
      </c>
      <c r="AM16" s="73">
        <v>9001.14</v>
      </c>
      <c r="AN16" s="73">
        <v>29982.639999999999</v>
      </c>
      <c r="AO16" s="74"/>
      <c r="AP16" s="78" t="s">
        <v>695</v>
      </c>
      <c r="AQ16" s="76">
        <v>5</v>
      </c>
      <c r="AR16" s="76"/>
    </row>
    <row r="17" spans="1:44" x14ac:dyDescent="0.2">
      <c r="A17" s="170">
        <v>6</v>
      </c>
      <c r="B17" s="171"/>
      <c r="C17" s="71"/>
      <c r="D17" s="79" t="s">
        <v>696</v>
      </c>
      <c r="E17" s="73">
        <v>13594.72</v>
      </c>
      <c r="F17" s="73">
        <v>16343.21</v>
      </c>
      <c r="G17" s="73">
        <v>17823.650000000001</v>
      </c>
      <c r="H17" s="73">
        <v>18093.45</v>
      </c>
      <c r="I17" s="73">
        <v>65855.03</v>
      </c>
      <c r="J17" s="73">
        <v>18800.580000000002</v>
      </c>
      <c r="K17" s="73">
        <v>20166.34</v>
      </c>
      <c r="L17" s="73">
        <v>20674.57</v>
      </c>
      <c r="M17" s="180">
        <v>21804.48</v>
      </c>
      <c r="N17" s="181"/>
      <c r="O17" s="73">
        <v>81445.97</v>
      </c>
      <c r="P17" s="73">
        <v>21851.8</v>
      </c>
      <c r="Q17" s="73">
        <v>24166.53</v>
      </c>
      <c r="R17" s="73">
        <v>26143.35</v>
      </c>
      <c r="S17" s="73">
        <v>25551.17</v>
      </c>
      <c r="T17" s="73">
        <v>97712.85</v>
      </c>
      <c r="U17" s="73">
        <v>24739.040000000001</v>
      </c>
      <c r="V17" s="73">
        <v>27493.55</v>
      </c>
      <c r="W17" s="73">
        <v>28215.71</v>
      </c>
      <c r="X17" s="73">
        <v>30153.08</v>
      </c>
      <c r="Y17" s="73">
        <v>110601.38</v>
      </c>
      <c r="Z17" s="73">
        <v>32481.11</v>
      </c>
      <c r="AA17" s="73">
        <v>35313.83</v>
      </c>
      <c r="AB17" s="73">
        <v>35769.14</v>
      </c>
      <c r="AC17" s="73">
        <v>27811.27</v>
      </c>
      <c r="AD17" s="73">
        <v>131375.35</v>
      </c>
      <c r="AE17" s="73">
        <v>22524.73</v>
      </c>
      <c r="AF17" s="73">
        <v>26288.31</v>
      </c>
      <c r="AG17" s="73">
        <v>29609.11</v>
      </c>
      <c r="AH17" s="73">
        <v>33990.39</v>
      </c>
      <c r="AI17" s="73">
        <v>112412.54</v>
      </c>
      <c r="AJ17" s="73">
        <v>32979.57</v>
      </c>
      <c r="AK17" s="73">
        <v>35031.01</v>
      </c>
      <c r="AL17" s="73">
        <v>37412.949999999997</v>
      </c>
      <c r="AM17" s="73">
        <v>43442.94</v>
      </c>
      <c r="AN17" s="73">
        <v>148866.47</v>
      </c>
      <c r="AO17" s="74"/>
      <c r="AP17" s="80" t="s">
        <v>697</v>
      </c>
      <c r="AQ17" s="76">
        <v>6</v>
      </c>
      <c r="AR17" s="76"/>
    </row>
    <row r="18" spans="1:44" x14ac:dyDescent="0.2">
      <c r="A18" s="170">
        <v>7</v>
      </c>
      <c r="B18" s="171"/>
      <c r="C18" s="71"/>
      <c r="D18" s="79" t="s">
        <v>698</v>
      </c>
      <c r="E18" s="73">
        <v>-10762.44</v>
      </c>
      <c r="F18" s="73">
        <v>-11138.04</v>
      </c>
      <c r="G18" s="73">
        <v>-12165.46</v>
      </c>
      <c r="H18" s="73">
        <v>-12853.97</v>
      </c>
      <c r="I18" s="73">
        <v>-46919.91</v>
      </c>
      <c r="J18" s="73">
        <v>-15277.33</v>
      </c>
      <c r="K18" s="73">
        <v>-16321.76</v>
      </c>
      <c r="L18" s="73">
        <v>-17310.3</v>
      </c>
      <c r="M18" s="180">
        <v>-15582.93</v>
      </c>
      <c r="N18" s="181"/>
      <c r="O18" s="73">
        <v>-64492.32</v>
      </c>
      <c r="P18" s="73">
        <v>-14278.73</v>
      </c>
      <c r="Q18" s="73">
        <v>-16795.36</v>
      </c>
      <c r="R18" s="73">
        <v>-17707.39</v>
      </c>
      <c r="S18" s="73">
        <v>-17889.38</v>
      </c>
      <c r="T18" s="73">
        <v>-66670.850000000006</v>
      </c>
      <c r="U18" s="73">
        <v>-17139.04</v>
      </c>
      <c r="V18" s="73">
        <v>-19200.63</v>
      </c>
      <c r="W18" s="73">
        <v>-20585.13</v>
      </c>
      <c r="X18" s="73">
        <v>-20517.580000000002</v>
      </c>
      <c r="Y18" s="73">
        <v>-77442.37</v>
      </c>
      <c r="Z18" s="73">
        <v>-24591.9</v>
      </c>
      <c r="AA18" s="73">
        <v>-29616.19</v>
      </c>
      <c r="AB18" s="73">
        <v>-29911.63</v>
      </c>
      <c r="AC18" s="73">
        <v>-23503.06</v>
      </c>
      <c r="AD18" s="73">
        <v>-107622.78</v>
      </c>
      <c r="AE18" s="73">
        <v>-16296.81</v>
      </c>
      <c r="AF18" s="73">
        <v>-18914.12</v>
      </c>
      <c r="AG18" s="73">
        <v>-22147.53</v>
      </c>
      <c r="AH18" s="73">
        <v>-23619.38</v>
      </c>
      <c r="AI18" s="73">
        <v>-80977.84</v>
      </c>
      <c r="AJ18" s="73">
        <v>-25858.89</v>
      </c>
      <c r="AK18" s="73">
        <v>-28711.41</v>
      </c>
      <c r="AL18" s="73">
        <v>-29871.73</v>
      </c>
      <c r="AM18" s="73">
        <v>-34441.800000000003</v>
      </c>
      <c r="AN18" s="73">
        <v>-118883.83</v>
      </c>
      <c r="AO18" s="74"/>
      <c r="AP18" s="80" t="s">
        <v>699</v>
      </c>
      <c r="AQ18" s="76">
        <v>7</v>
      </c>
      <c r="AR18" s="76"/>
    </row>
    <row r="19" spans="1:44" x14ac:dyDescent="0.2">
      <c r="A19" s="170">
        <v>8</v>
      </c>
      <c r="B19" s="171"/>
      <c r="C19" s="71"/>
      <c r="D19" s="79" t="s">
        <v>700</v>
      </c>
      <c r="E19" s="73">
        <v>1578.42</v>
      </c>
      <c r="F19" s="73">
        <v>3700.19</v>
      </c>
      <c r="G19" s="73">
        <v>4587.3599999999997</v>
      </c>
      <c r="H19" s="73">
        <v>3943.3</v>
      </c>
      <c r="I19" s="73">
        <v>13809.28</v>
      </c>
      <c r="J19" s="73">
        <v>2552.7199999999998</v>
      </c>
      <c r="K19" s="73">
        <v>2860.15</v>
      </c>
      <c r="L19" s="73">
        <v>3013.55</v>
      </c>
      <c r="M19" s="180">
        <v>4314.8900000000003</v>
      </c>
      <c r="N19" s="181"/>
      <c r="O19" s="73">
        <v>12741.3</v>
      </c>
      <c r="P19" s="73">
        <v>5081.83</v>
      </c>
      <c r="Q19" s="73">
        <v>6129.28</v>
      </c>
      <c r="R19" s="73">
        <v>7107.69</v>
      </c>
      <c r="S19" s="73">
        <v>5938.23</v>
      </c>
      <c r="T19" s="73">
        <v>24257.03</v>
      </c>
      <c r="U19" s="73">
        <v>6449.26</v>
      </c>
      <c r="V19" s="73">
        <v>7179.58</v>
      </c>
      <c r="W19" s="73">
        <v>6360.59</v>
      </c>
      <c r="X19" s="73">
        <v>7500.65</v>
      </c>
      <c r="Y19" s="73">
        <v>27490.080000000002</v>
      </c>
      <c r="Z19" s="73">
        <v>5413.27</v>
      </c>
      <c r="AA19" s="73">
        <v>4408.3500000000004</v>
      </c>
      <c r="AB19" s="73">
        <v>3838.06</v>
      </c>
      <c r="AC19" s="73">
        <v>2307.21</v>
      </c>
      <c r="AD19" s="73">
        <v>15966.89</v>
      </c>
      <c r="AE19" s="73">
        <v>5058.59</v>
      </c>
      <c r="AF19" s="73">
        <v>5913.99</v>
      </c>
      <c r="AG19" s="73">
        <v>6812.64</v>
      </c>
      <c r="AH19" s="73">
        <v>8277.8799999999992</v>
      </c>
      <c r="AI19" s="73">
        <v>26063.09</v>
      </c>
      <c r="AJ19" s="73">
        <v>5978.48</v>
      </c>
      <c r="AK19" s="73">
        <v>5352.91</v>
      </c>
      <c r="AL19" s="73">
        <v>6552.72</v>
      </c>
      <c r="AM19" s="73">
        <v>8866.16</v>
      </c>
      <c r="AN19" s="73">
        <v>26750.27</v>
      </c>
      <c r="AO19" s="74"/>
      <c r="AP19" s="80" t="s">
        <v>701</v>
      </c>
      <c r="AQ19" s="76">
        <v>8</v>
      </c>
      <c r="AR19" s="76"/>
    </row>
    <row r="20" spans="1:44" x14ac:dyDescent="0.2">
      <c r="A20" s="170">
        <v>9</v>
      </c>
      <c r="B20" s="171"/>
      <c r="C20" s="71"/>
      <c r="D20" s="81" t="s">
        <v>696</v>
      </c>
      <c r="E20" s="73">
        <v>9930.6</v>
      </c>
      <c r="F20" s="73">
        <v>12410.4</v>
      </c>
      <c r="G20" s="73">
        <v>13632</v>
      </c>
      <c r="H20" s="73">
        <v>13597.3</v>
      </c>
      <c r="I20" s="73">
        <v>49570.3</v>
      </c>
      <c r="J20" s="73">
        <v>14181.16</v>
      </c>
      <c r="K20" s="73">
        <v>15513.46</v>
      </c>
      <c r="L20" s="73">
        <v>15287.25</v>
      </c>
      <c r="M20" s="180">
        <v>16221.27</v>
      </c>
      <c r="N20" s="181"/>
      <c r="O20" s="73">
        <v>61203.15</v>
      </c>
      <c r="P20" s="73">
        <v>16341.06</v>
      </c>
      <c r="Q20" s="73">
        <v>18243.05</v>
      </c>
      <c r="R20" s="73">
        <v>20160.32</v>
      </c>
      <c r="S20" s="73">
        <v>20018.41</v>
      </c>
      <c r="T20" s="73">
        <v>74762.84</v>
      </c>
      <c r="U20" s="73">
        <v>19794.900000000001</v>
      </c>
      <c r="V20" s="73">
        <v>21747.61</v>
      </c>
      <c r="W20" s="73">
        <v>21735.85</v>
      </c>
      <c r="X20" s="73">
        <v>22451</v>
      </c>
      <c r="Y20" s="73">
        <v>85729.36</v>
      </c>
      <c r="Z20" s="73">
        <v>24473.72</v>
      </c>
      <c r="AA20" s="73">
        <v>25847.84</v>
      </c>
      <c r="AB20" s="73">
        <v>26484.9</v>
      </c>
      <c r="AC20" s="73">
        <v>22848.28</v>
      </c>
      <c r="AD20" s="73">
        <v>99654.73</v>
      </c>
      <c r="AE20" s="73">
        <v>18859.8</v>
      </c>
      <c r="AF20" s="73">
        <v>21881.8</v>
      </c>
      <c r="AG20" s="73">
        <v>23923.07</v>
      </c>
      <c r="AH20" s="73">
        <v>27131.69</v>
      </c>
      <c r="AI20" s="73">
        <v>91796.37</v>
      </c>
      <c r="AJ20" s="73">
        <v>26402.25</v>
      </c>
      <c r="AK20" s="73">
        <v>27884.74</v>
      </c>
      <c r="AL20" s="73">
        <v>30463.19</v>
      </c>
      <c r="AM20" s="73">
        <v>35457.82</v>
      </c>
      <c r="AN20" s="73">
        <v>120208.01</v>
      </c>
      <c r="AO20" s="74"/>
      <c r="AP20" s="82" t="s">
        <v>697</v>
      </c>
      <c r="AQ20" s="76">
        <v>9</v>
      </c>
      <c r="AR20" s="76"/>
    </row>
    <row r="21" spans="1:44" x14ac:dyDescent="0.2">
      <c r="A21" s="170">
        <v>10</v>
      </c>
      <c r="B21" s="171"/>
      <c r="C21" s="71"/>
      <c r="D21" s="81" t="s">
        <v>698</v>
      </c>
      <c r="E21" s="73">
        <v>-8352.18</v>
      </c>
      <c r="F21" s="73">
        <v>-8710.2099999999991</v>
      </c>
      <c r="G21" s="73">
        <v>-9044.64</v>
      </c>
      <c r="H21" s="73">
        <v>-9654</v>
      </c>
      <c r="I21" s="73">
        <v>-35761.019999999997</v>
      </c>
      <c r="J21" s="73">
        <v>-11628.45</v>
      </c>
      <c r="K21" s="73">
        <v>-12653.32</v>
      </c>
      <c r="L21" s="73">
        <v>-12273.7</v>
      </c>
      <c r="M21" s="180">
        <v>-11906.38</v>
      </c>
      <c r="N21" s="181"/>
      <c r="O21" s="73">
        <v>-48461.85</v>
      </c>
      <c r="P21" s="73">
        <v>-11259.23</v>
      </c>
      <c r="Q21" s="73">
        <v>-12113.78</v>
      </c>
      <c r="R21" s="73">
        <v>-13052.63</v>
      </c>
      <c r="S21" s="73">
        <v>-14080.18</v>
      </c>
      <c r="T21" s="73">
        <v>-50505.81</v>
      </c>
      <c r="U21" s="73">
        <v>-13345.64</v>
      </c>
      <c r="V21" s="73">
        <v>-14568.02</v>
      </c>
      <c r="W21" s="73">
        <v>-15375.26</v>
      </c>
      <c r="X21" s="73">
        <v>-14950.35</v>
      </c>
      <c r="Y21" s="73">
        <v>-58239.27</v>
      </c>
      <c r="Z21" s="73">
        <v>-19060.45</v>
      </c>
      <c r="AA21" s="73">
        <v>-21439.49</v>
      </c>
      <c r="AB21" s="73">
        <v>-22646.84</v>
      </c>
      <c r="AC21" s="73">
        <v>-20541.07</v>
      </c>
      <c r="AD21" s="73">
        <v>-83687.839999999997</v>
      </c>
      <c r="AE21" s="73">
        <v>-13801.21</v>
      </c>
      <c r="AF21" s="73">
        <v>-15967.81</v>
      </c>
      <c r="AG21" s="73">
        <v>-17110.439999999999</v>
      </c>
      <c r="AH21" s="73">
        <v>-18853.810000000001</v>
      </c>
      <c r="AI21" s="73">
        <v>-65733.279999999999</v>
      </c>
      <c r="AJ21" s="73">
        <v>-20423.77</v>
      </c>
      <c r="AK21" s="73">
        <v>-22531.84</v>
      </c>
      <c r="AL21" s="73">
        <v>-23910.47</v>
      </c>
      <c r="AM21" s="73">
        <v>-26591.66</v>
      </c>
      <c r="AN21" s="73">
        <v>-93457.74</v>
      </c>
      <c r="AO21" s="74"/>
      <c r="AP21" s="82" t="s">
        <v>699</v>
      </c>
      <c r="AQ21" s="76">
        <v>10</v>
      </c>
      <c r="AR21" s="76"/>
    </row>
    <row r="22" spans="1:44" x14ac:dyDescent="0.2">
      <c r="A22" s="170">
        <v>11</v>
      </c>
      <c r="B22" s="171"/>
      <c r="C22" s="71"/>
      <c r="D22" s="79" t="s">
        <v>702</v>
      </c>
      <c r="E22" s="73">
        <v>1253.8599999999999</v>
      </c>
      <c r="F22" s="73">
        <v>1504.98</v>
      </c>
      <c r="G22" s="73">
        <v>1070.83</v>
      </c>
      <c r="H22" s="73">
        <v>1296.18</v>
      </c>
      <c r="I22" s="73">
        <v>5125.84</v>
      </c>
      <c r="J22" s="73">
        <v>970.54</v>
      </c>
      <c r="K22" s="73">
        <v>984.44</v>
      </c>
      <c r="L22" s="73">
        <v>350.71</v>
      </c>
      <c r="M22" s="180">
        <v>1906.66</v>
      </c>
      <c r="N22" s="181"/>
      <c r="O22" s="73">
        <v>4212.3500000000004</v>
      </c>
      <c r="P22" s="73">
        <v>2491.25</v>
      </c>
      <c r="Q22" s="73">
        <v>1241.8900000000001</v>
      </c>
      <c r="R22" s="73">
        <v>1328.27</v>
      </c>
      <c r="S22" s="73">
        <v>1723.56</v>
      </c>
      <c r="T22" s="73">
        <v>6784.97</v>
      </c>
      <c r="U22" s="73">
        <v>1150.74</v>
      </c>
      <c r="V22" s="73">
        <v>1113.3399999999999</v>
      </c>
      <c r="W22" s="73">
        <v>1269.99</v>
      </c>
      <c r="X22" s="73">
        <v>2134.86</v>
      </c>
      <c r="Y22" s="73">
        <v>5668.93</v>
      </c>
      <c r="Z22" s="73">
        <v>2475.9499999999998</v>
      </c>
      <c r="AA22" s="73">
        <v>1289.29</v>
      </c>
      <c r="AB22" s="73">
        <v>2019.44</v>
      </c>
      <c r="AC22" s="73">
        <v>2001</v>
      </c>
      <c r="AD22" s="73">
        <v>7785.68</v>
      </c>
      <c r="AE22" s="73">
        <v>1169.33</v>
      </c>
      <c r="AF22" s="73">
        <v>1460.21</v>
      </c>
      <c r="AG22" s="73">
        <v>648.94000000000005</v>
      </c>
      <c r="AH22" s="73">
        <v>2093.13</v>
      </c>
      <c r="AI22" s="73">
        <v>5371.61</v>
      </c>
      <c r="AJ22" s="73">
        <v>1142.2</v>
      </c>
      <c r="AK22" s="73">
        <v>966.7</v>
      </c>
      <c r="AL22" s="73">
        <v>988.49</v>
      </c>
      <c r="AM22" s="73">
        <v>134.97999999999999</v>
      </c>
      <c r="AN22" s="73">
        <v>3232.37</v>
      </c>
      <c r="AO22" s="74"/>
      <c r="AP22" s="80" t="s">
        <v>703</v>
      </c>
      <c r="AQ22" s="76">
        <v>11</v>
      </c>
      <c r="AR22" s="76"/>
    </row>
    <row r="23" spans="1:44" x14ac:dyDescent="0.2">
      <c r="A23" s="170">
        <v>12</v>
      </c>
      <c r="B23" s="171"/>
      <c r="C23" s="71"/>
      <c r="D23" s="81" t="s">
        <v>696</v>
      </c>
      <c r="E23" s="73">
        <v>3664.12</v>
      </c>
      <c r="F23" s="73">
        <v>3932.81</v>
      </c>
      <c r="G23" s="73">
        <v>4191.6499999999996</v>
      </c>
      <c r="H23" s="73">
        <v>4496.1499999999996</v>
      </c>
      <c r="I23" s="73">
        <v>16284.73</v>
      </c>
      <c r="J23" s="73">
        <v>4619.41</v>
      </c>
      <c r="K23" s="73">
        <v>4652.88</v>
      </c>
      <c r="L23" s="73">
        <v>5387.32</v>
      </c>
      <c r="M23" s="180">
        <v>5583.21</v>
      </c>
      <c r="N23" s="181"/>
      <c r="O23" s="73">
        <v>20242.82</v>
      </c>
      <c r="P23" s="73">
        <v>5510.74</v>
      </c>
      <c r="Q23" s="73">
        <v>5923.47</v>
      </c>
      <c r="R23" s="73">
        <v>5983.03</v>
      </c>
      <c r="S23" s="73">
        <v>5532.76</v>
      </c>
      <c r="T23" s="73">
        <v>22950.01</v>
      </c>
      <c r="U23" s="73">
        <v>4944.1499999999996</v>
      </c>
      <c r="V23" s="73">
        <v>5745.94</v>
      </c>
      <c r="W23" s="73">
        <v>6479.86</v>
      </c>
      <c r="X23" s="73">
        <v>7702.08</v>
      </c>
      <c r="Y23" s="73">
        <v>24872.03</v>
      </c>
      <c r="Z23" s="73">
        <v>8007.4</v>
      </c>
      <c r="AA23" s="73">
        <v>9465.99</v>
      </c>
      <c r="AB23" s="73">
        <v>9284.24</v>
      </c>
      <c r="AC23" s="73">
        <v>4963</v>
      </c>
      <c r="AD23" s="73">
        <v>31720.62</v>
      </c>
      <c r="AE23" s="73">
        <v>3664.93</v>
      </c>
      <c r="AF23" s="73">
        <v>4406.51</v>
      </c>
      <c r="AG23" s="73">
        <v>5686.03</v>
      </c>
      <c r="AH23" s="73">
        <v>6858.7</v>
      </c>
      <c r="AI23" s="73">
        <v>20616.169999999998</v>
      </c>
      <c r="AJ23" s="73">
        <v>6577.32</v>
      </c>
      <c r="AK23" s="73">
        <v>7146.26</v>
      </c>
      <c r="AL23" s="73">
        <v>6949.76</v>
      </c>
      <c r="AM23" s="73">
        <v>7985.12</v>
      </c>
      <c r="AN23" s="73">
        <v>28658.46</v>
      </c>
      <c r="AO23" s="74"/>
      <c r="AP23" s="82" t="s">
        <v>697</v>
      </c>
      <c r="AQ23" s="76">
        <v>12</v>
      </c>
      <c r="AR23" s="76"/>
    </row>
    <row r="24" spans="1:44" x14ac:dyDescent="0.2">
      <c r="A24" s="170">
        <v>13</v>
      </c>
      <c r="B24" s="171"/>
      <c r="C24" s="71"/>
      <c r="D24" s="81" t="s">
        <v>698</v>
      </c>
      <c r="E24" s="73">
        <v>-2410.2600000000002</v>
      </c>
      <c r="F24" s="73">
        <v>-2427.83</v>
      </c>
      <c r="G24" s="73">
        <v>-3120.82</v>
      </c>
      <c r="H24" s="73">
        <v>-3199.97</v>
      </c>
      <c r="I24" s="73">
        <v>-11158.89</v>
      </c>
      <c r="J24" s="73">
        <v>-3648.88</v>
      </c>
      <c r="K24" s="73">
        <v>-3668.44</v>
      </c>
      <c r="L24" s="73">
        <v>-5036.6000000000004</v>
      </c>
      <c r="M24" s="180">
        <v>-3676.55</v>
      </c>
      <c r="N24" s="181"/>
      <c r="O24" s="73">
        <v>-16030.47</v>
      </c>
      <c r="P24" s="73">
        <v>-3019.49</v>
      </c>
      <c r="Q24" s="73">
        <v>-4681.58</v>
      </c>
      <c r="R24" s="73">
        <v>-4654.76</v>
      </c>
      <c r="S24" s="73">
        <v>-3809.2</v>
      </c>
      <c r="T24" s="73">
        <v>-16165.04</v>
      </c>
      <c r="U24" s="73">
        <v>-3793.4</v>
      </c>
      <c r="V24" s="73">
        <v>-4632.6000000000004</v>
      </c>
      <c r="W24" s="73">
        <v>-5209.87</v>
      </c>
      <c r="X24" s="73">
        <v>-5567.22</v>
      </c>
      <c r="Y24" s="73">
        <v>-19203.099999999999</v>
      </c>
      <c r="Z24" s="73">
        <v>-5531.45</v>
      </c>
      <c r="AA24" s="73">
        <v>-8176.7</v>
      </c>
      <c r="AB24" s="73">
        <v>-7264.79</v>
      </c>
      <c r="AC24" s="73">
        <v>-2961.99</v>
      </c>
      <c r="AD24" s="73">
        <v>-23934.94</v>
      </c>
      <c r="AE24" s="73">
        <v>-2495.6</v>
      </c>
      <c r="AF24" s="73">
        <v>-2946.3</v>
      </c>
      <c r="AG24" s="73">
        <v>-5037.09</v>
      </c>
      <c r="AH24" s="73">
        <v>-4765.57</v>
      </c>
      <c r="AI24" s="73">
        <v>-15244.56</v>
      </c>
      <c r="AJ24" s="73">
        <v>-5435.12</v>
      </c>
      <c r="AK24" s="73">
        <v>-6179.57</v>
      </c>
      <c r="AL24" s="73">
        <v>-5961.26</v>
      </c>
      <c r="AM24" s="73">
        <v>-7850.14</v>
      </c>
      <c r="AN24" s="73">
        <v>-25426.09</v>
      </c>
      <c r="AO24" s="74"/>
      <c r="AP24" s="82" t="s">
        <v>699</v>
      </c>
      <c r="AQ24" s="76">
        <v>13</v>
      </c>
      <c r="AR24" s="76"/>
    </row>
    <row r="25" spans="1:44" x14ac:dyDescent="0.2">
      <c r="A25" s="170">
        <v>14</v>
      </c>
      <c r="B25" s="171"/>
      <c r="C25" s="71"/>
      <c r="D25" s="77" t="s">
        <v>704</v>
      </c>
      <c r="E25" s="73">
        <v>72.3</v>
      </c>
      <c r="F25" s="73">
        <v>46.2</v>
      </c>
      <c r="G25" s="73">
        <v>62.5</v>
      </c>
      <c r="H25" s="73">
        <v>47.7</v>
      </c>
      <c r="I25" s="73">
        <v>228.7</v>
      </c>
      <c r="J25" s="73">
        <v>76.39</v>
      </c>
      <c r="K25" s="73">
        <v>43.72</v>
      </c>
      <c r="L25" s="73">
        <v>44.43</v>
      </c>
      <c r="M25" s="180">
        <v>71.87</v>
      </c>
      <c r="N25" s="181"/>
      <c r="O25" s="73">
        <v>236.41</v>
      </c>
      <c r="P25" s="73">
        <v>138.06</v>
      </c>
      <c r="Q25" s="73">
        <v>171.2</v>
      </c>
      <c r="R25" s="73">
        <v>117.99</v>
      </c>
      <c r="S25" s="73">
        <v>110.9</v>
      </c>
      <c r="T25" s="73">
        <v>538.16</v>
      </c>
      <c r="U25" s="73">
        <v>192.24</v>
      </c>
      <c r="V25" s="73">
        <v>156.37</v>
      </c>
      <c r="W25" s="73">
        <v>209.52</v>
      </c>
      <c r="X25" s="73">
        <v>143.16999999999999</v>
      </c>
      <c r="Y25" s="73">
        <v>701.3</v>
      </c>
      <c r="Z25" s="73">
        <v>280.83999999999997</v>
      </c>
      <c r="AA25" s="73">
        <v>112.9</v>
      </c>
      <c r="AB25" s="73">
        <v>219.79</v>
      </c>
      <c r="AC25" s="73">
        <v>214.1</v>
      </c>
      <c r="AD25" s="73">
        <v>827.63</v>
      </c>
      <c r="AE25" s="73">
        <v>354.12</v>
      </c>
      <c r="AF25" s="73">
        <v>134.84</v>
      </c>
      <c r="AG25" s="73">
        <v>133.59</v>
      </c>
      <c r="AH25" s="73">
        <v>209.49</v>
      </c>
      <c r="AI25" s="73">
        <v>832.04</v>
      </c>
      <c r="AJ25" s="73">
        <v>176.83</v>
      </c>
      <c r="AK25" s="73">
        <v>413.3</v>
      </c>
      <c r="AL25" s="73">
        <v>177.51</v>
      </c>
      <c r="AM25" s="73">
        <v>252.38</v>
      </c>
      <c r="AN25" s="73">
        <v>1020.02</v>
      </c>
      <c r="AO25" s="74"/>
      <c r="AP25" s="78" t="s">
        <v>705</v>
      </c>
      <c r="AQ25" s="76">
        <v>14</v>
      </c>
      <c r="AR25" s="76"/>
    </row>
    <row r="26" spans="1:44" x14ac:dyDescent="0.2">
      <c r="A26" s="170">
        <v>15</v>
      </c>
      <c r="B26" s="171"/>
      <c r="C26" s="71"/>
      <c r="D26" s="79" t="s">
        <v>696</v>
      </c>
      <c r="E26" s="73">
        <v>72.3</v>
      </c>
      <c r="F26" s="73">
        <v>46.2</v>
      </c>
      <c r="G26" s="73">
        <v>62.5</v>
      </c>
      <c r="H26" s="73">
        <v>47.7</v>
      </c>
      <c r="I26" s="73">
        <v>228.7</v>
      </c>
      <c r="J26" s="73">
        <v>76.39</v>
      </c>
      <c r="K26" s="73">
        <v>43.72</v>
      </c>
      <c r="L26" s="73">
        <v>44.43</v>
      </c>
      <c r="M26" s="180">
        <v>71.87</v>
      </c>
      <c r="N26" s="181"/>
      <c r="O26" s="73">
        <v>236.41</v>
      </c>
      <c r="P26" s="73">
        <v>138.06</v>
      </c>
      <c r="Q26" s="73">
        <v>171.2</v>
      </c>
      <c r="R26" s="73">
        <v>117.99</v>
      </c>
      <c r="S26" s="73">
        <v>110.9</v>
      </c>
      <c r="T26" s="73">
        <v>538.16</v>
      </c>
      <c r="U26" s="73">
        <v>192.24</v>
      </c>
      <c r="V26" s="73">
        <v>156.37</v>
      </c>
      <c r="W26" s="73">
        <v>209.52</v>
      </c>
      <c r="X26" s="73">
        <v>143.16999999999999</v>
      </c>
      <c r="Y26" s="73">
        <v>701.3</v>
      </c>
      <c r="Z26" s="73">
        <v>280.83999999999997</v>
      </c>
      <c r="AA26" s="73">
        <v>119.08</v>
      </c>
      <c r="AB26" s="73">
        <v>229.07</v>
      </c>
      <c r="AC26" s="73">
        <v>221.16</v>
      </c>
      <c r="AD26" s="73">
        <v>850.15</v>
      </c>
      <c r="AE26" s="73">
        <v>358.25</v>
      </c>
      <c r="AF26" s="73">
        <v>139.68</v>
      </c>
      <c r="AG26" s="73">
        <v>138.94</v>
      </c>
      <c r="AH26" s="73">
        <v>217.03</v>
      </c>
      <c r="AI26" s="73">
        <v>853.89</v>
      </c>
      <c r="AJ26" s="73">
        <v>190.06</v>
      </c>
      <c r="AK26" s="73">
        <v>430.08</v>
      </c>
      <c r="AL26" s="73">
        <v>200.58</v>
      </c>
      <c r="AM26" s="73">
        <v>278.64999999999998</v>
      </c>
      <c r="AN26" s="73">
        <v>1099.3699999999999</v>
      </c>
      <c r="AO26" s="74"/>
      <c r="AP26" s="80" t="s">
        <v>697</v>
      </c>
      <c r="AQ26" s="76">
        <v>15</v>
      </c>
      <c r="AR26" s="76"/>
    </row>
    <row r="27" spans="1:44" x14ac:dyDescent="0.2">
      <c r="A27" s="170">
        <v>16</v>
      </c>
      <c r="B27" s="171"/>
      <c r="C27" s="71"/>
      <c r="D27" s="79" t="s">
        <v>698</v>
      </c>
      <c r="E27" s="73" t="s">
        <v>646</v>
      </c>
      <c r="F27" s="73" t="s">
        <v>646</v>
      </c>
      <c r="G27" s="73" t="s">
        <v>646</v>
      </c>
      <c r="H27" s="73" t="s">
        <v>646</v>
      </c>
      <c r="I27" s="73" t="s">
        <v>646</v>
      </c>
      <c r="J27" s="73" t="s">
        <v>646</v>
      </c>
      <c r="K27" s="73" t="s">
        <v>646</v>
      </c>
      <c r="L27" s="73" t="s">
        <v>646</v>
      </c>
      <c r="M27" s="180" t="s">
        <v>646</v>
      </c>
      <c r="N27" s="181"/>
      <c r="O27" s="73" t="s">
        <v>646</v>
      </c>
      <c r="P27" s="73" t="s">
        <v>646</v>
      </c>
      <c r="Q27" s="73" t="s">
        <v>646</v>
      </c>
      <c r="R27" s="73" t="s">
        <v>646</v>
      </c>
      <c r="S27" s="73" t="s">
        <v>646</v>
      </c>
      <c r="T27" s="73" t="s">
        <v>646</v>
      </c>
      <c r="U27" s="73" t="s">
        <v>646</v>
      </c>
      <c r="V27" s="73" t="s">
        <v>646</v>
      </c>
      <c r="W27" s="73" t="s">
        <v>646</v>
      </c>
      <c r="X27" s="73" t="s">
        <v>646</v>
      </c>
      <c r="Y27" s="73" t="s">
        <v>646</v>
      </c>
      <c r="Z27" s="73" t="s">
        <v>646</v>
      </c>
      <c r="AA27" s="73">
        <v>-6.18</v>
      </c>
      <c r="AB27" s="73">
        <v>-9.2799999999999994</v>
      </c>
      <c r="AC27" s="73">
        <v>-7.06</v>
      </c>
      <c r="AD27" s="73">
        <v>-22.52</v>
      </c>
      <c r="AE27" s="73">
        <v>-4.13</v>
      </c>
      <c r="AF27" s="73">
        <v>-4.84</v>
      </c>
      <c r="AG27" s="73">
        <v>-5.35</v>
      </c>
      <c r="AH27" s="73">
        <v>-7.54</v>
      </c>
      <c r="AI27" s="73">
        <v>-21.85</v>
      </c>
      <c r="AJ27" s="73">
        <v>-13.24</v>
      </c>
      <c r="AK27" s="73">
        <v>-16.78</v>
      </c>
      <c r="AL27" s="73">
        <v>-23.06</v>
      </c>
      <c r="AM27" s="73">
        <v>-26.27</v>
      </c>
      <c r="AN27" s="73">
        <v>-79.349999999999994</v>
      </c>
      <c r="AO27" s="74"/>
      <c r="AP27" s="80" t="s">
        <v>699</v>
      </c>
      <c r="AQ27" s="76">
        <v>16</v>
      </c>
      <c r="AR27" s="76"/>
    </row>
    <row r="28" spans="1:44" x14ac:dyDescent="0.2">
      <c r="A28" s="170">
        <v>17</v>
      </c>
      <c r="B28" s="171"/>
      <c r="C28" s="71"/>
      <c r="D28" s="72" t="s">
        <v>706</v>
      </c>
      <c r="E28" s="73">
        <v>-2889.02</v>
      </c>
      <c r="F28" s="73">
        <v>-1440.25</v>
      </c>
      <c r="G28" s="73">
        <v>-1373.47</v>
      </c>
      <c r="H28" s="73">
        <v>-2239.9699999999998</v>
      </c>
      <c r="I28" s="73">
        <v>-7942.72</v>
      </c>
      <c r="J28" s="73">
        <v>-2330.71</v>
      </c>
      <c r="K28" s="73">
        <v>-1009.77</v>
      </c>
      <c r="L28" s="73">
        <v>-2271.2399999999998</v>
      </c>
      <c r="M28" s="180">
        <v>-3253.67</v>
      </c>
      <c r="N28" s="181"/>
      <c r="O28" s="73">
        <v>-8865.39</v>
      </c>
      <c r="P28" s="73">
        <v>-3324.19</v>
      </c>
      <c r="Q28" s="73">
        <v>-2906.97</v>
      </c>
      <c r="R28" s="73">
        <v>-2380.94</v>
      </c>
      <c r="S28" s="73">
        <v>-3256.24</v>
      </c>
      <c r="T28" s="73">
        <v>-11868.34</v>
      </c>
      <c r="U28" s="73">
        <v>-3300.7</v>
      </c>
      <c r="V28" s="73">
        <v>-3371.24</v>
      </c>
      <c r="W28" s="73">
        <v>-3168.99</v>
      </c>
      <c r="X28" s="73">
        <v>-3303.56</v>
      </c>
      <c r="Y28" s="73">
        <v>-13144.49</v>
      </c>
      <c r="Z28" s="73">
        <v>-3739.82</v>
      </c>
      <c r="AA28" s="73">
        <v>-3788.88</v>
      </c>
      <c r="AB28" s="73">
        <v>-3647.34</v>
      </c>
      <c r="AC28" s="73">
        <v>-3625.68</v>
      </c>
      <c r="AD28" s="73">
        <v>-14801.71</v>
      </c>
      <c r="AE28" s="73">
        <v>-2219.3200000000002</v>
      </c>
      <c r="AF28" s="73">
        <v>-2514.73</v>
      </c>
      <c r="AG28" s="73">
        <v>-2946.76</v>
      </c>
      <c r="AH28" s="73">
        <v>-3502.12</v>
      </c>
      <c r="AI28" s="73">
        <v>-11182.93</v>
      </c>
      <c r="AJ28" s="73">
        <v>-2474.1</v>
      </c>
      <c r="AK28" s="73">
        <v>-2183.17</v>
      </c>
      <c r="AL28" s="73">
        <v>-2298.67</v>
      </c>
      <c r="AM28" s="73">
        <v>-2834.57</v>
      </c>
      <c r="AN28" s="73">
        <v>-9790.51</v>
      </c>
      <c r="AO28" s="74"/>
      <c r="AP28" s="75" t="s">
        <v>707</v>
      </c>
      <c r="AQ28" s="76">
        <v>17</v>
      </c>
      <c r="AR28" s="76"/>
    </row>
    <row r="29" spans="1:44" x14ac:dyDescent="0.2">
      <c r="A29" s="170">
        <v>18</v>
      </c>
      <c r="B29" s="171"/>
      <c r="C29" s="71"/>
      <c r="D29" s="77" t="s">
        <v>696</v>
      </c>
      <c r="E29" s="73">
        <v>3723.02</v>
      </c>
      <c r="F29" s="73">
        <v>3415.35</v>
      </c>
      <c r="G29" s="73">
        <v>3029.74</v>
      </c>
      <c r="H29" s="73">
        <v>2969.45</v>
      </c>
      <c r="I29" s="73">
        <v>13137.56</v>
      </c>
      <c r="J29" s="73">
        <v>3217.2</v>
      </c>
      <c r="K29" s="73">
        <v>3406.97</v>
      </c>
      <c r="L29" s="73">
        <v>3351.7</v>
      </c>
      <c r="M29" s="180">
        <v>3540.12</v>
      </c>
      <c r="N29" s="181"/>
      <c r="O29" s="73">
        <v>13515.98</v>
      </c>
      <c r="P29" s="73">
        <v>2005.14</v>
      </c>
      <c r="Q29" s="73">
        <v>2345.63</v>
      </c>
      <c r="R29" s="73">
        <v>2805.43</v>
      </c>
      <c r="S29" s="73">
        <v>2741.28</v>
      </c>
      <c r="T29" s="73">
        <v>9897.4699999999993</v>
      </c>
      <c r="U29" s="73">
        <v>3131.25</v>
      </c>
      <c r="V29" s="73">
        <v>2792.34</v>
      </c>
      <c r="W29" s="73">
        <v>2733.97</v>
      </c>
      <c r="X29" s="73">
        <v>3096.82</v>
      </c>
      <c r="Y29" s="73">
        <v>11754.38</v>
      </c>
      <c r="Z29" s="73">
        <v>3373.84</v>
      </c>
      <c r="AA29" s="73">
        <v>3465.13</v>
      </c>
      <c r="AB29" s="73">
        <v>3646.22</v>
      </c>
      <c r="AC29" s="73">
        <v>3402.81</v>
      </c>
      <c r="AD29" s="73">
        <v>13888.01</v>
      </c>
      <c r="AE29" s="73">
        <v>2471.48</v>
      </c>
      <c r="AF29" s="73">
        <v>3088.2</v>
      </c>
      <c r="AG29" s="73">
        <v>2973.5</v>
      </c>
      <c r="AH29" s="73">
        <v>3581.91</v>
      </c>
      <c r="AI29" s="73">
        <v>12115.09</v>
      </c>
      <c r="AJ29" s="73">
        <v>3583.9</v>
      </c>
      <c r="AK29" s="73">
        <v>4196.25</v>
      </c>
      <c r="AL29" s="73">
        <v>4282.47</v>
      </c>
      <c r="AM29" s="73">
        <v>4607.88</v>
      </c>
      <c r="AN29" s="73">
        <v>16670.490000000002</v>
      </c>
      <c r="AO29" s="74"/>
      <c r="AP29" s="78" t="s">
        <v>697</v>
      </c>
      <c r="AQ29" s="76">
        <v>18</v>
      </c>
      <c r="AR29" s="76"/>
    </row>
    <row r="30" spans="1:44" x14ac:dyDescent="0.2">
      <c r="A30" s="170">
        <v>19</v>
      </c>
      <c r="B30" s="171"/>
      <c r="C30" s="71"/>
      <c r="D30" s="77" t="s">
        <v>698</v>
      </c>
      <c r="E30" s="73">
        <v>-6612.04</v>
      </c>
      <c r="F30" s="73">
        <v>-4855.6099999999997</v>
      </c>
      <c r="G30" s="73">
        <v>-4403.21</v>
      </c>
      <c r="H30" s="73">
        <v>-5209.42</v>
      </c>
      <c r="I30" s="73">
        <v>-21080.28</v>
      </c>
      <c r="J30" s="73">
        <v>-5547.92</v>
      </c>
      <c r="K30" s="73">
        <v>-4416.74</v>
      </c>
      <c r="L30" s="73">
        <v>-5622.94</v>
      </c>
      <c r="M30" s="180">
        <v>-6793.78</v>
      </c>
      <c r="N30" s="181"/>
      <c r="O30" s="73">
        <v>-22381.37</v>
      </c>
      <c r="P30" s="73">
        <v>-5329.32</v>
      </c>
      <c r="Q30" s="73">
        <v>-5252.6</v>
      </c>
      <c r="R30" s="73">
        <v>-5186.37</v>
      </c>
      <c r="S30" s="73">
        <v>-5997.52</v>
      </c>
      <c r="T30" s="73">
        <v>-21765.81</v>
      </c>
      <c r="U30" s="73">
        <v>-6431.95</v>
      </c>
      <c r="V30" s="73">
        <v>-6163.58</v>
      </c>
      <c r="W30" s="73">
        <v>-5902.96</v>
      </c>
      <c r="X30" s="73">
        <v>-6400.38</v>
      </c>
      <c r="Y30" s="73">
        <v>-24898.87</v>
      </c>
      <c r="Z30" s="73">
        <v>-7113.66</v>
      </c>
      <c r="AA30" s="73">
        <v>-7254.01</v>
      </c>
      <c r="AB30" s="73">
        <v>-7293.56</v>
      </c>
      <c r="AC30" s="73">
        <v>-7028.49</v>
      </c>
      <c r="AD30" s="73">
        <v>-28689.72</v>
      </c>
      <c r="AE30" s="73">
        <v>-4690.8</v>
      </c>
      <c r="AF30" s="73">
        <v>-5602.94</v>
      </c>
      <c r="AG30" s="73">
        <v>-5920.26</v>
      </c>
      <c r="AH30" s="73">
        <v>-7084.03</v>
      </c>
      <c r="AI30" s="73">
        <v>-23298.03</v>
      </c>
      <c r="AJ30" s="73">
        <v>-6057.99</v>
      </c>
      <c r="AK30" s="73">
        <v>-6379.42</v>
      </c>
      <c r="AL30" s="73">
        <v>-6581.14</v>
      </c>
      <c r="AM30" s="73">
        <v>-7442.45</v>
      </c>
      <c r="AN30" s="73">
        <v>-26460.99</v>
      </c>
      <c r="AO30" s="74"/>
      <c r="AP30" s="78" t="s">
        <v>699</v>
      </c>
      <c r="AQ30" s="76">
        <v>19</v>
      </c>
      <c r="AR30" s="76"/>
    </row>
    <row r="31" spans="1:44" x14ac:dyDescent="0.2">
      <c r="A31" s="170">
        <v>20</v>
      </c>
      <c r="B31" s="171"/>
      <c r="C31" s="71"/>
      <c r="D31" s="72" t="s">
        <v>708</v>
      </c>
      <c r="E31" s="73">
        <v>-2313.75</v>
      </c>
      <c r="F31" s="73">
        <v>-3111.5</v>
      </c>
      <c r="G31" s="73">
        <v>-2570.52</v>
      </c>
      <c r="H31" s="73">
        <v>-2800.96</v>
      </c>
      <c r="I31" s="73">
        <v>-10796.73</v>
      </c>
      <c r="J31" s="73">
        <v>-2171.2800000000002</v>
      </c>
      <c r="K31" s="73">
        <v>-3462.35</v>
      </c>
      <c r="L31" s="73">
        <v>-3509.21</v>
      </c>
      <c r="M31" s="180">
        <v>-3697.24</v>
      </c>
      <c r="N31" s="181"/>
      <c r="O31" s="73">
        <v>-12840.07</v>
      </c>
      <c r="P31" s="73">
        <v>-2643.11</v>
      </c>
      <c r="Q31" s="73">
        <v>-3874.46</v>
      </c>
      <c r="R31" s="73">
        <v>-3699.08</v>
      </c>
      <c r="S31" s="73">
        <v>-3498.74</v>
      </c>
      <c r="T31" s="73">
        <v>-13715.39</v>
      </c>
      <c r="U31" s="73">
        <v>-3107.45</v>
      </c>
      <c r="V31" s="73">
        <v>-3985.96</v>
      </c>
      <c r="W31" s="73">
        <v>-3767.09</v>
      </c>
      <c r="X31" s="73">
        <v>-4468.3</v>
      </c>
      <c r="Y31" s="73">
        <v>-15328.79</v>
      </c>
      <c r="Z31" s="73">
        <v>-3059.26</v>
      </c>
      <c r="AA31" s="73">
        <v>-4391.01</v>
      </c>
      <c r="AB31" s="73">
        <v>-4727.88</v>
      </c>
      <c r="AC31" s="73">
        <v>-2838.38</v>
      </c>
      <c r="AD31" s="73">
        <v>-15016.53</v>
      </c>
      <c r="AE31" s="73">
        <v>-2724.5</v>
      </c>
      <c r="AF31" s="73">
        <v>-3752.34</v>
      </c>
      <c r="AG31" s="73">
        <v>-4038.14</v>
      </c>
      <c r="AH31" s="73">
        <v>-4517.8900000000003</v>
      </c>
      <c r="AI31" s="73">
        <v>-15032.87</v>
      </c>
      <c r="AJ31" s="73">
        <v>-4012.83</v>
      </c>
      <c r="AK31" s="73">
        <v>-4306.46</v>
      </c>
      <c r="AL31" s="73">
        <v>-5528.76</v>
      </c>
      <c r="AM31" s="73">
        <v>-6850.11</v>
      </c>
      <c r="AN31" s="73">
        <v>-20698.16</v>
      </c>
      <c r="AO31" s="74"/>
      <c r="AP31" s="75" t="s">
        <v>709</v>
      </c>
      <c r="AQ31" s="76">
        <v>20</v>
      </c>
      <c r="AR31" s="76"/>
    </row>
    <row r="32" spans="1:44" x14ac:dyDescent="0.2">
      <c r="A32" s="170">
        <v>21</v>
      </c>
      <c r="B32" s="171"/>
      <c r="C32" s="71"/>
      <c r="D32" s="77" t="s">
        <v>710</v>
      </c>
      <c r="E32" s="73">
        <v>434.42</v>
      </c>
      <c r="F32" s="73">
        <v>522.52</v>
      </c>
      <c r="G32" s="73">
        <v>519.27</v>
      </c>
      <c r="H32" s="73">
        <v>578.6</v>
      </c>
      <c r="I32" s="73">
        <v>2054.8000000000002</v>
      </c>
      <c r="J32" s="73">
        <v>565.25</v>
      </c>
      <c r="K32" s="73">
        <v>581.42999999999995</v>
      </c>
      <c r="L32" s="73">
        <v>634.47</v>
      </c>
      <c r="M32" s="180">
        <v>589.80999999999995</v>
      </c>
      <c r="N32" s="181"/>
      <c r="O32" s="73">
        <v>2370.96</v>
      </c>
      <c r="P32" s="73">
        <v>553.73</v>
      </c>
      <c r="Q32" s="73">
        <v>575.92999999999995</v>
      </c>
      <c r="R32" s="73">
        <v>741.99</v>
      </c>
      <c r="S32" s="73">
        <v>722.59</v>
      </c>
      <c r="T32" s="73">
        <v>2594.23</v>
      </c>
      <c r="U32" s="73">
        <v>618.46</v>
      </c>
      <c r="V32" s="73">
        <v>951.13</v>
      </c>
      <c r="W32" s="73">
        <v>975.01</v>
      </c>
      <c r="X32" s="73">
        <v>1001.81</v>
      </c>
      <c r="Y32" s="73">
        <v>3546.41</v>
      </c>
      <c r="Z32" s="73">
        <v>1049.6600000000001</v>
      </c>
      <c r="AA32" s="73">
        <v>811.06</v>
      </c>
      <c r="AB32" s="73">
        <v>990.72</v>
      </c>
      <c r="AC32" s="73">
        <v>792.07</v>
      </c>
      <c r="AD32" s="73">
        <v>3643.5</v>
      </c>
      <c r="AE32" s="73">
        <v>560.25</v>
      </c>
      <c r="AF32" s="73">
        <v>396.17</v>
      </c>
      <c r="AG32" s="73">
        <v>599.65</v>
      </c>
      <c r="AH32" s="73">
        <v>402.98</v>
      </c>
      <c r="AI32" s="73">
        <v>1959.06</v>
      </c>
      <c r="AJ32" s="73">
        <v>455.13</v>
      </c>
      <c r="AK32" s="73">
        <v>454.2</v>
      </c>
      <c r="AL32" s="73">
        <v>529.54999999999995</v>
      </c>
      <c r="AM32" s="73">
        <v>495</v>
      </c>
      <c r="AN32" s="73">
        <v>1933.88</v>
      </c>
      <c r="AO32" s="74"/>
      <c r="AP32" s="78" t="s">
        <v>711</v>
      </c>
      <c r="AQ32" s="76">
        <v>21</v>
      </c>
      <c r="AR32" s="76"/>
    </row>
    <row r="33" spans="1:44" x14ac:dyDescent="0.2">
      <c r="A33" s="170">
        <v>22</v>
      </c>
      <c r="B33" s="171"/>
      <c r="C33" s="71"/>
      <c r="D33" s="77" t="s">
        <v>712</v>
      </c>
      <c r="E33" s="73">
        <v>-2748.17</v>
      </c>
      <c r="F33" s="73">
        <v>-3634.02</v>
      </c>
      <c r="G33" s="73">
        <v>-3089.79</v>
      </c>
      <c r="H33" s="73">
        <v>-3379.56</v>
      </c>
      <c r="I33" s="73">
        <v>-12851.54</v>
      </c>
      <c r="J33" s="73">
        <v>-2736.52</v>
      </c>
      <c r="K33" s="73">
        <v>-4043.78</v>
      </c>
      <c r="L33" s="73">
        <v>-4143.68</v>
      </c>
      <c r="M33" s="180">
        <v>-4287.05</v>
      </c>
      <c r="N33" s="181"/>
      <c r="O33" s="73">
        <v>-15211.03</v>
      </c>
      <c r="P33" s="73">
        <v>-3196.83</v>
      </c>
      <c r="Q33" s="73">
        <v>-4450.38</v>
      </c>
      <c r="R33" s="73">
        <v>-4441.08</v>
      </c>
      <c r="S33" s="73">
        <v>-4221.33</v>
      </c>
      <c r="T33" s="73">
        <v>-16309.62</v>
      </c>
      <c r="U33" s="73">
        <v>-3725.91</v>
      </c>
      <c r="V33" s="73">
        <v>-4937.08</v>
      </c>
      <c r="W33" s="73">
        <v>-4742.1000000000004</v>
      </c>
      <c r="X33" s="73">
        <v>-5470.11</v>
      </c>
      <c r="Y33" s="73">
        <v>-18875.2</v>
      </c>
      <c r="Z33" s="73">
        <v>-4108.92</v>
      </c>
      <c r="AA33" s="73">
        <v>-5202.07</v>
      </c>
      <c r="AB33" s="73">
        <v>-5718.6</v>
      </c>
      <c r="AC33" s="73">
        <v>-3630.45</v>
      </c>
      <c r="AD33" s="73">
        <v>-18660.03</v>
      </c>
      <c r="AE33" s="73">
        <v>-3284.76</v>
      </c>
      <c r="AF33" s="73">
        <v>-4148.51</v>
      </c>
      <c r="AG33" s="73">
        <v>-4637.79</v>
      </c>
      <c r="AH33" s="73">
        <v>-4920.87</v>
      </c>
      <c r="AI33" s="73">
        <v>-16991.93</v>
      </c>
      <c r="AJ33" s="73">
        <v>-4467.96</v>
      </c>
      <c r="AK33" s="73">
        <v>-4760.66</v>
      </c>
      <c r="AL33" s="73">
        <v>-6058.31</v>
      </c>
      <c r="AM33" s="73">
        <v>-7345.1</v>
      </c>
      <c r="AN33" s="73">
        <v>-22632.04</v>
      </c>
      <c r="AO33" s="74"/>
      <c r="AP33" s="78" t="s">
        <v>713</v>
      </c>
      <c r="AQ33" s="76">
        <v>22</v>
      </c>
      <c r="AR33" s="76"/>
    </row>
    <row r="34" spans="1:44" x14ac:dyDescent="0.2">
      <c r="A34" s="170">
        <v>23</v>
      </c>
      <c r="B34" s="171"/>
      <c r="C34" s="71"/>
      <c r="D34" s="72" t="s">
        <v>714</v>
      </c>
      <c r="E34" s="73">
        <v>306.08</v>
      </c>
      <c r="F34" s="73">
        <v>273.35000000000002</v>
      </c>
      <c r="G34" s="73">
        <v>261.64</v>
      </c>
      <c r="H34" s="73">
        <v>297.76</v>
      </c>
      <c r="I34" s="73">
        <v>1138.83</v>
      </c>
      <c r="J34" s="73">
        <v>1111.2</v>
      </c>
      <c r="K34" s="73">
        <v>1020.26</v>
      </c>
      <c r="L34" s="73">
        <v>1206.9100000000001</v>
      </c>
      <c r="M34" s="180">
        <v>1454.58</v>
      </c>
      <c r="N34" s="181"/>
      <c r="O34" s="73">
        <v>4792.95</v>
      </c>
      <c r="P34" s="73">
        <v>1205.33</v>
      </c>
      <c r="Q34" s="73">
        <v>1197.96</v>
      </c>
      <c r="R34" s="73">
        <v>1320.97</v>
      </c>
      <c r="S34" s="73">
        <v>1138.81</v>
      </c>
      <c r="T34" s="73">
        <v>4863.07</v>
      </c>
      <c r="U34" s="73">
        <v>1254.3499999999999</v>
      </c>
      <c r="V34" s="73">
        <v>1178.3699999999999</v>
      </c>
      <c r="W34" s="73">
        <v>1239.7</v>
      </c>
      <c r="X34" s="73">
        <v>1431.57</v>
      </c>
      <c r="Y34" s="73">
        <v>5103.99</v>
      </c>
      <c r="Z34" s="73">
        <v>1370.98</v>
      </c>
      <c r="AA34" s="73">
        <v>1356.43</v>
      </c>
      <c r="AB34" s="73">
        <v>1331.37</v>
      </c>
      <c r="AC34" s="73">
        <v>1304.8499999999999</v>
      </c>
      <c r="AD34" s="73">
        <v>5363.62</v>
      </c>
      <c r="AE34" s="73">
        <v>1051.3699999999999</v>
      </c>
      <c r="AF34" s="73">
        <v>1134.8900000000001</v>
      </c>
      <c r="AG34" s="73">
        <v>1170.6099999999999</v>
      </c>
      <c r="AH34" s="73">
        <v>1220.68</v>
      </c>
      <c r="AI34" s="73">
        <v>4577.55</v>
      </c>
      <c r="AJ34" s="73">
        <v>1079.94</v>
      </c>
      <c r="AK34" s="73">
        <v>1098.3</v>
      </c>
      <c r="AL34" s="73">
        <v>1151.33</v>
      </c>
      <c r="AM34" s="73">
        <v>1300.73</v>
      </c>
      <c r="AN34" s="73">
        <v>4630.3</v>
      </c>
      <c r="AO34" s="74"/>
      <c r="AP34" s="75" t="s">
        <v>715</v>
      </c>
      <c r="AQ34" s="76">
        <v>23</v>
      </c>
      <c r="AR34" s="76"/>
    </row>
    <row r="35" spans="1:44" x14ac:dyDescent="0.2">
      <c r="A35" s="170">
        <v>24</v>
      </c>
      <c r="B35" s="171"/>
      <c r="C35" s="71"/>
      <c r="D35" s="77" t="s">
        <v>710</v>
      </c>
      <c r="E35" s="73">
        <v>611.66999999999996</v>
      </c>
      <c r="F35" s="73">
        <v>599.89</v>
      </c>
      <c r="G35" s="73">
        <v>537.45000000000005</v>
      </c>
      <c r="H35" s="73">
        <v>683.76</v>
      </c>
      <c r="I35" s="73">
        <v>2432.77</v>
      </c>
      <c r="J35" s="73">
        <v>1393.28</v>
      </c>
      <c r="K35" s="73">
        <v>1339.57</v>
      </c>
      <c r="L35" s="73">
        <v>1471.46</v>
      </c>
      <c r="M35" s="180">
        <v>1788.21</v>
      </c>
      <c r="N35" s="181"/>
      <c r="O35" s="73">
        <v>5992.54</v>
      </c>
      <c r="P35" s="73">
        <v>1458.99</v>
      </c>
      <c r="Q35" s="73">
        <v>1510.81</v>
      </c>
      <c r="R35" s="73">
        <v>1573.26</v>
      </c>
      <c r="S35" s="73">
        <v>1535.73</v>
      </c>
      <c r="T35" s="73">
        <v>6078.8</v>
      </c>
      <c r="U35" s="73">
        <v>1703.15</v>
      </c>
      <c r="V35" s="73">
        <v>1599.39</v>
      </c>
      <c r="W35" s="73">
        <v>1654.81</v>
      </c>
      <c r="X35" s="73">
        <v>1843.15</v>
      </c>
      <c r="Y35" s="73">
        <v>6800.5</v>
      </c>
      <c r="Z35" s="73">
        <v>1870.66</v>
      </c>
      <c r="AA35" s="73">
        <v>1829.33</v>
      </c>
      <c r="AB35" s="73">
        <v>1825.84</v>
      </c>
      <c r="AC35" s="73">
        <v>1826.33</v>
      </c>
      <c r="AD35" s="73">
        <v>7352.16</v>
      </c>
      <c r="AE35" s="73">
        <v>1719.49</v>
      </c>
      <c r="AF35" s="73">
        <v>1789.66</v>
      </c>
      <c r="AG35" s="73">
        <v>1837.8</v>
      </c>
      <c r="AH35" s="73">
        <v>1893.75</v>
      </c>
      <c r="AI35" s="73">
        <v>7240.71</v>
      </c>
      <c r="AJ35" s="73">
        <v>1815.07</v>
      </c>
      <c r="AK35" s="73">
        <v>1815.93</v>
      </c>
      <c r="AL35" s="73">
        <v>1883.44</v>
      </c>
      <c r="AM35" s="73">
        <v>2056.8000000000002</v>
      </c>
      <c r="AN35" s="73">
        <v>7571.25</v>
      </c>
      <c r="AO35" s="74"/>
      <c r="AP35" s="78" t="s">
        <v>711</v>
      </c>
      <c r="AQ35" s="76">
        <v>24</v>
      </c>
      <c r="AR35" s="76"/>
    </row>
    <row r="36" spans="1:44" x14ac:dyDescent="0.2">
      <c r="A36" s="170">
        <v>25</v>
      </c>
      <c r="B36" s="171"/>
      <c r="C36" s="71"/>
      <c r="D36" s="77" t="s">
        <v>712</v>
      </c>
      <c r="E36" s="73">
        <v>-305.58999999999997</v>
      </c>
      <c r="F36" s="73">
        <v>-326.52999999999997</v>
      </c>
      <c r="G36" s="73">
        <v>-275.81</v>
      </c>
      <c r="H36" s="73">
        <v>-386</v>
      </c>
      <c r="I36" s="73">
        <v>-1293.94</v>
      </c>
      <c r="J36" s="73">
        <v>-282.08999999999997</v>
      </c>
      <c r="K36" s="73">
        <v>-319.31</v>
      </c>
      <c r="L36" s="73">
        <v>-264.55</v>
      </c>
      <c r="M36" s="180">
        <v>-333.63</v>
      </c>
      <c r="N36" s="181"/>
      <c r="O36" s="73">
        <v>-1199.58</v>
      </c>
      <c r="P36" s="73">
        <v>-253.67</v>
      </c>
      <c r="Q36" s="73">
        <v>-312.85000000000002</v>
      </c>
      <c r="R36" s="73">
        <v>-252.29</v>
      </c>
      <c r="S36" s="73">
        <v>-396.92</v>
      </c>
      <c r="T36" s="73">
        <v>-1215.73</v>
      </c>
      <c r="U36" s="73">
        <v>-448.8</v>
      </c>
      <c r="V36" s="73">
        <v>-421.02</v>
      </c>
      <c r="W36" s="73">
        <v>-415.1</v>
      </c>
      <c r="X36" s="73">
        <v>-411.59</v>
      </c>
      <c r="Y36" s="73">
        <v>-1696.51</v>
      </c>
      <c r="Z36" s="73">
        <v>-499.68</v>
      </c>
      <c r="AA36" s="73">
        <v>-472.9</v>
      </c>
      <c r="AB36" s="73">
        <v>-494.47</v>
      </c>
      <c r="AC36" s="73">
        <v>-521.48</v>
      </c>
      <c r="AD36" s="73">
        <v>-1988.54</v>
      </c>
      <c r="AE36" s="73">
        <v>-668.12</v>
      </c>
      <c r="AF36" s="73">
        <v>-654.77</v>
      </c>
      <c r="AG36" s="73">
        <v>-667.2</v>
      </c>
      <c r="AH36" s="73">
        <v>-673.07</v>
      </c>
      <c r="AI36" s="73">
        <v>-2663.15</v>
      </c>
      <c r="AJ36" s="73">
        <v>-735.13</v>
      </c>
      <c r="AK36" s="73">
        <v>-717.64</v>
      </c>
      <c r="AL36" s="73">
        <v>-732.11</v>
      </c>
      <c r="AM36" s="73">
        <v>-756.08</v>
      </c>
      <c r="AN36" s="73">
        <v>-2940.95</v>
      </c>
      <c r="AO36" s="74"/>
      <c r="AP36" s="78" t="s">
        <v>713</v>
      </c>
      <c r="AQ36" s="76">
        <v>25</v>
      </c>
      <c r="AR36" s="76"/>
    </row>
    <row r="37" spans="1:44" x14ac:dyDescent="0.2">
      <c r="A37" s="170">
        <v>26</v>
      </c>
      <c r="B37" s="171"/>
      <c r="C37" s="71"/>
      <c r="D37" s="83" t="s">
        <v>716</v>
      </c>
      <c r="E37" s="73" t="s">
        <v>646</v>
      </c>
      <c r="F37" s="73" t="s">
        <v>646</v>
      </c>
      <c r="G37" s="73" t="s">
        <v>646</v>
      </c>
      <c r="H37" s="73" t="s">
        <v>646</v>
      </c>
      <c r="I37" s="73" t="s">
        <v>646</v>
      </c>
      <c r="J37" s="73" t="s">
        <v>646</v>
      </c>
      <c r="K37" s="73">
        <v>33.39</v>
      </c>
      <c r="L37" s="73">
        <v>100.18</v>
      </c>
      <c r="M37" s="180">
        <v>200.35</v>
      </c>
      <c r="N37" s="181"/>
      <c r="O37" s="73">
        <v>333.92</v>
      </c>
      <c r="P37" s="73">
        <v>71.77</v>
      </c>
      <c r="Q37" s="73">
        <v>49.06</v>
      </c>
      <c r="R37" s="73">
        <v>97.01</v>
      </c>
      <c r="S37" s="73">
        <v>132.47999999999999</v>
      </c>
      <c r="T37" s="73">
        <v>350.32</v>
      </c>
      <c r="U37" s="73">
        <v>42.64</v>
      </c>
      <c r="V37" s="73">
        <v>127.16</v>
      </c>
      <c r="W37" s="73">
        <v>254.82</v>
      </c>
      <c r="X37" s="73">
        <v>122.46</v>
      </c>
      <c r="Y37" s="73">
        <v>547.09</v>
      </c>
      <c r="Z37" s="73">
        <v>17.32</v>
      </c>
      <c r="AA37" s="73">
        <v>61.52</v>
      </c>
      <c r="AB37" s="73">
        <v>186.87</v>
      </c>
      <c r="AC37" s="73">
        <v>28.75</v>
      </c>
      <c r="AD37" s="73">
        <v>294.45</v>
      </c>
      <c r="AE37" s="73">
        <v>19.16</v>
      </c>
      <c r="AF37" s="73">
        <v>28.75</v>
      </c>
      <c r="AG37" s="73">
        <v>33.54</v>
      </c>
      <c r="AH37" s="73">
        <v>14.37</v>
      </c>
      <c r="AI37" s="73">
        <v>95.82</v>
      </c>
      <c r="AJ37" s="73">
        <v>18.3</v>
      </c>
      <c r="AK37" s="73">
        <v>2.04</v>
      </c>
      <c r="AL37" s="73">
        <v>3.83</v>
      </c>
      <c r="AM37" s="73">
        <v>25.67</v>
      </c>
      <c r="AN37" s="73">
        <v>49.85</v>
      </c>
      <c r="AO37" s="74"/>
      <c r="AP37" s="84" t="s">
        <v>717</v>
      </c>
      <c r="AQ37" s="76">
        <v>26</v>
      </c>
      <c r="AR37" s="76"/>
    </row>
    <row r="38" spans="1:44" x14ac:dyDescent="0.2">
      <c r="A38" s="170">
        <v>27</v>
      </c>
      <c r="B38" s="171"/>
      <c r="C38" s="71"/>
      <c r="D38" s="72" t="s">
        <v>710</v>
      </c>
      <c r="E38" s="73" t="s">
        <v>646</v>
      </c>
      <c r="F38" s="73" t="s">
        <v>646</v>
      </c>
      <c r="G38" s="73" t="s">
        <v>646</v>
      </c>
      <c r="H38" s="73" t="s">
        <v>646</v>
      </c>
      <c r="I38" s="73" t="s">
        <v>646</v>
      </c>
      <c r="J38" s="73" t="s">
        <v>646</v>
      </c>
      <c r="K38" s="73">
        <v>33.39</v>
      </c>
      <c r="L38" s="73">
        <v>100.18</v>
      </c>
      <c r="M38" s="180">
        <v>200.35</v>
      </c>
      <c r="N38" s="181"/>
      <c r="O38" s="73">
        <v>333.92</v>
      </c>
      <c r="P38" s="73">
        <v>71.77</v>
      </c>
      <c r="Q38" s="73">
        <v>49.06</v>
      </c>
      <c r="R38" s="73">
        <v>97.01</v>
      </c>
      <c r="S38" s="73">
        <v>132.47999999999999</v>
      </c>
      <c r="T38" s="73">
        <v>350.32</v>
      </c>
      <c r="U38" s="73">
        <v>42.64</v>
      </c>
      <c r="V38" s="73">
        <v>127.16</v>
      </c>
      <c r="W38" s="73">
        <v>254.82</v>
      </c>
      <c r="X38" s="73">
        <v>122.46</v>
      </c>
      <c r="Y38" s="73">
        <v>547.09</v>
      </c>
      <c r="Z38" s="73">
        <v>17.32</v>
      </c>
      <c r="AA38" s="73">
        <v>61.52</v>
      </c>
      <c r="AB38" s="73">
        <v>186.87</v>
      </c>
      <c r="AC38" s="73">
        <v>28.75</v>
      </c>
      <c r="AD38" s="73">
        <v>294.45</v>
      </c>
      <c r="AE38" s="73">
        <v>19.16</v>
      </c>
      <c r="AF38" s="73">
        <v>28.75</v>
      </c>
      <c r="AG38" s="73">
        <v>33.54</v>
      </c>
      <c r="AH38" s="73">
        <v>14.37</v>
      </c>
      <c r="AI38" s="73">
        <v>95.82</v>
      </c>
      <c r="AJ38" s="73">
        <v>18.3</v>
      </c>
      <c r="AK38" s="73">
        <v>2.04</v>
      </c>
      <c r="AL38" s="73">
        <v>3.83</v>
      </c>
      <c r="AM38" s="73">
        <v>25.67</v>
      </c>
      <c r="AN38" s="73">
        <v>49.85</v>
      </c>
      <c r="AO38" s="74"/>
      <c r="AP38" s="75" t="s">
        <v>711</v>
      </c>
      <c r="AQ38" s="76">
        <v>27</v>
      </c>
      <c r="AR38" s="76"/>
    </row>
    <row r="39" spans="1:44" x14ac:dyDescent="0.2">
      <c r="A39" s="170">
        <v>28</v>
      </c>
      <c r="B39" s="171"/>
      <c r="C39" s="71"/>
      <c r="D39" s="72" t="s">
        <v>712</v>
      </c>
      <c r="E39" s="73" t="s">
        <v>646</v>
      </c>
      <c r="F39" s="73" t="s">
        <v>646</v>
      </c>
      <c r="G39" s="73" t="s">
        <v>646</v>
      </c>
      <c r="H39" s="73" t="s">
        <v>646</v>
      </c>
      <c r="I39" s="73" t="s">
        <v>646</v>
      </c>
      <c r="J39" s="73" t="s">
        <v>646</v>
      </c>
      <c r="K39" s="73" t="s">
        <v>646</v>
      </c>
      <c r="L39" s="73" t="s">
        <v>646</v>
      </c>
      <c r="M39" s="180" t="s">
        <v>646</v>
      </c>
      <c r="N39" s="181"/>
      <c r="O39" s="73" t="s">
        <v>646</v>
      </c>
      <c r="P39" s="73" t="s">
        <v>646</v>
      </c>
      <c r="Q39" s="73" t="s">
        <v>646</v>
      </c>
      <c r="R39" s="73" t="s">
        <v>646</v>
      </c>
      <c r="S39" s="73" t="s">
        <v>646</v>
      </c>
      <c r="T39" s="73" t="s">
        <v>646</v>
      </c>
      <c r="U39" s="73" t="s">
        <v>646</v>
      </c>
      <c r="V39" s="73" t="s">
        <v>646</v>
      </c>
      <c r="W39" s="73" t="s">
        <v>646</v>
      </c>
      <c r="X39" s="73" t="s">
        <v>646</v>
      </c>
      <c r="Y39" s="73" t="s">
        <v>646</v>
      </c>
      <c r="Z39" s="73" t="s">
        <v>646</v>
      </c>
      <c r="AA39" s="73" t="s">
        <v>646</v>
      </c>
      <c r="AB39" s="73" t="s">
        <v>646</v>
      </c>
      <c r="AC39" s="73" t="s">
        <v>646</v>
      </c>
      <c r="AD39" s="73" t="s">
        <v>646</v>
      </c>
      <c r="AE39" s="73" t="s">
        <v>646</v>
      </c>
      <c r="AF39" s="73" t="s">
        <v>646</v>
      </c>
      <c r="AG39" s="73" t="s">
        <v>646</v>
      </c>
      <c r="AH39" s="73" t="s">
        <v>646</v>
      </c>
      <c r="AI39" s="73" t="s">
        <v>646</v>
      </c>
      <c r="AJ39" s="73" t="s">
        <v>646</v>
      </c>
      <c r="AK39" s="73" t="s">
        <v>646</v>
      </c>
      <c r="AL39" s="73" t="s">
        <v>646</v>
      </c>
      <c r="AM39" s="73" t="s">
        <v>646</v>
      </c>
      <c r="AN39" s="73" t="s">
        <v>646</v>
      </c>
      <c r="AO39" s="74"/>
      <c r="AP39" s="75" t="s">
        <v>713</v>
      </c>
      <c r="AQ39" s="76">
        <v>28</v>
      </c>
      <c r="AR39" s="76"/>
    </row>
    <row r="40" spans="1:44" x14ac:dyDescent="0.2">
      <c r="A40" s="170">
        <v>29</v>
      </c>
      <c r="B40" s="171"/>
      <c r="C40" s="71"/>
      <c r="D40" s="83" t="s">
        <v>718</v>
      </c>
      <c r="E40" s="73">
        <v>44.45</v>
      </c>
      <c r="F40" s="73">
        <v>-1936.36</v>
      </c>
      <c r="G40" s="73">
        <v>1330.3</v>
      </c>
      <c r="H40" s="73">
        <v>2413.98</v>
      </c>
      <c r="I40" s="73">
        <v>1852.37</v>
      </c>
      <c r="J40" s="73">
        <v>-772.56</v>
      </c>
      <c r="K40" s="73">
        <v>377.62</v>
      </c>
      <c r="L40" s="73">
        <v>-3397.94</v>
      </c>
      <c r="M40" s="180">
        <v>3803.65</v>
      </c>
      <c r="N40" s="181"/>
      <c r="O40" s="73">
        <v>10.76</v>
      </c>
      <c r="P40" s="73">
        <v>2352.44</v>
      </c>
      <c r="Q40" s="73">
        <v>289.83</v>
      </c>
      <c r="R40" s="73">
        <v>-1136.32</v>
      </c>
      <c r="S40" s="73">
        <v>1170.05</v>
      </c>
      <c r="T40" s="73">
        <v>2676.01</v>
      </c>
      <c r="U40" s="73">
        <v>1793.51</v>
      </c>
      <c r="V40" s="73">
        <v>1901.88</v>
      </c>
      <c r="W40" s="73">
        <v>-1188.4100000000001</v>
      </c>
      <c r="X40" s="73">
        <v>538.79</v>
      </c>
      <c r="Y40" s="73">
        <v>3045.76</v>
      </c>
      <c r="Z40" s="73">
        <v>-546.24</v>
      </c>
      <c r="AA40" s="73">
        <v>2043.12</v>
      </c>
      <c r="AB40" s="73">
        <v>2320.92</v>
      </c>
      <c r="AC40" s="73">
        <v>-5944.07</v>
      </c>
      <c r="AD40" s="73">
        <v>-2126.27</v>
      </c>
      <c r="AE40" s="73">
        <v>1815.6000000000001</v>
      </c>
      <c r="AF40" s="73">
        <v>-2348.98</v>
      </c>
      <c r="AG40" s="73">
        <v>2891.19</v>
      </c>
      <c r="AH40" s="73">
        <v>2399.23</v>
      </c>
      <c r="AI40" s="73">
        <v>4757.0299999999988</v>
      </c>
      <c r="AJ40" s="73">
        <v>5569.27</v>
      </c>
      <c r="AK40" s="73">
        <v>3734.41</v>
      </c>
      <c r="AL40" s="73">
        <v>7404.25</v>
      </c>
      <c r="AM40" s="73">
        <v>9768.2000000000007</v>
      </c>
      <c r="AN40" s="73">
        <v>26476.13</v>
      </c>
      <c r="AO40" s="74"/>
      <c r="AP40" s="84" t="s">
        <v>719</v>
      </c>
      <c r="AQ40" s="76">
        <v>29</v>
      </c>
      <c r="AR40" s="76"/>
    </row>
    <row r="41" spans="1:44" x14ac:dyDescent="0.2">
      <c r="A41" s="170">
        <v>30</v>
      </c>
      <c r="B41" s="171"/>
      <c r="C41" s="71"/>
      <c r="D41" s="72" t="s">
        <v>720</v>
      </c>
      <c r="E41" s="73">
        <v>-2304.37</v>
      </c>
      <c r="F41" s="73">
        <v>-2558.5500000000002</v>
      </c>
      <c r="G41" s="73">
        <v>-876.57</v>
      </c>
      <c r="H41" s="73">
        <v>-293.26</v>
      </c>
      <c r="I41" s="73">
        <v>-6032.74</v>
      </c>
      <c r="J41" s="73">
        <v>-2538.33</v>
      </c>
      <c r="K41" s="73">
        <v>-3510.47</v>
      </c>
      <c r="L41" s="73">
        <v>-6271.76</v>
      </c>
      <c r="M41" s="180">
        <v>-2899.52</v>
      </c>
      <c r="N41" s="181"/>
      <c r="O41" s="73">
        <v>-15220.07</v>
      </c>
      <c r="P41" s="73">
        <v>-2811.5</v>
      </c>
      <c r="Q41" s="73">
        <v>414.56</v>
      </c>
      <c r="R41" s="73">
        <v>-2179.7399999999998</v>
      </c>
      <c r="S41" s="73">
        <v>-3740.15</v>
      </c>
      <c r="T41" s="73">
        <v>-8316.83</v>
      </c>
      <c r="U41" s="73">
        <v>-2069.98</v>
      </c>
      <c r="V41" s="73">
        <v>-3940.62</v>
      </c>
      <c r="W41" s="73">
        <v>-5124.0600000000004</v>
      </c>
      <c r="X41" s="73">
        <v>-2528.73</v>
      </c>
      <c r="Y41" s="73">
        <v>-13663.4</v>
      </c>
      <c r="Z41" s="73">
        <v>-5314.59</v>
      </c>
      <c r="AA41" s="73">
        <v>-3401.79</v>
      </c>
      <c r="AB41" s="73">
        <v>-3281.42</v>
      </c>
      <c r="AC41" s="73">
        <v>-6303.08</v>
      </c>
      <c r="AD41" s="73">
        <v>-18300.88</v>
      </c>
      <c r="AE41" s="73">
        <v>-1456.55</v>
      </c>
      <c r="AF41" s="73">
        <v>-3510.61</v>
      </c>
      <c r="AG41" s="73">
        <v>-7553.44</v>
      </c>
      <c r="AH41" s="73">
        <v>-4438.3999999999996</v>
      </c>
      <c r="AI41" s="73">
        <v>-16959.010000000002</v>
      </c>
      <c r="AJ41" s="73">
        <v>-4160.5200000000004</v>
      </c>
      <c r="AK41" s="73">
        <v>-510.27</v>
      </c>
      <c r="AL41" s="73">
        <v>-4341.8500000000004</v>
      </c>
      <c r="AM41" s="73">
        <v>1718.42</v>
      </c>
      <c r="AN41" s="73">
        <v>-7294.22</v>
      </c>
      <c r="AO41" s="74"/>
      <c r="AP41" s="75" t="s">
        <v>721</v>
      </c>
      <c r="AQ41" s="76">
        <v>30</v>
      </c>
      <c r="AR41" s="76"/>
    </row>
    <row r="42" spans="1:44" x14ac:dyDescent="0.2">
      <c r="A42" s="170">
        <v>31</v>
      </c>
      <c r="B42" s="171"/>
      <c r="C42" s="71"/>
      <c r="D42" s="72" t="s">
        <v>722</v>
      </c>
      <c r="E42" s="73">
        <v>2348.8200000000002</v>
      </c>
      <c r="F42" s="73">
        <v>622.19000000000005</v>
      </c>
      <c r="G42" s="73">
        <v>2206.87</v>
      </c>
      <c r="H42" s="73">
        <v>2707.23</v>
      </c>
      <c r="I42" s="73">
        <v>7885.11</v>
      </c>
      <c r="J42" s="73">
        <v>1765.77</v>
      </c>
      <c r="K42" s="73">
        <v>3888.09</v>
      </c>
      <c r="L42" s="73">
        <v>2873.81</v>
      </c>
      <c r="M42" s="180">
        <v>6703.17</v>
      </c>
      <c r="N42" s="181"/>
      <c r="O42" s="73">
        <v>15230.84</v>
      </c>
      <c r="P42" s="73">
        <v>5163.95</v>
      </c>
      <c r="Q42" s="73">
        <v>-124.73</v>
      </c>
      <c r="R42" s="73">
        <v>1043.42</v>
      </c>
      <c r="S42" s="73">
        <v>4910.2</v>
      </c>
      <c r="T42" s="73">
        <v>10992.84</v>
      </c>
      <c r="U42" s="73">
        <v>3863.49</v>
      </c>
      <c r="V42" s="73">
        <v>5842.5</v>
      </c>
      <c r="W42" s="73">
        <v>3935.65</v>
      </c>
      <c r="X42" s="73">
        <v>3067.51</v>
      </c>
      <c r="Y42" s="73">
        <v>16709.16</v>
      </c>
      <c r="Z42" s="73">
        <v>4768.3500000000004</v>
      </c>
      <c r="AA42" s="73">
        <v>5444.91</v>
      </c>
      <c r="AB42" s="73">
        <v>5602.34</v>
      </c>
      <c r="AC42" s="73">
        <v>359.01</v>
      </c>
      <c r="AD42" s="73">
        <v>16174.61</v>
      </c>
      <c r="AE42" s="73">
        <v>3272.15</v>
      </c>
      <c r="AF42" s="73">
        <v>1161.6400000000001</v>
      </c>
      <c r="AG42" s="73">
        <v>10444.629999999999</v>
      </c>
      <c r="AH42" s="73">
        <v>6837.62</v>
      </c>
      <c r="AI42" s="73">
        <v>21716.04</v>
      </c>
      <c r="AJ42" s="73">
        <v>9729.7900000000009</v>
      </c>
      <c r="AK42" s="73">
        <v>4244.68</v>
      </c>
      <c r="AL42" s="73">
        <v>11746.1</v>
      </c>
      <c r="AM42" s="73">
        <v>8049.77</v>
      </c>
      <c r="AN42" s="73">
        <v>33770.35</v>
      </c>
      <c r="AO42" s="74"/>
      <c r="AP42" s="75" t="s">
        <v>723</v>
      </c>
      <c r="AQ42" s="76">
        <v>31</v>
      </c>
      <c r="AR42" s="76"/>
    </row>
    <row r="43" spans="1:44" x14ac:dyDescent="0.2">
      <c r="A43" s="170">
        <v>32</v>
      </c>
      <c r="B43" s="171"/>
      <c r="C43" s="71"/>
      <c r="D43" s="72" t="s">
        <v>724</v>
      </c>
      <c r="E43" s="73">
        <v>-11.8</v>
      </c>
      <c r="F43" s="73">
        <v>-869.95</v>
      </c>
      <c r="G43" s="73">
        <v>-330.99</v>
      </c>
      <c r="H43" s="73">
        <v>-299.55</v>
      </c>
      <c r="I43" s="73">
        <v>-1512.29</v>
      </c>
      <c r="J43" s="73">
        <v>206.56</v>
      </c>
      <c r="K43" s="73">
        <v>3131.51</v>
      </c>
      <c r="L43" s="73">
        <v>878</v>
      </c>
      <c r="M43" s="180">
        <v>1055.2</v>
      </c>
      <c r="N43" s="181"/>
      <c r="O43" s="73">
        <v>5271.27</v>
      </c>
      <c r="P43" s="73">
        <v>596.12</v>
      </c>
      <c r="Q43" s="73">
        <v>485.87</v>
      </c>
      <c r="R43" s="73">
        <v>-135.34</v>
      </c>
      <c r="S43" s="73">
        <v>1241.81</v>
      </c>
      <c r="T43" s="73">
        <v>2188.4499999999998</v>
      </c>
      <c r="U43" s="73">
        <v>-245.69</v>
      </c>
      <c r="V43" s="73">
        <v>1425.6</v>
      </c>
      <c r="W43" s="73">
        <v>764.11</v>
      </c>
      <c r="X43" s="73">
        <v>309.3</v>
      </c>
      <c r="Y43" s="73">
        <v>2253.3200000000002</v>
      </c>
      <c r="Z43" s="73">
        <v>630.28</v>
      </c>
      <c r="AA43" s="73">
        <v>197.3</v>
      </c>
      <c r="AB43" s="73">
        <v>1870.67</v>
      </c>
      <c r="AC43" s="73">
        <v>720.48</v>
      </c>
      <c r="AD43" s="73">
        <v>3418.72</v>
      </c>
      <c r="AE43" s="73">
        <v>628.16999999999996</v>
      </c>
      <c r="AF43" s="73">
        <v>574.58000000000004</v>
      </c>
      <c r="AG43" s="73">
        <v>647.24</v>
      </c>
      <c r="AH43" s="73">
        <v>778.75</v>
      </c>
      <c r="AI43" s="73">
        <v>2628.75</v>
      </c>
      <c r="AJ43" s="73">
        <v>2555.9</v>
      </c>
      <c r="AK43" s="73">
        <v>2367.5700000000002</v>
      </c>
      <c r="AL43" s="73">
        <v>1763.93</v>
      </c>
      <c r="AM43" s="73">
        <v>4418.93</v>
      </c>
      <c r="AN43" s="73">
        <v>11106.33</v>
      </c>
      <c r="AO43" s="74"/>
      <c r="AP43" s="75" t="s">
        <v>725</v>
      </c>
      <c r="AQ43" s="76">
        <v>32</v>
      </c>
      <c r="AR43" s="76"/>
    </row>
    <row r="44" spans="1:44" x14ac:dyDescent="0.2">
      <c r="A44" s="170">
        <v>33</v>
      </c>
      <c r="B44" s="171"/>
      <c r="C44" s="71"/>
      <c r="D44" s="77" t="s">
        <v>726</v>
      </c>
      <c r="E44" s="73">
        <v>-1575.73</v>
      </c>
      <c r="F44" s="73">
        <v>-2352.75</v>
      </c>
      <c r="G44" s="73">
        <v>-1492.98</v>
      </c>
      <c r="H44" s="73">
        <v>-1949.56</v>
      </c>
      <c r="I44" s="73">
        <v>-7371.02</v>
      </c>
      <c r="J44" s="73">
        <v>-1568.16</v>
      </c>
      <c r="K44" s="73">
        <v>-1632.05</v>
      </c>
      <c r="L44" s="73">
        <v>-1161.3699999999999</v>
      </c>
      <c r="M44" s="180">
        <v>-1131.44</v>
      </c>
      <c r="N44" s="181"/>
      <c r="O44" s="73">
        <v>-5493.02</v>
      </c>
      <c r="P44" s="73">
        <v>-1072.69</v>
      </c>
      <c r="Q44" s="73">
        <v>-944.22</v>
      </c>
      <c r="R44" s="73">
        <v>-1611.23</v>
      </c>
      <c r="S44" s="73">
        <v>-1272.76</v>
      </c>
      <c r="T44" s="73">
        <v>-4900.8999999999996</v>
      </c>
      <c r="U44" s="73">
        <v>-1468.52</v>
      </c>
      <c r="V44" s="73">
        <v>239.8</v>
      </c>
      <c r="W44" s="73">
        <v>-1506.55</v>
      </c>
      <c r="X44" s="73">
        <v>-2027.19</v>
      </c>
      <c r="Y44" s="73">
        <v>-4762.46</v>
      </c>
      <c r="Z44" s="73">
        <v>-1820.3</v>
      </c>
      <c r="AA44" s="73">
        <v>-1487.12</v>
      </c>
      <c r="AB44" s="73">
        <v>-1606.04</v>
      </c>
      <c r="AC44" s="73">
        <v>-1338.07</v>
      </c>
      <c r="AD44" s="73">
        <v>-6251.54</v>
      </c>
      <c r="AE44" s="73">
        <v>-1348.71</v>
      </c>
      <c r="AF44" s="73">
        <v>-929.06</v>
      </c>
      <c r="AG44" s="73">
        <v>-1138.9100000000001</v>
      </c>
      <c r="AH44" s="73">
        <v>-1396.43</v>
      </c>
      <c r="AI44" s="73">
        <v>-4813.1099999999997</v>
      </c>
      <c r="AJ44" s="73">
        <v>-998.72</v>
      </c>
      <c r="AK44" s="73">
        <v>-1059.1099999999999</v>
      </c>
      <c r="AL44" s="73">
        <v>-1419.97</v>
      </c>
      <c r="AM44" s="73">
        <v>-707.88</v>
      </c>
      <c r="AN44" s="73">
        <v>-4185.68</v>
      </c>
      <c r="AO44" s="74"/>
      <c r="AP44" s="78" t="s">
        <v>727</v>
      </c>
      <c r="AQ44" s="76">
        <v>33</v>
      </c>
      <c r="AR44" s="76"/>
    </row>
    <row r="45" spans="1:44" x14ac:dyDescent="0.2">
      <c r="A45" s="170">
        <v>34</v>
      </c>
      <c r="B45" s="171"/>
      <c r="C45" s="71"/>
      <c r="D45" s="77" t="s">
        <v>728</v>
      </c>
      <c r="E45" s="73">
        <v>1563.94</v>
      </c>
      <c r="F45" s="73">
        <v>1482.79</v>
      </c>
      <c r="G45" s="73">
        <v>1161.99</v>
      </c>
      <c r="H45" s="73">
        <v>1650.02</v>
      </c>
      <c r="I45" s="73">
        <v>5858.74</v>
      </c>
      <c r="J45" s="73">
        <v>1774.72</v>
      </c>
      <c r="K45" s="73">
        <v>4763.5600000000004</v>
      </c>
      <c r="L45" s="73">
        <v>2039.37</v>
      </c>
      <c r="M45" s="180">
        <v>2186.64</v>
      </c>
      <c r="N45" s="181"/>
      <c r="O45" s="73">
        <v>10764.29</v>
      </c>
      <c r="P45" s="73">
        <v>1668.82</v>
      </c>
      <c r="Q45" s="73">
        <v>1430.08</v>
      </c>
      <c r="R45" s="73">
        <v>1475.88</v>
      </c>
      <c r="S45" s="73">
        <v>2514.56</v>
      </c>
      <c r="T45" s="73">
        <v>7089.34</v>
      </c>
      <c r="U45" s="73">
        <v>1222.83</v>
      </c>
      <c r="V45" s="73">
        <v>1185.8</v>
      </c>
      <c r="W45" s="73">
        <v>2270.66</v>
      </c>
      <c r="X45" s="73">
        <v>2336.4899999999998</v>
      </c>
      <c r="Y45" s="73">
        <v>7015.78</v>
      </c>
      <c r="Z45" s="73">
        <v>2450.59</v>
      </c>
      <c r="AA45" s="73">
        <v>1684.42</v>
      </c>
      <c r="AB45" s="73">
        <v>3476.7</v>
      </c>
      <c r="AC45" s="73">
        <v>2058.5500000000002</v>
      </c>
      <c r="AD45" s="73">
        <v>9670.26</v>
      </c>
      <c r="AE45" s="73">
        <v>1976.88</v>
      </c>
      <c r="AF45" s="73">
        <v>1503.64</v>
      </c>
      <c r="AG45" s="73">
        <v>1786.15</v>
      </c>
      <c r="AH45" s="73">
        <v>2175.1799999999998</v>
      </c>
      <c r="AI45" s="73">
        <v>7441.86</v>
      </c>
      <c r="AJ45" s="73">
        <v>3554.61</v>
      </c>
      <c r="AK45" s="73">
        <v>3426.69</v>
      </c>
      <c r="AL45" s="73">
        <v>3183.9</v>
      </c>
      <c r="AM45" s="73">
        <v>5126.8100000000004</v>
      </c>
      <c r="AN45" s="73">
        <v>15292.01</v>
      </c>
      <c r="AO45" s="74"/>
      <c r="AP45" s="78" t="s">
        <v>729</v>
      </c>
      <c r="AQ45" s="76">
        <v>34</v>
      </c>
      <c r="AR45" s="76"/>
    </row>
    <row r="46" spans="1:44" x14ac:dyDescent="0.2">
      <c r="A46" s="170">
        <v>35</v>
      </c>
      <c r="B46" s="171"/>
      <c r="C46" s="71"/>
      <c r="D46" s="72" t="s">
        <v>730</v>
      </c>
      <c r="E46" s="73">
        <v>1747.82</v>
      </c>
      <c r="F46" s="73">
        <v>-76.33</v>
      </c>
      <c r="G46" s="73">
        <v>980.54</v>
      </c>
      <c r="H46" s="73">
        <v>1756.59</v>
      </c>
      <c r="I46" s="73">
        <v>4408.6099999999997</v>
      </c>
      <c r="J46" s="73">
        <v>394.97</v>
      </c>
      <c r="K46" s="73">
        <v>-804.41</v>
      </c>
      <c r="L46" s="73">
        <v>1737.62</v>
      </c>
      <c r="M46" s="180">
        <v>2861.08</v>
      </c>
      <c r="N46" s="181"/>
      <c r="O46" s="73">
        <v>4189.2700000000004</v>
      </c>
      <c r="P46" s="73">
        <v>3714.31</v>
      </c>
      <c r="Q46" s="73">
        <v>-955.81</v>
      </c>
      <c r="R46" s="73">
        <v>206.81</v>
      </c>
      <c r="S46" s="73">
        <v>1311.89</v>
      </c>
      <c r="T46" s="73">
        <v>4277.1899999999996</v>
      </c>
      <c r="U46" s="73">
        <v>2491.42</v>
      </c>
      <c r="V46" s="73">
        <v>3810.11</v>
      </c>
      <c r="W46" s="73">
        <v>465.6</v>
      </c>
      <c r="X46" s="73">
        <v>-1200.48</v>
      </c>
      <c r="Y46" s="73">
        <v>5566.64</v>
      </c>
      <c r="Z46" s="73">
        <v>1983.94</v>
      </c>
      <c r="AA46" s="73">
        <v>4187.79</v>
      </c>
      <c r="AB46" s="73">
        <v>62.88</v>
      </c>
      <c r="AC46" s="73">
        <v>-4470.3599999999997</v>
      </c>
      <c r="AD46" s="73">
        <v>1764.25</v>
      </c>
      <c r="AE46" s="73">
        <v>1949.86</v>
      </c>
      <c r="AF46" s="73">
        <v>1893.26</v>
      </c>
      <c r="AG46" s="73">
        <v>2972.04</v>
      </c>
      <c r="AH46" s="73">
        <v>3520.75</v>
      </c>
      <c r="AI46" s="73">
        <v>10335.91</v>
      </c>
      <c r="AJ46" s="73">
        <v>6159.35</v>
      </c>
      <c r="AK46" s="73">
        <v>1088.67</v>
      </c>
      <c r="AL46" s="73">
        <v>4517.08</v>
      </c>
      <c r="AM46" s="73">
        <v>1436.89</v>
      </c>
      <c r="AN46" s="73">
        <v>13201.98</v>
      </c>
      <c r="AO46" s="74"/>
      <c r="AP46" s="75" t="s">
        <v>731</v>
      </c>
      <c r="AQ46" s="76">
        <v>35</v>
      </c>
      <c r="AR46" s="76"/>
    </row>
    <row r="47" spans="1:44" x14ac:dyDescent="0.2">
      <c r="A47" s="170">
        <v>36</v>
      </c>
      <c r="B47" s="171"/>
      <c r="C47" s="71"/>
      <c r="D47" s="77" t="s">
        <v>726</v>
      </c>
      <c r="E47" s="73">
        <v>36</v>
      </c>
      <c r="F47" s="73">
        <v>-243</v>
      </c>
      <c r="G47" s="73">
        <v>56</v>
      </c>
      <c r="H47" s="73">
        <v>504</v>
      </c>
      <c r="I47" s="73">
        <v>353</v>
      </c>
      <c r="J47" s="73">
        <v>-339.23</v>
      </c>
      <c r="K47" s="73">
        <v>-63.07</v>
      </c>
      <c r="L47" s="73">
        <v>-461.8</v>
      </c>
      <c r="M47" s="180">
        <v>-216.38</v>
      </c>
      <c r="N47" s="181"/>
      <c r="O47" s="73">
        <v>-1080.49</v>
      </c>
      <c r="P47" s="73">
        <v>-390.16</v>
      </c>
      <c r="Q47" s="73">
        <v>-345.04</v>
      </c>
      <c r="R47" s="73">
        <v>-332.51</v>
      </c>
      <c r="S47" s="73">
        <v>-762.2</v>
      </c>
      <c r="T47" s="73">
        <v>-1829.91</v>
      </c>
      <c r="U47" s="73">
        <v>-496.87</v>
      </c>
      <c r="V47" s="73">
        <v>-1897.22</v>
      </c>
      <c r="W47" s="73">
        <v>-1257.4000000000001</v>
      </c>
      <c r="X47" s="73">
        <v>-763.79</v>
      </c>
      <c r="Y47" s="73">
        <v>-4415.28</v>
      </c>
      <c r="Z47" s="73">
        <v>-822.63</v>
      </c>
      <c r="AA47" s="73">
        <v>59.83</v>
      </c>
      <c r="AB47" s="73">
        <v>-65.069999999999993</v>
      </c>
      <c r="AC47" s="73">
        <v>-466.51</v>
      </c>
      <c r="AD47" s="73">
        <v>-1294.3900000000001</v>
      </c>
      <c r="AE47" s="73">
        <v>132.94</v>
      </c>
      <c r="AF47" s="73">
        <v>361.71</v>
      </c>
      <c r="AG47" s="73">
        <v>-331.3</v>
      </c>
      <c r="AH47" s="73">
        <v>-307.39999999999998</v>
      </c>
      <c r="AI47" s="73">
        <v>-144.06</v>
      </c>
      <c r="AJ47" s="73">
        <v>-409.34</v>
      </c>
      <c r="AK47" s="73">
        <v>-152.04</v>
      </c>
      <c r="AL47" s="73">
        <v>-1597.42</v>
      </c>
      <c r="AM47" s="73">
        <v>-352.51</v>
      </c>
      <c r="AN47" s="73">
        <v>-2511.3000000000002</v>
      </c>
      <c r="AO47" s="74"/>
      <c r="AP47" s="78" t="s">
        <v>727</v>
      </c>
      <c r="AQ47" s="76">
        <v>36</v>
      </c>
      <c r="AR47" s="76"/>
    </row>
    <row r="48" spans="1:44" x14ac:dyDescent="0.2">
      <c r="A48" s="170">
        <v>37</v>
      </c>
      <c r="B48" s="171"/>
      <c r="C48" s="71"/>
      <c r="D48" s="77" t="s">
        <v>728</v>
      </c>
      <c r="E48" s="73">
        <v>1711.82</v>
      </c>
      <c r="F48" s="73">
        <v>166.67</v>
      </c>
      <c r="G48" s="73">
        <v>924.54</v>
      </c>
      <c r="H48" s="73">
        <v>1252.5899999999999</v>
      </c>
      <c r="I48" s="73">
        <v>4055.61</v>
      </c>
      <c r="J48" s="73">
        <v>734.2</v>
      </c>
      <c r="K48" s="73">
        <v>-741.33</v>
      </c>
      <c r="L48" s="73">
        <v>2199.4299999999998</v>
      </c>
      <c r="M48" s="180">
        <v>3077.47</v>
      </c>
      <c r="N48" s="181"/>
      <c r="O48" s="73">
        <v>5269.76</v>
      </c>
      <c r="P48" s="73">
        <v>4104.47</v>
      </c>
      <c r="Q48" s="73">
        <v>-610.77</v>
      </c>
      <c r="R48" s="73">
        <v>539.32000000000005</v>
      </c>
      <c r="S48" s="73">
        <v>2074.08</v>
      </c>
      <c r="T48" s="73">
        <v>6107.1</v>
      </c>
      <c r="U48" s="73">
        <v>2988.29</v>
      </c>
      <c r="V48" s="73">
        <v>5707.32</v>
      </c>
      <c r="W48" s="73">
        <v>1723</v>
      </c>
      <c r="X48" s="73">
        <v>-436.7</v>
      </c>
      <c r="Y48" s="73">
        <v>9981.92</v>
      </c>
      <c r="Z48" s="73">
        <v>2806.57</v>
      </c>
      <c r="AA48" s="73">
        <v>4127.96</v>
      </c>
      <c r="AB48" s="73">
        <v>127.95</v>
      </c>
      <c r="AC48" s="73">
        <v>-4003.84</v>
      </c>
      <c r="AD48" s="73">
        <v>3058.65</v>
      </c>
      <c r="AE48" s="73">
        <v>1816.92</v>
      </c>
      <c r="AF48" s="73">
        <v>1531.55</v>
      </c>
      <c r="AG48" s="73">
        <v>3303.34</v>
      </c>
      <c r="AH48" s="73">
        <v>3828.15</v>
      </c>
      <c r="AI48" s="73">
        <v>10479.959999999999</v>
      </c>
      <c r="AJ48" s="73">
        <v>6568.68</v>
      </c>
      <c r="AK48" s="73">
        <v>1240.71</v>
      </c>
      <c r="AL48" s="73">
        <v>6114.49</v>
      </c>
      <c r="AM48" s="73">
        <v>1789.41</v>
      </c>
      <c r="AN48" s="73">
        <v>15713.28</v>
      </c>
      <c r="AO48" s="74"/>
      <c r="AP48" s="78" t="s">
        <v>729</v>
      </c>
      <c r="AQ48" s="76">
        <v>37</v>
      </c>
      <c r="AR48" s="76"/>
    </row>
    <row r="49" spans="1:47" x14ac:dyDescent="0.2">
      <c r="A49" s="170">
        <v>38</v>
      </c>
      <c r="B49" s="171"/>
      <c r="C49" s="71"/>
      <c r="D49" s="79" t="s">
        <v>732</v>
      </c>
      <c r="E49" s="73">
        <v>1058.96</v>
      </c>
      <c r="F49" s="73">
        <v>-92.66</v>
      </c>
      <c r="G49" s="73">
        <v>487.52</v>
      </c>
      <c r="H49" s="73">
        <v>797.64</v>
      </c>
      <c r="I49" s="73">
        <v>2251.46</v>
      </c>
      <c r="J49" s="73">
        <v>623.54999999999995</v>
      </c>
      <c r="K49" s="73">
        <v>89.49</v>
      </c>
      <c r="L49" s="73">
        <v>1428.9</v>
      </c>
      <c r="M49" s="180">
        <v>2683.65</v>
      </c>
      <c r="N49" s="181"/>
      <c r="O49" s="73">
        <v>4825.59</v>
      </c>
      <c r="P49" s="73">
        <v>4017.71</v>
      </c>
      <c r="Q49" s="73">
        <v>-1048.45</v>
      </c>
      <c r="R49" s="73">
        <v>469.11</v>
      </c>
      <c r="S49" s="73">
        <v>1076.05</v>
      </c>
      <c r="T49" s="73">
        <v>4514.41</v>
      </c>
      <c r="U49" s="73">
        <v>2552.27</v>
      </c>
      <c r="V49" s="73">
        <v>4153.09</v>
      </c>
      <c r="W49" s="73">
        <v>59.06</v>
      </c>
      <c r="X49" s="73">
        <v>-1493.72</v>
      </c>
      <c r="Y49" s="73">
        <v>5270.7</v>
      </c>
      <c r="Z49" s="73">
        <v>2565.66</v>
      </c>
      <c r="AA49" s="73">
        <v>3894.26</v>
      </c>
      <c r="AB49" s="73">
        <v>-113.54</v>
      </c>
      <c r="AC49" s="73">
        <v>-2985.23</v>
      </c>
      <c r="AD49" s="73">
        <v>3361.16</v>
      </c>
      <c r="AE49" s="73">
        <v>2901.68</v>
      </c>
      <c r="AF49" s="73">
        <v>1695.99</v>
      </c>
      <c r="AG49" s="73">
        <v>2597.27</v>
      </c>
      <c r="AH49" s="73">
        <v>2383.0300000000002</v>
      </c>
      <c r="AI49" s="73">
        <v>9577.9599999999991</v>
      </c>
      <c r="AJ49" s="73">
        <v>6555.7</v>
      </c>
      <c r="AK49" s="73">
        <v>997.1</v>
      </c>
      <c r="AL49" s="73">
        <v>4819.6000000000004</v>
      </c>
      <c r="AM49" s="73">
        <v>1153.6600000000001</v>
      </c>
      <c r="AN49" s="73">
        <v>13526.06</v>
      </c>
      <c r="AO49" s="74"/>
      <c r="AP49" s="80" t="s">
        <v>733</v>
      </c>
      <c r="AQ49" s="76">
        <v>38</v>
      </c>
      <c r="AR49" s="76"/>
    </row>
    <row r="50" spans="1:47" x14ac:dyDescent="0.2">
      <c r="A50" s="170">
        <v>39</v>
      </c>
      <c r="B50" s="171"/>
      <c r="C50" s="71"/>
      <c r="D50" s="79" t="s">
        <v>734</v>
      </c>
      <c r="E50" s="73">
        <v>652.86</v>
      </c>
      <c r="F50" s="73">
        <v>259.33</v>
      </c>
      <c r="G50" s="73">
        <v>437.02</v>
      </c>
      <c r="H50" s="73">
        <v>454.95</v>
      </c>
      <c r="I50" s="73">
        <v>1804.16</v>
      </c>
      <c r="J50" s="73">
        <v>110.65</v>
      </c>
      <c r="K50" s="73">
        <v>-830.83</v>
      </c>
      <c r="L50" s="73">
        <v>770.52</v>
      </c>
      <c r="M50" s="180">
        <v>393.82</v>
      </c>
      <c r="N50" s="181"/>
      <c r="O50" s="73">
        <v>444.17</v>
      </c>
      <c r="P50" s="73">
        <v>86.76</v>
      </c>
      <c r="Q50" s="73">
        <v>437.68</v>
      </c>
      <c r="R50" s="73">
        <v>70.209999999999994</v>
      </c>
      <c r="S50" s="73">
        <v>998.03</v>
      </c>
      <c r="T50" s="73">
        <v>1592.69</v>
      </c>
      <c r="U50" s="73">
        <v>436.02</v>
      </c>
      <c r="V50" s="73">
        <v>1554.23</v>
      </c>
      <c r="W50" s="73">
        <v>1663.94</v>
      </c>
      <c r="X50" s="73">
        <v>1057.03</v>
      </c>
      <c r="Y50" s="73">
        <v>4711.22</v>
      </c>
      <c r="Z50" s="73">
        <v>240.91</v>
      </c>
      <c r="AA50" s="73">
        <v>233.7</v>
      </c>
      <c r="AB50" s="73">
        <v>241.5</v>
      </c>
      <c r="AC50" s="73">
        <v>-1018.62</v>
      </c>
      <c r="AD50" s="73">
        <v>-302.51</v>
      </c>
      <c r="AE50" s="73">
        <v>-1084.76</v>
      </c>
      <c r="AF50" s="73">
        <v>-164.44</v>
      </c>
      <c r="AG50" s="73">
        <v>706.08</v>
      </c>
      <c r="AH50" s="73">
        <v>1445.12</v>
      </c>
      <c r="AI50" s="73">
        <v>902</v>
      </c>
      <c r="AJ50" s="73">
        <v>12.98</v>
      </c>
      <c r="AK50" s="73">
        <v>243.61</v>
      </c>
      <c r="AL50" s="73">
        <v>1294.9000000000001</v>
      </c>
      <c r="AM50" s="73">
        <v>635.74</v>
      </c>
      <c r="AN50" s="73">
        <v>2187.2199999999998</v>
      </c>
      <c r="AO50" s="74"/>
      <c r="AP50" s="80" t="s">
        <v>735</v>
      </c>
      <c r="AQ50" s="76">
        <v>39</v>
      </c>
      <c r="AR50" s="76"/>
    </row>
    <row r="51" spans="1:47" x14ac:dyDescent="0.2">
      <c r="A51" s="170">
        <v>40</v>
      </c>
      <c r="B51" s="171"/>
      <c r="C51" s="71"/>
      <c r="D51" s="72" t="s">
        <v>736</v>
      </c>
      <c r="E51" s="73" t="s">
        <v>646</v>
      </c>
      <c r="F51" s="73" t="s">
        <v>646</v>
      </c>
      <c r="G51" s="73" t="s">
        <v>646</v>
      </c>
      <c r="H51" s="73" t="s">
        <v>646</v>
      </c>
      <c r="I51" s="73" t="s">
        <v>646</v>
      </c>
      <c r="J51" s="73" t="s">
        <v>646</v>
      </c>
      <c r="K51" s="73" t="s">
        <v>646</v>
      </c>
      <c r="L51" s="73" t="s">
        <v>646</v>
      </c>
      <c r="M51" s="180" t="s">
        <v>646</v>
      </c>
      <c r="N51" s="181"/>
      <c r="O51" s="73" t="s">
        <v>646</v>
      </c>
      <c r="P51" s="73" t="s">
        <v>646</v>
      </c>
      <c r="Q51" s="73" t="s">
        <v>646</v>
      </c>
      <c r="R51" s="73" t="s">
        <v>646</v>
      </c>
      <c r="S51" s="73" t="s">
        <v>646</v>
      </c>
      <c r="T51" s="73" t="s">
        <v>646</v>
      </c>
      <c r="U51" s="73" t="s">
        <v>646</v>
      </c>
      <c r="V51" s="73" t="s">
        <v>646</v>
      </c>
      <c r="W51" s="73" t="s">
        <v>646</v>
      </c>
      <c r="X51" s="73" t="s">
        <v>646</v>
      </c>
      <c r="Y51" s="73" t="s">
        <v>646</v>
      </c>
      <c r="Z51" s="73" t="s">
        <v>646</v>
      </c>
      <c r="AA51" s="73" t="s">
        <v>646</v>
      </c>
      <c r="AB51" s="73" t="s">
        <v>646</v>
      </c>
      <c r="AC51" s="73" t="s">
        <v>646</v>
      </c>
      <c r="AD51" s="73" t="s">
        <v>646</v>
      </c>
      <c r="AE51" s="73" t="s">
        <v>646</v>
      </c>
      <c r="AF51" s="73" t="s">
        <v>646</v>
      </c>
      <c r="AG51" s="73" t="s">
        <v>646</v>
      </c>
      <c r="AH51" s="73" t="s">
        <v>646</v>
      </c>
      <c r="AI51" s="73" t="s">
        <v>646</v>
      </c>
      <c r="AJ51" s="73">
        <v>-74.36</v>
      </c>
      <c r="AK51" s="73">
        <v>-30.1</v>
      </c>
      <c r="AL51" s="73">
        <v>-56.05</v>
      </c>
      <c r="AM51" s="73">
        <v>66.12</v>
      </c>
      <c r="AN51" s="73">
        <v>-94.39</v>
      </c>
      <c r="AO51" s="74"/>
      <c r="AP51" s="75" t="s">
        <v>737</v>
      </c>
      <c r="AQ51" s="76">
        <v>40</v>
      </c>
      <c r="AR51" s="76"/>
    </row>
    <row r="52" spans="1:47" x14ac:dyDescent="0.2">
      <c r="A52" s="170">
        <v>41</v>
      </c>
      <c r="B52" s="171"/>
      <c r="C52" s="71"/>
      <c r="D52" s="72" t="s">
        <v>738</v>
      </c>
      <c r="E52" s="73">
        <v>-1691.69</v>
      </c>
      <c r="F52" s="73">
        <v>-990.07</v>
      </c>
      <c r="G52" s="73">
        <v>680.75</v>
      </c>
      <c r="H52" s="73">
        <v>957.27</v>
      </c>
      <c r="I52" s="73">
        <v>-1043.74</v>
      </c>
      <c r="J52" s="73">
        <v>-1373.82</v>
      </c>
      <c r="K52" s="73">
        <v>-1949.48</v>
      </c>
      <c r="L52" s="73">
        <v>-6014.29</v>
      </c>
      <c r="M52" s="180">
        <v>-112.24</v>
      </c>
      <c r="N52" s="181"/>
      <c r="O52" s="73">
        <v>-9449.84</v>
      </c>
      <c r="P52" s="73">
        <v>-1957.99</v>
      </c>
      <c r="Q52" s="73">
        <v>759.78</v>
      </c>
      <c r="R52" s="73">
        <v>-1207.79</v>
      </c>
      <c r="S52" s="73">
        <v>-1383.64</v>
      </c>
      <c r="T52" s="73">
        <v>-3789.63</v>
      </c>
      <c r="U52" s="73">
        <v>-452.22</v>
      </c>
      <c r="V52" s="73">
        <v>-3333.83</v>
      </c>
      <c r="W52" s="73">
        <v>-2418.12</v>
      </c>
      <c r="X52" s="73">
        <v>1429.97</v>
      </c>
      <c r="Y52" s="73">
        <v>-4774.2</v>
      </c>
      <c r="Z52" s="73">
        <v>-3160.46</v>
      </c>
      <c r="AA52" s="73">
        <v>-2341.96</v>
      </c>
      <c r="AB52" s="73">
        <v>387.37</v>
      </c>
      <c r="AC52" s="73">
        <v>-2194.1999999999998</v>
      </c>
      <c r="AD52" s="73">
        <v>-7309.25</v>
      </c>
      <c r="AE52" s="73">
        <v>-762.43</v>
      </c>
      <c r="AF52" s="73">
        <v>-4816.8100000000004</v>
      </c>
      <c r="AG52" s="73">
        <v>-728.09</v>
      </c>
      <c r="AH52" s="73">
        <v>-1900.28</v>
      </c>
      <c r="AI52" s="73">
        <v>-8207.6200000000008</v>
      </c>
      <c r="AJ52" s="73">
        <v>-3071.62</v>
      </c>
      <c r="AK52" s="73">
        <v>308.27999999999997</v>
      </c>
      <c r="AL52" s="73">
        <v>1179.29</v>
      </c>
      <c r="AM52" s="73">
        <v>3846.25</v>
      </c>
      <c r="AN52" s="73">
        <v>2262.1999999999998</v>
      </c>
      <c r="AO52" s="74"/>
      <c r="AP52" s="75" t="s">
        <v>739</v>
      </c>
      <c r="AQ52" s="76">
        <v>41</v>
      </c>
      <c r="AR52" s="76"/>
    </row>
    <row r="53" spans="1:47" x14ac:dyDescent="0.2">
      <c r="A53" s="170">
        <v>42</v>
      </c>
      <c r="B53" s="171"/>
      <c r="C53" s="71"/>
      <c r="D53" s="77" t="s">
        <v>726</v>
      </c>
      <c r="E53" s="73">
        <v>-764.51</v>
      </c>
      <c r="F53" s="73">
        <v>37.200000000000003</v>
      </c>
      <c r="G53" s="73">
        <v>560.41</v>
      </c>
      <c r="H53" s="73">
        <v>1152.31</v>
      </c>
      <c r="I53" s="73">
        <v>985.4</v>
      </c>
      <c r="J53" s="73">
        <v>-630.78</v>
      </c>
      <c r="K53" s="73">
        <v>-1815.35</v>
      </c>
      <c r="L53" s="73">
        <v>-4648.59</v>
      </c>
      <c r="M53" s="180">
        <v>-1551.69</v>
      </c>
      <c r="N53" s="181"/>
      <c r="O53" s="73">
        <v>-8646.4</v>
      </c>
      <c r="P53" s="73">
        <v>-1348.65</v>
      </c>
      <c r="Q53" s="73">
        <v>1703.82</v>
      </c>
      <c r="R53" s="73">
        <v>-236</v>
      </c>
      <c r="S53" s="73">
        <v>-1705.2</v>
      </c>
      <c r="T53" s="73">
        <v>-1586.02</v>
      </c>
      <c r="U53" s="73">
        <v>-104.59</v>
      </c>
      <c r="V53" s="73">
        <v>-2283.1999999999998</v>
      </c>
      <c r="W53" s="73">
        <v>-2360.11</v>
      </c>
      <c r="X53" s="73">
        <v>262.25</v>
      </c>
      <c r="Y53" s="73">
        <v>-4485.66</v>
      </c>
      <c r="Z53" s="73">
        <v>-2671.65</v>
      </c>
      <c r="AA53" s="73">
        <v>-1974.5</v>
      </c>
      <c r="AB53" s="73">
        <v>-1610.31</v>
      </c>
      <c r="AC53" s="73">
        <v>-4498.49</v>
      </c>
      <c r="AD53" s="73">
        <v>-10754.95</v>
      </c>
      <c r="AE53" s="73">
        <v>-240.78</v>
      </c>
      <c r="AF53" s="73">
        <v>-2943.26</v>
      </c>
      <c r="AG53" s="73">
        <v>-6083.23</v>
      </c>
      <c r="AH53" s="73">
        <v>-2734.57</v>
      </c>
      <c r="AI53" s="73">
        <v>-12001.84</v>
      </c>
      <c r="AJ53" s="73">
        <v>-2764.04</v>
      </c>
      <c r="AK53" s="73">
        <v>551.78</v>
      </c>
      <c r="AL53" s="73">
        <v>-1959.64</v>
      </c>
      <c r="AM53" s="73">
        <v>2446.64</v>
      </c>
      <c r="AN53" s="73">
        <v>-1725.26</v>
      </c>
      <c r="AO53" s="74"/>
      <c r="AP53" s="78" t="s">
        <v>727</v>
      </c>
      <c r="AQ53" s="76">
        <v>42</v>
      </c>
      <c r="AR53" s="76"/>
    </row>
    <row r="54" spans="1:47" x14ac:dyDescent="0.2">
      <c r="A54" s="170">
        <v>43</v>
      </c>
      <c r="B54" s="171"/>
      <c r="C54" s="71"/>
      <c r="D54" s="77" t="s">
        <v>728</v>
      </c>
      <c r="E54" s="73">
        <v>-927.18</v>
      </c>
      <c r="F54" s="73">
        <v>-1027.27</v>
      </c>
      <c r="G54" s="73">
        <v>120.34</v>
      </c>
      <c r="H54" s="73">
        <v>-195.03</v>
      </c>
      <c r="I54" s="73">
        <v>-2029.14</v>
      </c>
      <c r="J54" s="73">
        <v>-743.05</v>
      </c>
      <c r="K54" s="73">
        <v>-134.13999999999999</v>
      </c>
      <c r="L54" s="73">
        <v>-1365.71</v>
      </c>
      <c r="M54" s="180">
        <v>1439.45</v>
      </c>
      <c r="N54" s="181"/>
      <c r="O54" s="73">
        <v>-803.44</v>
      </c>
      <c r="P54" s="73">
        <v>-609.34</v>
      </c>
      <c r="Q54" s="73">
        <v>-944.04</v>
      </c>
      <c r="R54" s="73">
        <v>-971.79</v>
      </c>
      <c r="S54" s="73">
        <v>321.56</v>
      </c>
      <c r="T54" s="73">
        <v>-2203.61</v>
      </c>
      <c r="U54" s="73">
        <v>-347.63</v>
      </c>
      <c r="V54" s="73">
        <v>-1050.6300000000001</v>
      </c>
      <c r="W54" s="73">
        <v>-58.01</v>
      </c>
      <c r="X54" s="73">
        <v>1167.72</v>
      </c>
      <c r="Y54" s="73">
        <v>-288.54000000000002</v>
      </c>
      <c r="Z54" s="73">
        <v>-488.81</v>
      </c>
      <c r="AA54" s="73">
        <v>-367.47</v>
      </c>
      <c r="AB54" s="73">
        <v>1997.68</v>
      </c>
      <c r="AC54" s="73">
        <v>2304.3000000000002</v>
      </c>
      <c r="AD54" s="73">
        <v>3445.7</v>
      </c>
      <c r="AE54" s="73">
        <v>-521.65</v>
      </c>
      <c r="AF54" s="73">
        <v>-1873.55</v>
      </c>
      <c r="AG54" s="73">
        <v>5355.14</v>
      </c>
      <c r="AH54" s="73">
        <v>834.29</v>
      </c>
      <c r="AI54" s="73">
        <v>3794.22</v>
      </c>
      <c r="AJ54" s="73">
        <v>-307.58</v>
      </c>
      <c r="AK54" s="73">
        <v>-243.5</v>
      </c>
      <c r="AL54" s="73">
        <v>3138.93</v>
      </c>
      <c r="AM54" s="73">
        <v>1399.61</v>
      </c>
      <c r="AN54" s="73">
        <v>3987.46</v>
      </c>
      <c r="AO54" s="74"/>
      <c r="AP54" s="78" t="s">
        <v>729</v>
      </c>
      <c r="AQ54" s="76">
        <v>43</v>
      </c>
      <c r="AR54" s="76"/>
    </row>
    <row r="55" spans="1:47" x14ac:dyDescent="0.2">
      <c r="A55" s="170">
        <v>44</v>
      </c>
      <c r="B55" s="171"/>
      <c r="C55" s="71"/>
      <c r="D55" s="79" t="s">
        <v>732</v>
      </c>
      <c r="E55" s="73">
        <v>-615.61</v>
      </c>
      <c r="F55" s="73">
        <v>-848.65</v>
      </c>
      <c r="G55" s="73">
        <v>-719.55</v>
      </c>
      <c r="H55" s="73">
        <v>-510.99</v>
      </c>
      <c r="I55" s="73">
        <v>-2694.8</v>
      </c>
      <c r="J55" s="73">
        <v>-961.16</v>
      </c>
      <c r="K55" s="73">
        <v>-309.02999999999997</v>
      </c>
      <c r="L55" s="73">
        <v>-908.89</v>
      </c>
      <c r="M55" s="180">
        <v>1331.28</v>
      </c>
      <c r="N55" s="181"/>
      <c r="O55" s="73">
        <v>-847.8</v>
      </c>
      <c r="P55" s="73">
        <v>-918.53</v>
      </c>
      <c r="Q55" s="73">
        <v>-872.64</v>
      </c>
      <c r="R55" s="73">
        <v>-796.77</v>
      </c>
      <c r="S55" s="73">
        <v>92.4</v>
      </c>
      <c r="T55" s="73">
        <v>-2495.54</v>
      </c>
      <c r="U55" s="73">
        <v>-507.51</v>
      </c>
      <c r="V55" s="73">
        <v>-1534.63</v>
      </c>
      <c r="W55" s="73">
        <v>-444.97</v>
      </c>
      <c r="X55" s="73">
        <v>124.23</v>
      </c>
      <c r="Y55" s="73">
        <v>-2362.88</v>
      </c>
      <c r="Z55" s="73">
        <v>-413.02</v>
      </c>
      <c r="AA55" s="73">
        <v>-1453.69</v>
      </c>
      <c r="AB55" s="73">
        <v>-118.48</v>
      </c>
      <c r="AC55" s="73">
        <v>549.29999999999995</v>
      </c>
      <c r="AD55" s="73">
        <v>-1435.88</v>
      </c>
      <c r="AE55" s="73">
        <v>0.11</v>
      </c>
      <c r="AF55" s="73">
        <v>-2010.23</v>
      </c>
      <c r="AG55" s="73">
        <v>3084.17</v>
      </c>
      <c r="AH55" s="73">
        <v>451.84</v>
      </c>
      <c r="AI55" s="73">
        <v>1525.88</v>
      </c>
      <c r="AJ55" s="73">
        <v>147.29</v>
      </c>
      <c r="AK55" s="73">
        <v>-879.3</v>
      </c>
      <c r="AL55" s="73">
        <v>1093.1199999999999</v>
      </c>
      <c r="AM55" s="73">
        <v>1394.93</v>
      </c>
      <c r="AN55" s="73">
        <v>1756.04</v>
      </c>
      <c r="AO55" s="74"/>
      <c r="AP55" s="80" t="s">
        <v>733</v>
      </c>
      <c r="AQ55" s="76">
        <v>44</v>
      </c>
      <c r="AR55" s="76"/>
    </row>
    <row r="56" spans="1:47" x14ac:dyDescent="0.2">
      <c r="A56" s="170">
        <v>45</v>
      </c>
      <c r="B56" s="171"/>
      <c r="C56" s="71"/>
      <c r="D56" s="79" t="s">
        <v>734</v>
      </c>
      <c r="E56" s="73">
        <v>-311.56</v>
      </c>
      <c r="F56" s="73">
        <v>-178.62</v>
      </c>
      <c r="G56" s="73">
        <v>839.89</v>
      </c>
      <c r="H56" s="73">
        <v>315.95</v>
      </c>
      <c r="I56" s="73">
        <v>665.66</v>
      </c>
      <c r="J56" s="73">
        <v>218.12</v>
      </c>
      <c r="K56" s="73">
        <v>174.89</v>
      </c>
      <c r="L56" s="73">
        <v>-456.82</v>
      </c>
      <c r="M56" s="180">
        <v>108.17</v>
      </c>
      <c r="N56" s="181"/>
      <c r="O56" s="73">
        <v>44.36</v>
      </c>
      <c r="P56" s="73">
        <v>309.18</v>
      </c>
      <c r="Q56" s="73">
        <v>-71.400000000000006</v>
      </c>
      <c r="R56" s="73">
        <v>-175.01</v>
      </c>
      <c r="S56" s="73">
        <v>229.16</v>
      </c>
      <c r="T56" s="73">
        <v>291.93</v>
      </c>
      <c r="U56" s="73">
        <v>159.88999999999999</v>
      </c>
      <c r="V56" s="73">
        <v>484</v>
      </c>
      <c r="W56" s="73">
        <v>386.96</v>
      </c>
      <c r="X56" s="73">
        <v>1043.49</v>
      </c>
      <c r="Y56" s="73">
        <v>2074.33</v>
      </c>
      <c r="Z56" s="73">
        <v>-75.790000000000006</v>
      </c>
      <c r="AA56" s="73">
        <v>1086.22</v>
      </c>
      <c r="AB56" s="73">
        <v>2116.16</v>
      </c>
      <c r="AC56" s="73">
        <v>1754.99</v>
      </c>
      <c r="AD56" s="73">
        <v>4881.58</v>
      </c>
      <c r="AE56" s="73">
        <v>-521.76</v>
      </c>
      <c r="AF56" s="73">
        <v>136.68</v>
      </c>
      <c r="AG56" s="73">
        <v>2270.96</v>
      </c>
      <c r="AH56" s="73">
        <v>382.46</v>
      </c>
      <c r="AI56" s="73">
        <v>2268.34</v>
      </c>
      <c r="AJ56" s="73">
        <v>-454.86</v>
      </c>
      <c r="AK56" s="73">
        <v>635.79999999999995</v>
      </c>
      <c r="AL56" s="73">
        <v>2045.81</v>
      </c>
      <c r="AM56" s="73">
        <v>4.68</v>
      </c>
      <c r="AN56" s="73">
        <v>2231.42</v>
      </c>
      <c r="AO56" s="74"/>
      <c r="AP56" s="80" t="s">
        <v>735</v>
      </c>
      <c r="AQ56" s="76">
        <v>45</v>
      </c>
      <c r="AR56" s="76"/>
    </row>
    <row r="57" spans="1:47" x14ac:dyDescent="0.2">
      <c r="A57" s="170">
        <v>46</v>
      </c>
      <c r="B57" s="171"/>
      <c r="C57" s="71"/>
      <c r="D57" s="83" t="s">
        <v>740</v>
      </c>
      <c r="E57" s="73">
        <v>-1947.65</v>
      </c>
      <c r="F57" s="73">
        <v>-963.39</v>
      </c>
      <c r="G57" s="73">
        <v>3368.64</v>
      </c>
      <c r="H57" s="73">
        <v>2957.98</v>
      </c>
      <c r="I57" s="73">
        <v>3415.58</v>
      </c>
      <c r="J57" s="73">
        <v>-563.71</v>
      </c>
      <c r="K57" s="73">
        <v>847.46</v>
      </c>
      <c r="L57" s="73">
        <v>-4462.62</v>
      </c>
      <c r="M57" s="180">
        <v>4801.1000000000004</v>
      </c>
      <c r="N57" s="181"/>
      <c r="O57" s="73">
        <v>622.24</v>
      </c>
      <c r="P57" s="73">
        <v>5373.39</v>
      </c>
      <c r="Q57" s="73">
        <v>2297.8000000000002</v>
      </c>
      <c r="R57" s="73">
        <v>2755.58</v>
      </c>
      <c r="S57" s="73">
        <v>3459.05</v>
      </c>
      <c r="T57" s="73">
        <v>13885.82</v>
      </c>
      <c r="U57" s="73">
        <v>4474.6000000000004</v>
      </c>
      <c r="V57" s="73">
        <v>4299.5</v>
      </c>
      <c r="W57" s="73">
        <v>1210.1300000000001</v>
      </c>
      <c r="X57" s="73">
        <v>4099.6400000000003</v>
      </c>
      <c r="Y57" s="73">
        <v>14083.87</v>
      </c>
      <c r="Z57" s="73">
        <v>2213.02</v>
      </c>
      <c r="AA57" s="73">
        <v>1091.72</v>
      </c>
      <c r="AB57" s="73">
        <v>1541.24</v>
      </c>
      <c r="AC57" s="73">
        <v>-6552.22</v>
      </c>
      <c r="AD57" s="73">
        <v>-1706.24</v>
      </c>
      <c r="AE57" s="73">
        <v>4524.3599999999997</v>
      </c>
      <c r="AF57" s="73">
        <v>56.62</v>
      </c>
      <c r="AG57" s="73">
        <v>4705.6000000000004</v>
      </c>
      <c r="AH57" s="73">
        <v>6194.77</v>
      </c>
      <c r="AI57" s="73">
        <v>15481.339999999998</v>
      </c>
      <c r="AJ57" s="73">
        <v>7478.09</v>
      </c>
      <c r="AK57" s="73">
        <v>5078.0200000000004</v>
      </c>
      <c r="AL57" s="73">
        <v>8450.7099999999991</v>
      </c>
      <c r="AM57" s="73">
        <v>10663.44</v>
      </c>
      <c r="AN57" s="73">
        <v>31670.26</v>
      </c>
      <c r="AO57" s="74"/>
      <c r="AP57" s="84" t="s">
        <v>740</v>
      </c>
      <c r="AQ57" s="76">
        <v>46</v>
      </c>
      <c r="AR57" s="76"/>
    </row>
    <row r="58" spans="1:47" x14ac:dyDescent="0.2">
      <c r="A58" s="170">
        <v>47</v>
      </c>
      <c r="B58" s="171"/>
      <c r="C58" s="71"/>
      <c r="D58" s="83" t="s">
        <v>741</v>
      </c>
      <c r="E58" s="73">
        <v>3300.48</v>
      </c>
      <c r="F58" s="73">
        <v>-951.78</v>
      </c>
      <c r="G58" s="73">
        <v>-3357.36</v>
      </c>
      <c r="H58" s="73">
        <v>-2097.9299999999998</v>
      </c>
      <c r="I58" s="73">
        <v>-3106.6</v>
      </c>
      <c r="J58" s="73">
        <v>916.14</v>
      </c>
      <c r="K58" s="73">
        <v>-2327.85</v>
      </c>
      <c r="L58" s="73">
        <v>1293.2</v>
      </c>
      <c r="M58" s="180">
        <v>-59.5</v>
      </c>
      <c r="N58" s="181"/>
      <c r="O58" s="73">
        <v>-178.01</v>
      </c>
      <c r="P58" s="73">
        <v>412.69</v>
      </c>
      <c r="Q58" s="73">
        <v>1081.17</v>
      </c>
      <c r="R58" s="73">
        <v>-118.46</v>
      </c>
      <c r="S58" s="73">
        <v>-750.53</v>
      </c>
      <c r="T58" s="73">
        <v>624.87</v>
      </c>
      <c r="U58" s="73">
        <v>-95.42</v>
      </c>
      <c r="V58" s="73">
        <v>-662.94</v>
      </c>
      <c r="W58" s="73">
        <v>-30.66</v>
      </c>
      <c r="X58" s="73">
        <v>-579.41</v>
      </c>
      <c r="Y58" s="73">
        <v>-1368.44</v>
      </c>
      <c r="Z58" s="73">
        <v>-1181</v>
      </c>
      <c r="AA58" s="73">
        <v>232.63</v>
      </c>
      <c r="AB58" s="73">
        <v>-1630.16</v>
      </c>
      <c r="AC58" s="73">
        <v>2340.1</v>
      </c>
      <c r="AD58" s="73">
        <v>-238.43</v>
      </c>
      <c r="AE58" s="73">
        <v>-569.72999999999956</v>
      </c>
      <c r="AF58" s="73">
        <v>995.11</v>
      </c>
      <c r="AG58" s="73">
        <v>-1159.79</v>
      </c>
      <c r="AH58" s="73">
        <v>-2241.08</v>
      </c>
      <c r="AI58" s="73">
        <v>-2975.4699999999975</v>
      </c>
      <c r="AJ58" s="73">
        <v>-857.37</v>
      </c>
      <c r="AK58" s="73">
        <v>342.53</v>
      </c>
      <c r="AL58" s="73">
        <v>-1495.84</v>
      </c>
      <c r="AM58" s="73">
        <v>683.52</v>
      </c>
      <c r="AN58" s="73">
        <v>-1327.16</v>
      </c>
      <c r="AO58" s="74"/>
      <c r="AP58" s="84" t="s">
        <v>742</v>
      </c>
      <c r="AQ58" s="76">
        <v>47</v>
      </c>
      <c r="AR58" s="76"/>
      <c r="AU58" s="85"/>
    </row>
    <row r="59" spans="1:47" x14ac:dyDescent="0.2">
      <c r="A59" s="170">
        <v>48</v>
      </c>
      <c r="B59" s="171"/>
      <c r="C59" s="71"/>
      <c r="D59" s="83" t="s">
        <v>743</v>
      </c>
      <c r="E59" s="73">
        <v>1352.82</v>
      </c>
      <c r="F59" s="73">
        <v>-1915.17</v>
      </c>
      <c r="G59" s="73">
        <v>11.27</v>
      </c>
      <c r="H59" s="73">
        <v>860.05</v>
      </c>
      <c r="I59" s="73">
        <v>308.98</v>
      </c>
      <c r="J59" s="73">
        <v>352.43</v>
      </c>
      <c r="K59" s="73">
        <v>-1480.39</v>
      </c>
      <c r="L59" s="73">
        <v>-3169.42</v>
      </c>
      <c r="M59" s="180">
        <v>4741.6000000000004</v>
      </c>
      <c r="N59" s="181"/>
      <c r="O59" s="73">
        <v>444.22</v>
      </c>
      <c r="P59" s="73">
        <v>5786.08</v>
      </c>
      <c r="Q59" s="73">
        <v>3378.97</v>
      </c>
      <c r="R59" s="73">
        <v>2637.12</v>
      </c>
      <c r="S59" s="73">
        <v>2708.52</v>
      </c>
      <c r="T59" s="73">
        <v>14510.69</v>
      </c>
      <c r="U59" s="73">
        <v>4379.18</v>
      </c>
      <c r="V59" s="73">
        <v>3636.56</v>
      </c>
      <c r="W59" s="73">
        <v>1179.46</v>
      </c>
      <c r="X59" s="73">
        <v>3520.23</v>
      </c>
      <c r="Y59" s="73">
        <v>12715.43</v>
      </c>
      <c r="Z59" s="73">
        <v>1032.02</v>
      </c>
      <c r="AA59" s="73">
        <v>1324.34</v>
      </c>
      <c r="AB59" s="73">
        <v>-88.92</v>
      </c>
      <c r="AC59" s="73">
        <v>-4212.1099999999997</v>
      </c>
      <c r="AD59" s="73">
        <v>-1944.67</v>
      </c>
      <c r="AE59" s="73">
        <v>3954.63</v>
      </c>
      <c r="AF59" s="73">
        <v>1051.74</v>
      </c>
      <c r="AG59" s="73">
        <v>3545.81</v>
      </c>
      <c r="AH59" s="73">
        <v>3953.69</v>
      </c>
      <c r="AI59" s="73">
        <v>12505.87</v>
      </c>
      <c r="AJ59" s="73">
        <v>6620.72</v>
      </c>
      <c r="AK59" s="73">
        <v>5420.55</v>
      </c>
      <c r="AL59" s="73">
        <v>6954.87</v>
      </c>
      <c r="AM59" s="73">
        <v>11346.96</v>
      </c>
      <c r="AN59" s="73">
        <v>30343.1</v>
      </c>
      <c r="AO59" s="74"/>
      <c r="AP59" s="84" t="s">
        <v>744</v>
      </c>
      <c r="AQ59" s="76">
        <v>48</v>
      </c>
      <c r="AR59" s="76"/>
    </row>
    <row r="60" spans="1:47" x14ac:dyDescent="0.2">
      <c r="A60" s="170">
        <v>49</v>
      </c>
      <c r="B60" s="171"/>
      <c r="C60" s="71"/>
      <c r="D60" s="83" t="s">
        <v>745</v>
      </c>
      <c r="E60" s="73">
        <v>-1352.82</v>
      </c>
      <c r="F60" s="73">
        <v>1915.17</v>
      </c>
      <c r="G60" s="73">
        <v>-11.27</v>
      </c>
      <c r="H60" s="73">
        <v>-860.05</v>
      </c>
      <c r="I60" s="73">
        <v>-308.98</v>
      </c>
      <c r="J60" s="73">
        <v>-352.43</v>
      </c>
      <c r="K60" s="73">
        <v>1480.39</v>
      </c>
      <c r="L60" s="73">
        <v>3169.42</v>
      </c>
      <c r="M60" s="180">
        <v>-4741.6000000000004</v>
      </c>
      <c r="N60" s="181"/>
      <c r="O60" s="73">
        <v>-444.22</v>
      </c>
      <c r="P60" s="73">
        <v>-5786.08</v>
      </c>
      <c r="Q60" s="73">
        <v>-3378.97</v>
      </c>
      <c r="R60" s="73">
        <v>-2637.12</v>
      </c>
      <c r="S60" s="73">
        <v>-2708.52</v>
      </c>
      <c r="T60" s="73">
        <v>-14510.69</v>
      </c>
      <c r="U60" s="73">
        <v>-4379.18</v>
      </c>
      <c r="V60" s="73">
        <v>-3636.56</v>
      </c>
      <c r="W60" s="73">
        <v>-1179.46</v>
      </c>
      <c r="X60" s="73">
        <v>-3520.23</v>
      </c>
      <c r="Y60" s="73">
        <v>-12715.43</v>
      </c>
      <c r="Z60" s="73">
        <v>-1032.02</v>
      </c>
      <c r="AA60" s="73">
        <v>-1324.34</v>
      </c>
      <c r="AB60" s="73">
        <v>88.92</v>
      </c>
      <c r="AC60" s="73">
        <v>4212.1099999999997</v>
      </c>
      <c r="AD60" s="73">
        <v>1944.67</v>
      </c>
      <c r="AE60" s="73">
        <v>-3954.63</v>
      </c>
      <c r="AF60" s="73">
        <v>-1051.74</v>
      </c>
      <c r="AG60" s="73">
        <v>-3545.81</v>
      </c>
      <c r="AH60" s="73">
        <v>-3953.69</v>
      </c>
      <c r="AI60" s="73">
        <v>-12505.87</v>
      </c>
      <c r="AJ60" s="73">
        <v>-6620.72</v>
      </c>
      <c r="AK60" s="73">
        <v>-5420.55</v>
      </c>
      <c r="AL60" s="73">
        <v>-6954.87</v>
      </c>
      <c r="AM60" s="73">
        <v>-11346.96</v>
      </c>
      <c r="AN60" s="73">
        <v>-30343.1</v>
      </c>
      <c r="AO60" s="74"/>
      <c r="AP60" s="84" t="s">
        <v>746</v>
      </c>
      <c r="AQ60" s="76">
        <v>49</v>
      </c>
      <c r="AR60" s="76"/>
    </row>
    <row r="61" spans="1:47" x14ac:dyDescent="0.2">
      <c r="A61" s="170">
        <v>50</v>
      </c>
      <c r="B61" s="171"/>
      <c r="C61" s="71"/>
      <c r="D61" s="72" t="s">
        <v>747</v>
      </c>
      <c r="E61" s="73">
        <v>-1096.46</v>
      </c>
      <c r="F61" s="73">
        <v>2115.88</v>
      </c>
      <c r="G61" s="73">
        <v>268.38</v>
      </c>
      <c r="H61" s="73">
        <v>-613.66</v>
      </c>
      <c r="I61" s="73">
        <v>674.14</v>
      </c>
      <c r="J61" s="73">
        <v>-49.23</v>
      </c>
      <c r="K61" s="73">
        <v>1729.27</v>
      </c>
      <c r="L61" s="73">
        <v>3482.86</v>
      </c>
      <c r="M61" s="180">
        <v>-4500.25</v>
      </c>
      <c r="N61" s="181"/>
      <c r="O61" s="73">
        <v>662.65</v>
      </c>
      <c r="P61" s="73">
        <v>-5359.08</v>
      </c>
      <c r="Q61" s="73">
        <v>354.03</v>
      </c>
      <c r="R61" s="73">
        <v>-2189.12</v>
      </c>
      <c r="S61" s="73">
        <v>292.48</v>
      </c>
      <c r="T61" s="73">
        <v>-6901.69</v>
      </c>
      <c r="U61" s="73">
        <v>-4379.18</v>
      </c>
      <c r="V61" s="73">
        <v>-3636.56</v>
      </c>
      <c r="W61" s="73">
        <v>-1179.46</v>
      </c>
      <c r="X61" s="73">
        <v>-3520.23</v>
      </c>
      <c r="Y61" s="73">
        <v>-12715.43</v>
      </c>
      <c r="Z61" s="73">
        <v>-1032.02</v>
      </c>
      <c r="AA61" s="73">
        <v>-1324.34</v>
      </c>
      <c r="AB61" s="73">
        <v>88.92</v>
      </c>
      <c r="AC61" s="73">
        <v>4212.1099999999997</v>
      </c>
      <c r="AD61" s="73">
        <v>1944.67</v>
      </c>
      <c r="AE61" s="73">
        <v>-3954.63</v>
      </c>
      <c r="AF61" s="73">
        <v>-1051.74</v>
      </c>
      <c r="AG61" s="73">
        <v>-3545.81</v>
      </c>
      <c r="AH61" s="73">
        <v>-3953.69</v>
      </c>
      <c r="AI61" s="73">
        <v>-12505.87</v>
      </c>
      <c r="AJ61" s="73">
        <v>-6620.72</v>
      </c>
      <c r="AK61" s="73">
        <v>-5420.55</v>
      </c>
      <c r="AL61" s="73">
        <v>-6954.87</v>
      </c>
      <c r="AM61" s="73">
        <v>-11346.96</v>
      </c>
      <c r="AN61" s="73">
        <v>-30343.1</v>
      </c>
      <c r="AO61" s="74"/>
      <c r="AP61" s="75" t="s">
        <v>748</v>
      </c>
      <c r="AQ61" s="76">
        <v>50</v>
      </c>
      <c r="AR61" s="76"/>
    </row>
    <row r="62" spans="1:47" x14ac:dyDescent="0.2">
      <c r="A62" s="170">
        <v>51</v>
      </c>
      <c r="B62" s="171"/>
      <c r="C62" s="71"/>
      <c r="D62" s="72" t="s">
        <v>749</v>
      </c>
      <c r="E62" s="73">
        <v>-256.37</v>
      </c>
      <c r="F62" s="73">
        <v>-200.71</v>
      </c>
      <c r="G62" s="73">
        <v>-279.64999999999998</v>
      </c>
      <c r="H62" s="73">
        <v>-246.39</v>
      </c>
      <c r="I62" s="73">
        <v>-983.12</v>
      </c>
      <c r="J62" s="73">
        <v>-303.2</v>
      </c>
      <c r="K62" s="73">
        <v>-248.88</v>
      </c>
      <c r="L62" s="73">
        <v>-313.44</v>
      </c>
      <c r="M62" s="180">
        <v>-241.34</v>
      </c>
      <c r="N62" s="181"/>
      <c r="O62" s="73">
        <v>-1106.8699999999999</v>
      </c>
      <c r="P62" s="73">
        <v>-427</v>
      </c>
      <c r="Q62" s="73">
        <v>-3733</v>
      </c>
      <c r="R62" s="73">
        <v>-448</v>
      </c>
      <c r="S62" s="73">
        <v>-3001</v>
      </c>
      <c r="T62" s="73">
        <v>-7609</v>
      </c>
      <c r="U62" s="73" t="s">
        <v>646</v>
      </c>
      <c r="V62" s="73" t="s">
        <v>646</v>
      </c>
      <c r="W62" s="73" t="s">
        <v>646</v>
      </c>
      <c r="X62" s="73" t="s">
        <v>646</v>
      </c>
      <c r="Y62" s="73" t="s">
        <v>646</v>
      </c>
      <c r="Z62" s="73" t="s">
        <v>646</v>
      </c>
      <c r="AA62" s="73" t="s">
        <v>646</v>
      </c>
      <c r="AB62" s="73" t="s">
        <v>646</v>
      </c>
      <c r="AC62" s="73" t="s">
        <v>646</v>
      </c>
      <c r="AD62" s="73" t="s">
        <v>646</v>
      </c>
      <c r="AE62" s="73" t="s">
        <v>646</v>
      </c>
      <c r="AF62" s="73" t="s">
        <v>646</v>
      </c>
      <c r="AG62" s="73" t="s">
        <v>646</v>
      </c>
      <c r="AH62" s="73" t="s">
        <v>646</v>
      </c>
      <c r="AI62" s="73" t="s">
        <v>646</v>
      </c>
      <c r="AJ62" s="73" t="s">
        <v>646</v>
      </c>
      <c r="AK62" s="73" t="s">
        <v>646</v>
      </c>
      <c r="AL62" s="73" t="s">
        <v>646</v>
      </c>
      <c r="AM62" s="73" t="s">
        <v>646</v>
      </c>
      <c r="AN62" s="73" t="s">
        <v>646</v>
      </c>
      <c r="AO62" s="74"/>
      <c r="AP62" s="75" t="s">
        <v>750</v>
      </c>
      <c r="AQ62" s="76">
        <v>51</v>
      </c>
      <c r="AR62" s="76"/>
    </row>
    <row r="63" spans="1:47" x14ac:dyDescent="0.2">
      <c r="A63" s="170">
        <v>52</v>
      </c>
      <c r="B63" s="171"/>
      <c r="C63" s="71"/>
      <c r="D63" s="72" t="s">
        <v>751</v>
      </c>
      <c r="E63" s="73" t="s">
        <v>646</v>
      </c>
      <c r="F63" s="73" t="s">
        <v>646</v>
      </c>
      <c r="G63" s="73" t="s">
        <v>646</v>
      </c>
      <c r="H63" s="73" t="s">
        <v>646</v>
      </c>
      <c r="I63" s="73" t="s">
        <v>646</v>
      </c>
      <c r="J63" s="73" t="s">
        <v>646</v>
      </c>
      <c r="K63" s="73" t="s">
        <v>646</v>
      </c>
      <c r="L63" s="73" t="s">
        <v>646</v>
      </c>
      <c r="M63" s="180" t="s">
        <v>646</v>
      </c>
      <c r="N63" s="181"/>
      <c r="O63" s="73" t="s">
        <v>646</v>
      </c>
      <c r="P63" s="73" t="s">
        <v>646</v>
      </c>
      <c r="Q63" s="73" t="s">
        <v>646</v>
      </c>
      <c r="R63" s="73" t="s">
        <v>646</v>
      </c>
      <c r="S63" s="73" t="s">
        <v>646</v>
      </c>
      <c r="T63" s="73" t="s">
        <v>646</v>
      </c>
      <c r="U63" s="73" t="s">
        <v>646</v>
      </c>
      <c r="V63" s="73" t="s">
        <v>646</v>
      </c>
      <c r="W63" s="73" t="s">
        <v>646</v>
      </c>
      <c r="X63" s="73" t="s">
        <v>646</v>
      </c>
      <c r="Y63" s="73" t="s">
        <v>646</v>
      </c>
      <c r="Z63" s="73" t="s">
        <v>646</v>
      </c>
      <c r="AA63" s="73" t="s">
        <v>646</v>
      </c>
      <c r="AB63" s="73" t="s">
        <v>646</v>
      </c>
      <c r="AC63" s="73" t="s">
        <v>646</v>
      </c>
      <c r="AD63" s="73" t="s">
        <v>646</v>
      </c>
      <c r="AE63" s="73" t="s">
        <v>646</v>
      </c>
      <c r="AF63" s="73" t="s">
        <v>646</v>
      </c>
      <c r="AG63" s="73" t="s">
        <v>646</v>
      </c>
      <c r="AH63" s="73" t="s">
        <v>646</v>
      </c>
      <c r="AI63" s="73" t="s">
        <v>646</v>
      </c>
      <c r="AJ63" s="73" t="s">
        <v>646</v>
      </c>
      <c r="AK63" s="73" t="s">
        <v>646</v>
      </c>
      <c r="AL63" s="73" t="s">
        <v>646</v>
      </c>
      <c r="AM63" s="73" t="s">
        <v>646</v>
      </c>
      <c r="AN63" s="73" t="s">
        <v>646</v>
      </c>
      <c r="AO63" s="74"/>
      <c r="AP63" s="75" t="s">
        <v>751</v>
      </c>
      <c r="AQ63" s="76">
        <v>52</v>
      </c>
      <c r="AR63" s="76"/>
    </row>
    <row r="64" spans="1:47" x14ac:dyDescent="0.2">
      <c r="A64" s="170">
        <v>53</v>
      </c>
      <c r="B64" s="171"/>
      <c r="C64" s="71"/>
      <c r="D64" s="83" t="s">
        <v>752</v>
      </c>
      <c r="E64" s="73"/>
      <c r="F64" s="73"/>
      <c r="G64" s="73"/>
      <c r="H64" s="73"/>
      <c r="I64" s="73"/>
      <c r="J64" s="73"/>
      <c r="K64" s="73"/>
      <c r="L64" s="73"/>
      <c r="M64" s="180"/>
      <c r="N64" s="181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  <c r="AK64" s="73"/>
      <c r="AL64" s="73"/>
      <c r="AM64" s="73"/>
      <c r="AN64" s="73"/>
      <c r="AO64" s="74"/>
      <c r="AP64" s="84" t="s">
        <v>752</v>
      </c>
      <c r="AQ64" s="76">
        <v>53</v>
      </c>
      <c r="AR64" s="76"/>
    </row>
    <row r="65" spans="1:44" x14ac:dyDescent="0.2">
      <c r="A65" s="170">
        <v>54</v>
      </c>
      <c r="B65" s="171"/>
      <c r="C65" s="71"/>
      <c r="D65" s="72" t="s">
        <v>753</v>
      </c>
      <c r="E65" s="73">
        <v>37419.17</v>
      </c>
      <c r="F65" s="73">
        <v>34851</v>
      </c>
      <c r="G65" s="73">
        <v>34802.19</v>
      </c>
      <c r="H65" s="73">
        <v>36320.480000000003</v>
      </c>
      <c r="I65" s="73">
        <v>36320.480000000003</v>
      </c>
      <c r="J65" s="73">
        <v>36030.14</v>
      </c>
      <c r="K65" s="73">
        <v>33865.410000000003</v>
      </c>
      <c r="L65" s="73">
        <v>30318.32</v>
      </c>
      <c r="M65" s="180">
        <v>34723.68</v>
      </c>
      <c r="N65" s="181"/>
      <c r="O65" s="73">
        <v>34723.68</v>
      </c>
      <c r="P65" s="73">
        <v>40081.56</v>
      </c>
      <c r="Q65" s="73">
        <v>40107.089999999997</v>
      </c>
      <c r="R65" s="73">
        <v>42352.88</v>
      </c>
      <c r="S65" s="73">
        <v>42586.3</v>
      </c>
      <c r="T65" s="73">
        <v>42586.3</v>
      </c>
      <c r="U65" s="73">
        <v>47221.17</v>
      </c>
      <c r="V65" s="73">
        <v>50924.44</v>
      </c>
      <c r="W65" s="73">
        <v>52875.13</v>
      </c>
      <c r="X65" s="73">
        <v>56920.12</v>
      </c>
      <c r="Y65" s="73">
        <v>56920.12</v>
      </c>
      <c r="Z65" s="73">
        <v>58987.31</v>
      </c>
      <c r="AA65" s="73">
        <v>59452.59</v>
      </c>
      <c r="AB65" s="73">
        <v>57107.96</v>
      </c>
      <c r="AC65" s="73">
        <v>51639.31</v>
      </c>
      <c r="AD65" s="73">
        <v>51639.31</v>
      </c>
      <c r="AE65" s="73">
        <v>54840.17</v>
      </c>
      <c r="AF65" s="73">
        <v>57576.02</v>
      </c>
      <c r="AG65" s="73">
        <v>62287.14</v>
      </c>
      <c r="AH65" s="73">
        <v>66104.86</v>
      </c>
      <c r="AI65" s="73">
        <v>66104.86</v>
      </c>
      <c r="AJ65" s="73">
        <v>71823.179999999993</v>
      </c>
      <c r="AK65" s="73">
        <v>76321.22</v>
      </c>
      <c r="AL65" s="73">
        <v>86550.62</v>
      </c>
      <c r="AM65" s="73">
        <v>96206.83</v>
      </c>
      <c r="AN65" s="73">
        <v>96206.83</v>
      </c>
      <c r="AO65" s="74"/>
      <c r="AP65" s="75" t="s">
        <v>754</v>
      </c>
      <c r="AQ65" s="76">
        <v>54</v>
      </c>
      <c r="AR65" s="76"/>
    </row>
    <row r="66" spans="1:44" ht="18" x14ac:dyDescent="0.2">
      <c r="A66" s="170">
        <v>55</v>
      </c>
      <c r="B66" s="171"/>
      <c r="C66" s="71"/>
      <c r="D66" s="77" t="s">
        <v>755</v>
      </c>
      <c r="E66" s="86"/>
      <c r="F66" s="86"/>
      <c r="G66" s="86"/>
      <c r="H66" s="86">
        <v>5.66</v>
      </c>
      <c r="I66" s="86">
        <v>5.66</v>
      </c>
      <c r="J66" s="86">
        <v>5.34</v>
      </c>
      <c r="K66" s="86">
        <v>4.7300000000000004</v>
      </c>
      <c r="L66" s="86">
        <v>3.94</v>
      </c>
      <c r="M66" s="172">
        <v>4.3099999999999996</v>
      </c>
      <c r="N66" s="173"/>
      <c r="O66" s="86">
        <v>4.3099999999999996</v>
      </c>
      <c r="P66" s="86">
        <v>5.04</v>
      </c>
      <c r="Q66" s="86">
        <v>4.8</v>
      </c>
      <c r="R66" s="86">
        <v>5.07</v>
      </c>
      <c r="S66" s="86">
        <v>4.88</v>
      </c>
      <c r="T66" s="86">
        <v>4.88</v>
      </c>
      <c r="U66" s="86">
        <v>5.26</v>
      </c>
      <c r="V66" s="86">
        <v>5.67</v>
      </c>
      <c r="W66" s="86">
        <v>5.73</v>
      </c>
      <c r="X66" s="86">
        <v>6.15</v>
      </c>
      <c r="Y66" s="86">
        <v>6.15</v>
      </c>
      <c r="Z66" s="86">
        <v>5.94</v>
      </c>
      <c r="AA66" s="86">
        <v>5.46</v>
      </c>
      <c r="AB66" s="86">
        <v>4.8499999999999996</v>
      </c>
      <c r="AC66" s="86">
        <v>4.28</v>
      </c>
      <c r="AD66" s="86">
        <v>4.28</v>
      </c>
      <c r="AE66" s="86">
        <v>4.91</v>
      </c>
      <c r="AF66" s="86">
        <v>5.67</v>
      </c>
      <c r="AG66" s="86">
        <v>6.64</v>
      </c>
      <c r="AH66" s="86">
        <v>7.03</v>
      </c>
      <c r="AI66" s="86">
        <v>7.03</v>
      </c>
      <c r="AJ66" s="86"/>
      <c r="AK66" s="86"/>
      <c r="AL66" s="86"/>
      <c r="AM66" s="86">
        <v>7.56</v>
      </c>
      <c r="AN66" s="86">
        <v>7.56</v>
      </c>
      <c r="AO66" s="74"/>
      <c r="AP66" s="78" t="s">
        <v>756</v>
      </c>
      <c r="AQ66" s="76">
        <v>55</v>
      </c>
      <c r="AR66" s="76"/>
    </row>
    <row r="67" spans="1:44" x14ac:dyDescent="0.2">
      <c r="A67" s="170">
        <v>56</v>
      </c>
      <c r="B67" s="171"/>
      <c r="C67" s="71"/>
      <c r="D67" s="87" t="s">
        <v>757</v>
      </c>
      <c r="E67" s="88">
        <v>-3.1</v>
      </c>
      <c r="F67" s="88">
        <v>1.6</v>
      </c>
      <c r="G67" s="88">
        <v>3.1</v>
      </c>
      <c r="H67" s="88">
        <v>0.83</v>
      </c>
      <c r="I67" s="88">
        <v>0.6</v>
      </c>
      <c r="J67" s="88">
        <v>0.3</v>
      </c>
      <c r="K67" s="88">
        <v>0.6</v>
      </c>
      <c r="L67" s="88">
        <v>-1.6</v>
      </c>
      <c r="M67" s="182">
        <v>1.04</v>
      </c>
      <c r="N67" s="183"/>
      <c r="O67" s="88">
        <v>0.1</v>
      </c>
      <c r="P67" s="88">
        <v>3.5</v>
      </c>
      <c r="Q67" s="88">
        <v>2.2000000000000002</v>
      </c>
      <c r="R67" s="88">
        <v>3.9</v>
      </c>
      <c r="S67" s="88">
        <v>2.2200000000000002</v>
      </c>
      <c r="T67" s="88">
        <v>2.9</v>
      </c>
      <c r="U67" s="88">
        <v>2.6</v>
      </c>
      <c r="V67" s="88">
        <v>2.1</v>
      </c>
      <c r="W67" s="88">
        <v>1.9</v>
      </c>
      <c r="X67" s="88">
        <v>3.02</v>
      </c>
      <c r="Y67" s="88">
        <v>2.4</v>
      </c>
      <c r="Z67" s="88">
        <v>2.2999999999999998</v>
      </c>
      <c r="AA67" s="88">
        <v>-0.8</v>
      </c>
      <c r="AB67" s="88">
        <v>-0.7</v>
      </c>
      <c r="AC67" s="88">
        <v>-0.54</v>
      </c>
      <c r="AD67" s="88">
        <v>0.02</v>
      </c>
      <c r="AE67" s="88">
        <v>2.4</v>
      </c>
      <c r="AF67" s="88">
        <v>1.8</v>
      </c>
      <c r="AG67" s="88">
        <v>1.2</v>
      </c>
      <c r="AH67" s="88">
        <v>2.4700000000000002</v>
      </c>
      <c r="AI67" s="88">
        <v>2</v>
      </c>
      <c r="AJ67" s="88">
        <v>1.08</v>
      </c>
      <c r="AK67" s="88">
        <v>0.71</v>
      </c>
      <c r="AL67" s="88">
        <v>0.52</v>
      </c>
      <c r="AM67" s="88">
        <v>0.44</v>
      </c>
      <c r="AN67" s="88">
        <v>0.67</v>
      </c>
      <c r="AO67" s="89"/>
      <c r="AP67" s="90" t="s">
        <v>758</v>
      </c>
      <c r="AQ67" s="76">
        <v>56</v>
      </c>
      <c r="AR67" s="76"/>
    </row>
    <row r="68" spans="1:44" x14ac:dyDescent="0.2">
      <c r="A68" s="170">
        <v>57</v>
      </c>
      <c r="B68" s="171"/>
      <c r="C68" s="71"/>
      <c r="D68" s="72" t="s">
        <v>759</v>
      </c>
      <c r="E68" s="86"/>
      <c r="F68" s="86"/>
      <c r="G68" s="86"/>
      <c r="H68" s="86"/>
      <c r="I68" s="86" t="s">
        <v>646</v>
      </c>
      <c r="J68" s="86"/>
      <c r="K68" s="86"/>
      <c r="L68" s="86"/>
      <c r="M68" s="172"/>
      <c r="N68" s="173"/>
      <c r="O68" s="86" t="s">
        <v>646</v>
      </c>
      <c r="P68" s="86"/>
      <c r="Q68" s="86"/>
      <c r="R68" s="86"/>
      <c r="S68" s="86"/>
      <c r="T68" s="86" t="s">
        <v>646</v>
      </c>
      <c r="U68" s="86"/>
      <c r="V68" s="86"/>
      <c r="W68" s="86"/>
      <c r="X68" s="86"/>
      <c r="Y68" s="86" t="s">
        <v>646</v>
      </c>
      <c r="Z68" s="86"/>
      <c r="AA68" s="86"/>
      <c r="AB68" s="86"/>
      <c r="AC68" s="86"/>
      <c r="AD68" s="86" t="s">
        <v>646</v>
      </c>
      <c r="AE68" s="86"/>
      <c r="AF68" s="86"/>
      <c r="AG68" s="86"/>
      <c r="AH68" s="86"/>
      <c r="AI68" s="86" t="s">
        <v>646</v>
      </c>
      <c r="AJ68" s="86"/>
      <c r="AK68" s="86"/>
      <c r="AL68" s="86"/>
      <c r="AM68" s="86"/>
      <c r="AN68" s="86" t="s">
        <v>646</v>
      </c>
      <c r="AO68" s="74"/>
      <c r="AP68" s="75" t="s">
        <v>760</v>
      </c>
      <c r="AQ68" s="76">
        <v>57</v>
      </c>
      <c r="AR68" s="76"/>
    </row>
    <row r="69" spans="1:44" ht="18" x14ac:dyDescent="0.2">
      <c r="A69" s="174">
        <v>58</v>
      </c>
      <c r="B69" s="175"/>
      <c r="C69" s="91"/>
      <c r="D69" s="92" t="s">
        <v>761</v>
      </c>
      <c r="E69" s="93"/>
      <c r="F69" s="93"/>
      <c r="G69" s="93"/>
      <c r="H69" s="93"/>
      <c r="I69" s="93" t="s">
        <v>646</v>
      </c>
      <c r="J69" s="93"/>
      <c r="K69" s="93"/>
      <c r="L69" s="93"/>
      <c r="M69" s="176"/>
      <c r="N69" s="177"/>
      <c r="O69" s="93" t="s">
        <v>646</v>
      </c>
      <c r="P69" s="93"/>
      <c r="Q69" s="93"/>
      <c r="R69" s="93"/>
      <c r="S69" s="93"/>
      <c r="T69" s="93" t="s">
        <v>646</v>
      </c>
      <c r="U69" s="93"/>
      <c r="V69" s="93"/>
      <c r="W69" s="93"/>
      <c r="X69" s="93"/>
      <c r="Y69" s="93" t="s">
        <v>646</v>
      </c>
      <c r="Z69" s="93"/>
      <c r="AA69" s="93"/>
      <c r="AB69" s="93"/>
      <c r="AC69" s="93"/>
      <c r="AD69" s="93" t="s">
        <v>646</v>
      </c>
      <c r="AE69" s="93"/>
      <c r="AF69" s="93"/>
      <c r="AG69" s="93"/>
      <c r="AH69" s="93"/>
      <c r="AI69" s="93" t="s">
        <v>646</v>
      </c>
      <c r="AJ69" s="93"/>
      <c r="AK69" s="93"/>
      <c r="AL69" s="93"/>
      <c r="AM69" s="93"/>
      <c r="AN69" s="93" t="s">
        <v>646</v>
      </c>
      <c r="AO69" s="94"/>
      <c r="AP69" s="95" t="s">
        <v>762</v>
      </c>
      <c r="AQ69" s="96">
        <v>58</v>
      </c>
      <c r="AR69" s="96"/>
    </row>
    <row r="70" spans="1:44" ht="5.0999999999999996" customHeight="1" x14ac:dyDescent="0.2"/>
    <row r="71" spans="1:44" ht="108" customHeight="1" x14ac:dyDescent="0.2">
      <c r="A71" s="178" t="s">
        <v>763</v>
      </c>
      <c r="B71" s="171"/>
      <c r="C71" s="171"/>
      <c r="D71" s="171"/>
      <c r="E71" s="171"/>
      <c r="F71" s="171"/>
      <c r="G71" s="171"/>
      <c r="H71" s="171"/>
      <c r="I71" s="171"/>
      <c r="J71" s="171"/>
      <c r="K71" s="171"/>
      <c r="L71" s="171"/>
      <c r="M71" s="171"/>
    </row>
    <row r="72" spans="1:44" ht="6" customHeight="1" x14ac:dyDescent="0.2"/>
    <row r="73" spans="1:44" ht="108" customHeight="1" x14ac:dyDescent="0.2">
      <c r="A73" s="179" t="s">
        <v>764</v>
      </c>
      <c r="B73" s="171"/>
      <c r="C73" s="171"/>
      <c r="D73" s="171"/>
      <c r="E73" s="171"/>
      <c r="F73" s="171"/>
      <c r="G73" s="171"/>
      <c r="H73" s="171"/>
      <c r="I73" s="171"/>
      <c r="J73" s="171"/>
      <c r="K73" s="171"/>
      <c r="L73" s="171"/>
      <c r="M73" s="171"/>
    </row>
  </sheetData>
  <mergeCells count="136">
    <mergeCell ref="B2:M2"/>
    <mergeCell ref="B4:M4"/>
    <mergeCell ref="B6:M6"/>
    <mergeCell ref="B8:M8"/>
    <mergeCell ref="A10:B11"/>
    <mergeCell ref="C10:C11"/>
    <mergeCell ref="D10:D11"/>
    <mergeCell ref="E10:I10"/>
    <mergeCell ref="J10:O10"/>
    <mergeCell ref="A14:B14"/>
    <mergeCell ref="M14:N14"/>
    <mergeCell ref="A15:B15"/>
    <mergeCell ref="M15:N15"/>
    <mergeCell ref="A16:B16"/>
    <mergeCell ref="M16:N16"/>
    <mergeCell ref="AQ10:AQ11"/>
    <mergeCell ref="AR10:AR11"/>
    <mergeCell ref="M11:N11"/>
    <mergeCell ref="A12:B12"/>
    <mergeCell ref="M12:N12"/>
    <mergeCell ref="A13:B13"/>
    <mergeCell ref="M13:N13"/>
    <mergeCell ref="P10:T10"/>
    <mergeCell ref="U10:Y10"/>
    <mergeCell ref="Z10:AD10"/>
    <mergeCell ref="AJ10:AN10"/>
    <mergeCell ref="AO10:AO11"/>
    <mergeCell ref="AP10:AP11"/>
    <mergeCell ref="A20:B20"/>
    <mergeCell ref="M20:N20"/>
    <mergeCell ref="A21:B21"/>
    <mergeCell ref="M21:N21"/>
    <mergeCell ref="A22:B22"/>
    <mergeCell ref="M22:N22"/>
    <mergeCell ref="A17:B17"/>
    <mergeCell ref="M17:N17"/>
    <mergeCell ref="A18:B18"/>
    <mergeCell ref="M18:N18"/>
    <mergeCell ref="A19:B19"/>
    <mergeCell ref="M19:N19"/>
    <mergeCell ref="A26:B26"/>
    <mergeCell ref="M26:N26"/>
    <mergeCell ref="A27:B27"/>
    <mergeCell ref="M27:N27"/>
    <mergeCell ref="A28:B28"/>
    <mergeCell ref="M28:N28"/>
    <mergeCell ref="A23:B23"/>
    <mergeCell ref="M23:N23"/>
    <mergeCell ref="A24:B24"/>
    <mergeCell ref="M24:N24"/>
    <mergeCell ref="A25:B25"/>
    <mergeCell ref="M25:N25"/>
    <mergeCell ref="A32:B32"/>
    <mergeCell ref="M32:N32"/>
    <mergeCell ref="A33:B33"/>
    <mergeCell ref="M33:N33"/>
    <mergeCell ref="A34:B34"/>
    <mergeCell ref="M34:N34"/>
    <mergeCell ref="A29:B29"/>
    <mergeCell ref="M29:N29"/>
    <mergeCell ref="A30:B30"/>
    <mergeCell ref="M30:N30"/>
    <mergeCell ref="A31:B31"/>
    <mergeCell ref="M31:N31"/>
    <mergeCell ref="A38:B38"/>
    <mergeCell ref="M38:N38"/>
    <mergeCell ref="A39:B39"/>
    <mergeCell ref="M39:N39"/>
    <mergeCell ref="A40:B40"/>
    <mergeCell ref="M40:N40"/>
    <mergeCell ref="A35:B35"/>
    <mergeCell ref="M35:N35"/>
    <mergeCell ref="A36:B36"/>
    <mergeCell ref="M36:N36"/>
    <mergeCell ref="A37:B37"/>
    <mergeCell ref="M37:N37"/>
    <mergeCell ref="A44:B44"/>
    <mergeCell ref="M44:N44"/>
    <mergeCell ref="A45:B45"/>
    <mergeCell ref="M45:N45"/>
    <mergeCell ref="A46:B46"/>
    <mergeCell ref="M46:N46"/>
    <mergeCell ref="A41:B41"/>
    <mergeCell ref="M41:N41"/>
    <mergeCell ref="A42:B42"/>
    <mergeCell ref="M42:N42"/>
    <mergeCell ref="A43:B43"/>
    <mergeCell ref="M43:N43"/>
    <mergeCell ref="A50:B50"/>
    <mergeCell ref="M50:N50"/>
    <mergeCell ref="A51:B51"/>
    <mergeCell ref="M51:N51"/>
    <mergeCell ref="A52:B52"/>
    <mergeCell ref="M52:N52"/>
    <mergeCell ref="A47:B47"/>
    <mergeCell ref="M47:N47"/>
    <mergeCell ref="A48:B48"/>
    <mergeCell ref="M48:N48"/>
    <mergeCell ref="A49:B49"/>
    <mergeCell ref="M49:N49"/>
    <mergeCell ref="A56:B56"/>
    <mergeCell ref="M56:N56"/>
    <mergeCell ref="A57:B57"/>
    <mergeCell ref="M57:N57"/>
    <mergeCell ref="A58:B58"/>
    <mergeCell ref="M58:N58"/>
    <mergeCell ref="A53:B53"/>
    <mergeCell ref="M53:N53"/>
    <mergeCell ref="A54:B54"/>
    <mergeCell ref="M54:N54"/>
    <mergeCell ref="A55:B55"/>
    <mergeCell ref="M55:N55"/>
    <mergeCell ref="A62:B62"/>
    <mergeCell ref="M62:N62"/>
    <mergeCell ref="A63:B63"/>
    <mergeCell ref="M63:N63"/>
    <mergeCell ref="A64:B64"/>
    <mergeCell ref="M64:N64"/>
    <mergeCell ref="A59:B59"/>
    <mergeCell ref="M59:N59"/>
    <mergeCell ref="A60:B60"/>
    <mergeCell ref="M60:N60"/>
    <mergeCell ref="A61:B61"/>
    <mergeCell ref="M61:N61"/>
    <mergeCell ref="A68:B68"/>
    <mergeCell ref="M68:N68"/>
    <mergeCell ref="A69:B69"/>
    <mergeCell ref="M69:N69"/>
    <mergeCell ref="A71:M71"/>
    <mergeCell ref="A73:M73"/>
    <mergeCell ref="A65:B65"/>
    <mergeCell ref="M65:N65"/>
    <mergeCell ref="A66:B66"/>
    <mergeCell ref="M66:N66"/>
    <mergeCell ref="A67:B67"/>
    <mergeCell ref="M67:N6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CEC05-16EA-4B0D-AE72-FF83BEAF8CC5}">
  <dimension ref="A1:BW127"/>
  <sheetViews>
    <sheetView workbookViewId="0">
      <selection activeCell="G71" sqref="G71"/>
    </sheetView>
  </sheetViews>
  <sheetFormatPr defaultColWidth="8.7109375" defaultRowHeight="12.75" outlineLevelCol="1" x14ac:dyDescent="0.2"/>
  <cols>
    <col min="1" max="1" width="2.85546875" style="97" customWidth="1"/>
    <col min="2" max="2" width="1.28515625" style="97" customWidth="1"/>
    <col min="3" max="3" width="32.5703125" style="97" customWidth="1"/>
    <col min="4" max="4" width="15.5703125" style="97" customWidth="1" outlineLevel="1" collapsed="1"/>
    <col min="5" max="7" width="6.140625" style="97" customWidth="1" outlineLevel="1" collapsed="1"/>
    <col min="8" max="8" width="8.140625" style="100" customWidth="1"/>
    <col min="9" max="11" width="6.140625" style="97" customWidth="1" outlineLevel="1" collapsed="1"/>
    <col min="12" max="12" width="4.42578125" style="97" customWidth="1" outlineLevel="1" collapsed="1"/>
    <col min="13" max="13" width="1.5703125" style="97" customWidth="1" outlineLevel="1" collapsed="1"/>
    <col min="14" max="14" width="9.5703125" style="100" customWidth="1"/>
    <col min="15" max="18" width="6.140625" style="97" customWidth="1" outlineLevel="1" collapsed="1"/>
    <col min="19" max="19" width="9.5703125" style="100" customWidth="1"/>
    <col min="20" max="23" width="6.140625" style="97" customWidth="1" outlineLevel="1" collapsed="1"/>
    <col min="24" max="24" width="9.5703125" style="100" customWidth="1"/>
    <col min="25" max="28" width="6.140625" style="97" customWidth="1" outlineLevel="1" collapsed="1"/>
    <col min="29" max="29" width="9.5703125" style="100" customWidth="1"/>
    <col min="30" max="33" width="6.140625" style="97" customWidth="1" outlineLevel="1"/>
    <col min="34" max="34" width="9.5703125" style="100" customWidth="1"/>
    <col min="35" max="35" width="7.7109375" style="97" customWidth="1" outlineLevel="1"/>
    <col min="36" max="36" width="9.5703125" style="97" customWidth="1" outlineLevel="1"/>
    <col min="37" max="37" width="8.28515625" style="97" customWidth="1" outlineLevel="1"/>
    <col min="38" max="38" width="9.42578125" style="97" customWidth="1" outlineLevel="1"/>
    <col min="39" max="39" width="9.42578125" style="100" customWidth="1"/>
    <col min="40" max="40" width="9" style="97" customWidth="1" outlineLevel="1"/>
    <col min="41" max="43" width="8.28515625" style="97" customWidth="1" outlineLevel="1"/>
    <col min="44" max="44" width="7.85546875" style="100" customWidth="1"/>
    <col min="45" max="48" width="7.85546875" style="97" hidden="1" customWidth="1" outlineLevel="1"/>
    <col min="49" max="49" width="7.85546875" style="100" customWidth="1" collapsed="1"/>
    <col min="50" max="53" width="7.85546875" style="97" hidden="1" customWidth="1" outlineLevel="1"/>
    <col min="54" max="54" width="7.85546875" style="97" customWidth="1" collapsed="1"/>
    <col min="55" max="58" width="8.28515625" style="97" hidden="1" customWidth="1" outlineLevel="1"/>
    <col min="59" max="59" width="8.28515625" style="97" customWidth="1" collapsed="1"/>
    <col min="60" max="60" width="8.28515625" style="97" hidden="1" customWidth="1"/>
    <col min="61" max="70" width="8.28515625" style="97" customWidth="1"/>
    <col min="71" max="71" width="8.28515625" style="97" hidden="1" customWidth="1"/>
    <col min="72" max="72" width="2.5703125" style="97" customWidth="1"/>
    <col min="73" max="73" width="31.28515625" style="97" customWidth="1"/>
    <col min="74" max="74" width="4.28515625" style="97" customWidth="1"/>
    <col min="75" max="75" width="17.140625" style="97" customWidth="1"/>
    <col min="76" max="256" width="8.7109375" style="97"/>
    <col min="257" max="257" width="2.85546875" style="97" customWidth="1"/>
    <col min="258" max="258" width="1.28515625" style="97" customWidth="1"/>
    <col min="259" max="259" width="32.5703125" style="97" customWidth="1"/>
    <col min="260" max="263" width="6.140625" style="97" customWidth="1"/>
    <col min="264" max="264" width="8.140625" style="97" customWidth="1"/>
    <col min="265" max="267" width="6.140625" style="97" customWidth="1"/>
    <col min="268" max="268" width="4.42578125" style="97" customWidth="1"/>
    <col min="269" max="269" width="1.5703125" style="97" customWidth="1"/>
    <col min="270" max="270" width="9.5703125" style="97" customWidth="1"/>
    <col min="271" max="274" width="6.140625" style="97" customWidth="1"/>
    <col min="275" max="275" width="9.5703125" style="97" customWidth="1"/>
    <col min="276" max="279" width="6.140625" style="97" customWidth="1"/>
    <col min="280" max="280" width="9.5703125" style="97" customWidth="1"/>
    <col min="281" max="284" width="6.140625" style="97" customWidth="1"/>
    <col min="285" max="285" width="9.5703125" style="97" customWidth="1"/>
    <col min="286" max="289" width="6.140625" style="97" customWidth="1"/>
    <col min="290" max="290" width="9.5703125" style="97" customWidth="1"/>
    <col min="291" max="291" width="7.7109375" style="97" customWidth="1"/>
    <col min="292" max="292" width="9.5703125" style="97" customWidth="1"/>
    <col min="293" max="293" width="8.28515625" style="97" customWidth="1"/>
    <col min="294" max="295" width="9.42578125" style="97" customWidth="1"/>
    <col min="296" max="296" width="9" style="97" customWidth="1"/>
    <col min="297" max="299" width="8.28515625" style="97" customWidth="1"/>
    <col min="300" max="300" width="7.85546875" style="97" customWidth="1"/>
    <col min="301" max="304" width="0" style="97" hidden="1" customWidth="1"/>
    <col min="305" max="305" width="7.85546875" style="97" customWidth="1"/>
    <col min="306" max="309" width="0" style="97" hidden="1" customWidth="1"/>
    <col min="310" max="310" width="7.85546875" style="97" customWidth="1"/>
    <col min="311" max="314" width="0" style="97" hidden="1" customWidth="1"/>
    <col min="315" max="315" width="8.28515625" style="97" customWidth="1"/>
    <col min="316" max="316" width="0" style="97" hidden="1" customWidth="1"/>
    <col min="317" max="326" width="8.28515625" style="97" customWidth="1"/>
    <col min="327" max="327" width="0" style="97" hidden="1" customWidth="1"/>
    <col min="328" max="328" width="2.5703125" style="97" customWidth="1"/>
    <col min="329" max="329" width="31.28515625" style="97" customWidth="1"/>
    <col min="330" max="330" width="4.28515625" style="97" customWidth="1"/>
    <col min="331" max="331" width="17.140625" style="97" customWidth="1"/>
    <col min="332" max="512" width="8.7109375" style="97"/>
    <col min="513" max="513" width="2.85546875" style="97" customWidth="1"/>
    <col min="514" max="514" width="1.28515625" style="97" customWidth="1"/>
    <col min="515" max="515" width="32.5703125" style="97" customWidth="1"/>
    <col min="516" max="519" width="6.140625" style="97" customWidth="1"/>
    <col min="520" max="520" width="8.140625" style="97" customWidth="1"/>
    <col min="521" max="523" width="6.140625" style="97" customWidth="1"/>
    <col min="524" max="524" width="4.42578125" style="97" customWidth="1"/>
    <col min="525" max="525" width="1.5703125" style="97" customWidth="1"/>
    <col min="526" max="526" width="9.5703125" style="97" customWidth="1"/>
    <col min="527" max="530" width="6.140625" style="97" customWidth="1"/>
    <col min="531" max="531" width="9.5703125" style="97" customWidth="1"/>
    <col min="532" max="535" width="6.140625" style="97" customWidth="1"/>
    <col min="536" max="536" width="9.5703125" style="97" customWidth="1"/>
    <col min="537" max="540" width="6.140625" style="97" customWidth="1"/>
    <col min="541" max="541" width="9.5703125" style="97" customWidth="1"/>
    <col min="542" max="545" width="6.140625" style="97" customWidth="1"/>
    <col min="546" max="546" width="9.5703125" style="97" customWidth="1"/>
    <col min="547" max="547" width="7.7109375" style="97" customWidth="1"/>
    <col min="548" max="548" width="9.5703125" style="97" customWidth="1"/>
    <col min="549" max="549" width="8.28515625" style="97" customWidth="1"/>
    <col min="550" max="551" width="9.42578125" style="97" customWidth="1"/>
    <col min="552" max="552" width="9" style="97" customWidth="1"/>
    <col min="553" max="555" width="8.28515625" style="97" customWidth="1"/>
    <col min="556" max="556" width="7.85546875" style="97" customWidth="1"/>
    <col min="557" max="560" width="0" style="97" hidden="1" customWidth="1"/>
    <col min="561" max="561" width="7.85546875" style="97" customWidth="1"/>
    <col min="562" max="565" width="0" style="97" hidden="1" customWidth="1"/>
    <col min="566" max="566" width="7.85546875" style="97" customWidth="1"/>
    <col min="567" max="570" width="0" style="97" hidden="1" customWidth="1"/>
    <col min="571" max="571" width="8.28515625" style="97" customWidth="1"/>
    <col min="572" max="572" width="0" style="97" hidden="1" customWidth="1"/>
    <col min="573" max="582" width="8.28515625" style="97" customWidth="1"/>
    <col min="583" max="583" width="0" style="97" hidden="1" customWidth="1"/>
    <col min="584" max="584" width="2.5703125" style="97" customWidth="1"/>
    <col min="585" max="585" width="31.28515625" style="97" customWidth="1"/>
    <col min="586" max="586" width="4.28515625" style="97" customWidth="1"/>
    <col min="587" max="587" width="17.140625" style="97" customWidth="1"/>
    <col min="588" max="768" width="8.7109375" style="97"/>
    <col min="769" max="769" width="2.85546875" style="97" customWidth="1"/>
    <col min="770" max="770" width="1.28515625" style="97" customWidth="1"/>
    <col min="771" max="771" width="32.5703125" style="97" customWidth="1"/>
    <col min="772" max="775" width="6.140625" style="97" customWidth="1"/>
    <col min="776" max="776" width="8.140625" style="97" customWidth="1"/>
    <col min="777" max="779" width="6.140625" style="97" customWidth="1"/>
    <col min="780" max="780" width="4.42578125" style="97" customWidth="1"/>
    <col min="781" max="781" width="1.5703125" style="97" customWidth="1"/>
    <col min="782" max="782" width="9.5703125" style="97" customWidth="1"/>
    <col min="783" max="786" width="6.140625" style="97" customWidth="1"/>
    <col min="787" max="787" width="9.5703125" style="97" customWidth="1"/>
    <col min="788" max="791" width="6.140625" style="97" customWidth="1"/>
    <col min="792" max="792" width="9.5703125" style="97" customWidth="1"/>
    <col min="793" max="796" width="6.140625" style="97" customWidth="1"/>
    <col min="797" max="797" width="9.5703125" style="97" customWidth="1"/>
    <col min="798" max="801" width="6.140625" style="97" customWidth="1"/>
    <col min="802" max="802" width="9.5703125" style="97" customWidth="1"/>
    <col min="803" max="803" width="7.7109375" style="97" customWidth="1"/>
    <col min="804" max="804" width="9.5703125" style="97" customWidth="1"/>
    <col min="805" max="805" width="8.28515625" style="97" customWidth="1"/>
    <col min="806" max="807" width="9.42578125" style="97" customWidth="1"/>
    <col min="808" max="808" width="9" style="97" customWidth="1"/>
    <col min="809" max="811" width="8.28515625" style="97" customWidth="1"/>
    <col min="812" max="812" width="7.85546875" style="97" customWidth="1"/>
    <col min="813" max="816" width="0" style="97" hidden="1" customWidth="1"/>
    <col min="817" max="817" width="7.85546875" style="97" customWidth="1"/>
    <col min="818" max="821" width="0" style="97" hidden="1" customWidth="1"/>
    <col min="822" max="822" width="7.85546875" style="97" customWidth="1"/>
    <col min="823" max="826" width="0" style="97" hidden="1" customWidth="1"/>
    <col min="827" max="827" width="8.28515625" style="97" customWidth="1"/>
    <col min="828" max="828" width="0" style="97" hidden="1" customWidth="1"/>
    <col min="829" max="838" width="8.28515625" style="97" customWidth="1"/>
    <col min="839" max="839" width="0" style="97" hidden="1" customWidth="1"/>
    <col min="840" max="840" width="2.5703125" style="97" customWidth="1"/>
    <col min="841" max="841" width="31.28515625" style="97" customWidth="1"/>
    <col min="842" max="842" width="4.28515625" style="97" customWidth="1"/>
    <col min="843" max="843" width="17.140625" style="97" customWidth="1"/>
    <col min="844" max="1024" width="8.7109375" style="97"/>
    <col min="1025" max="1025" width="2.85546875" style="97" customWidth="1"/>
    <col min="1026" max="1026" width="1.28515625" style="97" customWidth="1"/>
    <col min="1027" max="1027" width="32.5703125" style="97" customWidth="1"/>
    <col min="1028" max="1031" width="6.140625" style="97" customWidth="1"/>
    <col min="1032" max="1032" width="8.140625" style="97" customWidth="1"/>
    <col min="1033" max="1035" width="6.140625" style="97" customWidth="1"/>
    <col min="1036" max="1036" width="4.42578125" style="97" customWidth="1"/>
    <col min="1037" max="1037" width="1.5703125" style="97" customWidth="1"/>
    <col min="1038" max="1038" width="9.5703125" style="97" customWidth="1"/>
    <col min="1039" max="1042" width="6.140625" style="97" customWidth="1"/>
    <col min="1043" max="1043" width="9.5703125" style="97" customWidth="1"/>
    <col min="1044" max="1047" width="6.140625" style="97" customWidth="1"/>
    <col min="1048" max="1048" width="9.5703125" style="97" customWidth="1"/>
    <col min="1049" max="1052" width="6.140625" style="97" customWidth="1"/>
    <col min="1053" max="1053" width="9.5703125" style="97" customWidth="1"/>
    <col min="1054" max="1057" width="6.140625" style="97" customWidth="1"/>
    <col min="1058" max="1058" width="9.5703125" style="97" customWidth="1"/>
    <col min="1059" max="1059" width="7.7109375" style="97" customWidth="1"/>
    <col min="1060" max="1060" width="9.5703125" style="97" customWidth="1"/>
    <col min="1061" max="1061" width="8.28515625" style="97" customWidth="1"/>
    <col min="1062" max="1063" width="9.42578125" style="97" customWidth="1"/>
    <col min="1064" max="1064" width="9" style="97" customWidth="1"/>
    <col min="1065" max="1067" width="8.28515625" style="97" customWidth="1"/>
    <col min="1068" max="1068" width="7.85546875" style="97" customWidth="1"/>
    <col min="1069" max="1072" width="0" style="97" hidden="1" customWidth="1"/>
    <col min="1073" max="1073" width="7.85546875" style="97" customWidth="1"/>
    <col min="1074" max="1077" width="0" style="97" hidden="1" customWidth="1"/>
    <col min="1078" max="1078" width="7.85546875" style="97" customWidth="1"/>
    <col min="1079" max="1082" width="0" style="97" hidden="1" customWidth="1"/>
    <col min="1083" max="1083" width="8.28515625" style="97" customWidth="1"/>
    <col min="1084" max="1084" width="0" style="97" hidden="1" customWidth="1"/>
    <col min="1085" max="1094" width="8.28515625" style="97" customWidth="1"/>
    <col min="1095" max="1095" width="0" style="97" hidden="1" customWidth="1"/>
    <col min="1096" max="1096" width="2.5703125" style="97" customWidth="1"/>
    <col min="1097" max="1097" width="31.28515625" style="97" customWidth="1"/>
    <col min="1098" max="1098" width="4.28515625" style="97" customWidth="1"/>
    <col min="1099" max="1099" width="17.140625" style="97" customWidth="1"/>
    <col min="1100" max="1280" width="8.7109375" style="97"/>
    <col min="1281" max="1281" width="2.85546875" style="97" customWidth="1"/>
    <col min="1282" max="1282" width="1.28515625" style="97" customWidth="1"/>
    <col min="1283" max="1283" width="32.5703125" style="97" customWidth="1"/>
    <col min="1284" max="1287" width="6.140625" style="97" customWidth="1"/>
    <col min="1288" max="1288" width="8.140625" style="97" customWidth="1"/>
    <col min="1289" max="1291" width="6.140625" style="97" customWidth="1"/>
    <col min="1292" max="1292" width="4.42578125" style="97" customWidth="1"/>
    <col min="1293" max="1293" width="1.5703125" style="97" customWidth="1"/>
    <col min="1294" max="1294" width="9.5703125" style="97" customWidth="1"/>
    <col min="1295" max="1298" width="6.140625" style="97" customWidth="1"/>
    <col min="1299" max="1299" width="9.5703125" style="97" customWidth="1"/>
    <col min="1300" max="1303" width="6.140625" style="97" customWidth="1"/>
    <col min="1304" max="1304" width="9.5703125" style="97" customWidth="1"/>
    <col min="1305" max="1308" width="6.140625" style="97" customWidth="1"/>
    <col min="1309" max="1309" width="9.5703125" style="97" customWidth="1"/>
    <col min="1310" max="1313" width="6.140625" style="97" customWidth="1"/>
    <col min="1314" max="1314" width="9.5703125" style="97" customWidth="1"/>
    <col min="1315" max="1315" width="7.7109375" style="97" customWidth="1"/>
    <col min="1316" max="1316" width="9.5703125" style="97" customWidth="1"/>
    <col min="1317" max="1317" width="8.28515625" style="97" customWidth="1"/>
    <col min="1318" max="1319" width="9.42578125" style="97" customWidth="1"/>
    <col min="1320" max="1320" width="9" style="97" customWidth="1"/>
    <col min="1321" max="1323" width="8.28515625" style="97" customWidth="1"/>
    <col min="1324" max="1324" width="7.85546875" style="97" customWidth="1"/>
    <col min="1325" max="1328" width="0" style="97" hidden="1" customWidth="1"/>
    <col min="1329" max="1329" width="7.85546875" style="97" customWidth="1"/>
    <col min="1330" max="1333" width="0" style="97" hidden="1" customWidth="1"/>
    <col min="1334" max="1334" width="7.85546875" style="97" customWidth="1"/>
    <col min="1335" max="1338" width="0" style="97" hidden="1" customWidth="1"/>
    <col min="1339" max="1339" width="8.28515625" style="97" customWidth="1"/>
    <col min="1340" max="1340" width="0" style="97" hidden="1" customWidth="1"/>
    <col min="1341" max="1350" width="8.28515625" style="97" customWidth="1"/>
    <col min="1351" max="1351" width="0" style="97" hidden="1" customWidth="1"/>
    <col min="1352" max="1352" width="2.5703125" style="97" customWidth="1"/>
    <col min="1353" max="1353" width="31.28515625" style="97" customWidth="1"/>
    <col min="1354" max="1354" width="4.28515625" style="97" customWidth="1"/>
    <col min="1355" max="1355" width="17.140625" style="97" customWidth="1"/>
    <col min="1356" max="1536" width="8.7109375" style="97"/>
    <col min="1537" max="1537" width="2.85546875" style="97" customWidth="1"/>
    <col min="1538" max="1538" width="1.28515625" style="97" customWidth="1"/>
    <col min="1539" max="1539" width="32.5703125" style="97" customWidth="1"/>
    <col min="1540" max="1543" width="6.140625" style="97" customWidth="1"/>
    <col min="1544" max="1544" width="8.140625" style="97" customWidth="1"/>
    <col min="1545" max="1547" width="6.140625" style="97" customWidth="1"/>
    <col min="1548" max="1548" width="4.42578125" style="97" customWidth="1"/>
    <col min="1549" max="1549" width="1.5703125" style="97" customWidth="1"/>
    <col min="1550" max="1550" width="9.5703125" style="97" customWidth="1"/>
    <col min="1551" max="1554" width="6.140625" style="97" customWidth="1"/>
    <col min="1555" max="1555" width="9.5703125" style="97" customWidth="1"/>
    <col min="1556" max="1559" width="6.140625" style="97" customWidth="1"/>
    <col min="1560" max="1560" width="9.5703125" style="97" customWidth="1"/>
    <col min="1561" max="1564" width="6.140625" style="97" customWidth="1"/>
    <col min="1565" max="1565" width="9.5703125" style="97" customWidth="1"/>
    <col min="1566" max="1569" width="6.140625" style="97" customWidth="1"/>
    <col min="1570" max="1570" width="9.5703125" style="97" customWidth="1"/>
    <col min="1571" max="1571" width="7.7109375" style="97" customWidth="1"/>
    <col min="1572" max="1572" width="9.5703125" style="97" customWidth="1"/>
    <col min="1573" max="1573" width="8.28515625" style="97" customWidth="1"/>
    <col min="1574" max="1575" width="9.42578125" style="97" customWidth="1"/>
    <col min="1576" max="1576" width="9" style="97" customWidth="1"/>
    <col min="1577" max="1579" width="8.28515625" style="97" customWidth="1"/>
    <col min="1580" max="1580" width="7.85546875" style="97" customWidth="1"/>
    <col min="1581" max="1584" width="0" style="97" hidden="1" customWidth="1"/>
    <col min="1585" max="1585" width="7.85546875" style="97" customWidth="1"/>
    <col min="1586" max="1589" width="0" style="97" hidden="1" customWidth="1"/>
    <col min="1590" max="1590" width="7.85546875" style="97" customWidth="1"/>
    <col min="1591" max="1594" width="0" style="97" hidden="1" customWidth="1"/>
    <col min="1595" max="1595" width="8.28515625" style="97" customWidth="1"/>
    <col min="1596" max="1596" width="0" style="97" hidden="1" customWidth="1"/>
    <col min="1597" max="1606" width="8.28515625" style="97" customWidth="1"/>
    <col min="1607" max="1607" width="0" style="97" hidden="1" customWidth="1"/>
    <col min="1608" max="1608" width="2.5703125" style="97" customWidth="1"/>
    <col min="1609" max="1609" width="31.28515625" style="97" customWidth="1"/>
    <col min="1610" max="1610" width="4.28515625" style="97" customWidth="1"/>
    <col min="1611" max="1611" width="17.140625" style="97" customWidth="1"/>
    <col min="1612" max="1792" width="8.7109375" style="97"/>
    <col min="1793" max="1793" width="2.85546875" style="97" customWidth="1"/>
    <col min="1794" max="1794" width="1.28515625" style="97" customWidth="1"/>
    <col min="1795" max="1795" width="32.5703125" style="97" customWidth="1"/>
    <col min="1796" max="1799" width="6.140625" style="97" customWidth="1"/>
    <col min="1800" max="1800" width="8.140625" style="97" customWidth="1"/>
    <col min="1801" max="1803" width="6.140625" style="97" customWidth="1"/>
    <col min="1804" max="1804" width="4.42578125" style="97" customWidth="1"/>
    <col min="1805" max="1805" width="1.5703125" style="97" customWidth="1"/>
    <col min="1806" max="1806" width="9.5703125" style="97" customWidth="1"/>
    <col min="1807" max="1810" width="6.140625" style="97" customWidth="1"/>
    <col min="1811" max="1811" width="9.5703125" style="97" customWidth="1"/>
    <col min="1812" max="1815" width="6.140625" style="97" customWidth="1"/>
    <col min="1816" max="1816" width="9.5703125" style="97" customWidth="1"/>
    <col min="1817" max="1820" width="6.140625" style="97" customWidth="1"/>
    <col min="1821" max="1821" width="9.5703125" style="97" customWidth="1"/>
    <col min="1822" max="1825" width="6.140625" style="97" customWidth="1"/>
    <col min="1826" max="1826" width="9.5703125" style="97" customWidth="1"/>
    <col min="1827" max="1827" width="7.7109375" style="97" customWidth="1"/>
    <col min="1828" max="1828" width="9.5703125" style="97" customWidth="1"/>
    <col min="1829" max="1829" width="8.28515625" style="97" customWidth="1"/>
    <col min="1830" max="1831" width="9.42578125" style="97" customWidth="1"/>
    <col min="1832" max="1832" width="9" style="97" customWidth="1"/>
    <col min="1833" max="1835" width="8.28515625" style="97" customWidth="1"/>
    <col min="1836" max="1836" width="7.85546875" style="97" customWidth="1"/>
    <col min="1837" max="1840" width="0" style="97" hidden="1" customWidth="1"/>
    <col min="1841" max="1841" width="7.85546875" style="97" customWidth="1"/>
    <col min="1842" max="1845" width="0" style="97" hidden="1" customWidth="1"/>
    <col min="1846" max="1846" width="7.85546875" style="97" customWidth="1"/>
    <col min="1847" max="1850" width="0" style="97" hidden="1" customWidth="1"/>
    <col min="1851" max="1851" width="8.28515625" style="97" customWidth="1"/>
    <col min="1852" max="1852" width="0" style="97" hidden="1" customWidth="1"/>
    <col min="1853" max="1862" width="8.28515625" style="97" customWidth="1"/>
    <col min="1863" max="1863" width="0" style="97" hidden="1" customWidth="1"/>
    <col min="1864" max="1864" width="2.5703125" style="97" customWidth="1"/>
    <col min="1865" max="1865" width="31.28515625" style="97" customWidth="1"/>
    <col min="1866" max="1866" width="4.28515625" style="97" customWidth="1"/>
    <col min="1867" max="1867" width="17.140625" style="97" customWidth="1"/>
    <col min="1868" max="2048" width="8.7109375" style="97"/>
    <col min="2049" max="2049" width="2.85546875" style="97" customWidth="1"/>
    <col min="2050" max="2050" width="1.28515625" style="97" customWidth="1"/>
    <col min="2051" max="2051" width="32.5703125" style="97" customWidth="1"/>
    <col min="2052" max="2055" width="6.140625" style="97" customWidth="1"/>
    <col min="2056" max="2056" width="8.140625" style="97" customWidth="1"/>
    <col min="2057" max="2059" width="6.140625" style="97" customWidth="1"/>
    <col min="2060" max="2060" width="4.42578125" style="97" customWidth="1"/>
    <col min="2061" max="2061" width="1.5703125" style="97" customWidth="1"/>
    <col min="2062" max="2062" width="9.5703125" style="97" customWidth="1"/>
    <col min="2063" max="2066" width="6.140625" style="97" customWidth="1"/>
    <col min="2067" max="2067" width="9.5703125" style="97" customWidth="1"/>
    <col min="2068" max="2071" width="6.140625" style="97" customWidth="1"/>
    <col min="2072" max="2072" width="9.5703125" style="97" customWidth="1"/>
    <col min="2073" max="2076" width="6.140625" style="97" customWidth="1"/>
    <col min="2077" max="2077" width="9.5703125" style="97" customWidth="1"/>
    <col min="2078" max="2081" width="6.140625" style="97" customWidth="1"/>
    <col min="2082" max="2082" width="9.5703125" style="97" customWidth="1"/>
    <col min="2083" max="2083" width="7.7109375" style="97" customWidth="1"/>
    <col min="2084" max="2084" width="9.5703125" style="97" customWidth="1"/>
    <col min="2085" max="2085" width="8.28515625" style="97" customWidth="1"/>
    <col min="2086" max="2087" width="9.42578125" style="97" customWidth="1"/>
    <col min="2088" max="2088" width="9" style="97" customWidth="1"/>
    <col min="2089" max="2091" width="8.28515625" style="97" customWidth="1"/>
    <col min="2092" max="2092" width="7.85546875" style="97" customWidth="1"/>
    <col min="2093" max="2096" width="0" style="97" hidden="1" customWidth="1"/>
    <col min="2097" max="2097" width="7.85546875" style="97" customWidth="1"/>
    <col min="2098" max="2101" width="0" style="97" hidden="1" customWidth="1"/>
    <col min="2102" max="2102" width="7.85546875" style="97" customWidth="1"/>
    <col min="2103" max="2106" width="0" style="97" hidden="1" customWidth="1"/>
    <col min="2107" max="2107" width="8.28515625" style="97" customWidth="1"/>
    <col min="2108" max="2108" width="0" style="97" hidden="1" customWidth="1"/>
    <col min="2109" max="2118" width="8.28515625" style="97" customWidth="1"/>
    <col min="2119" max="2119" width="0" style="97" hidden="1" customWidth="1"/>
    <col min="2120" max="2120" width="2.5703125" style="97" customWidth="1"/>
    <col min="2121" max="2121" width="31.28515625" style="97" customWidth="1"/>
    <col min="2122" max="2122" width="4.28515625" style="97" customWidth="1"/>
    <col min="2123" max="2123" width="17.140625" style="97" customWidth="1"/>
    <col min="2124" max="2304" width="8.7109375" style="97"/>
    <col min="2305" max="2305" width="2.85546875" style="97" customWidth="1"/>
    <col min="2306" max="2306" width="1.28515625" style="97" customWidth="1"/>
    <col min="2307" max="2307" width="32.5703125" style="97" customWidth="1"/>
    <col min="2308" max="2311" width="6.140625" style="97" customWidth="1"/>
    <col min="2312" max="2312" width="8.140625" style="97" customWidth="1"/>
    <col min="2313" max="2315" width="6.140625" style="97" customWidth="1"/>
    <col min="2316" max="2316" width="4.42578125" style="97" customWidth="1"/>
    <col min="2317" max="2317" width="1.5703125" style="97" customWidth="1"/>
    <col min="2318" max="2318" width="9.5703125" style="97" customWidth="1"/>
    <col min="2319" max="2322" width="6.140625" style="97" customWidth="1"/>
    <col min="2323" max="2323" width="9.5703125" style="97" customWidth="1"/>
    <col min="2324" max="2327" width="6.140625" style="97" customWidth="1"/>
    <col min="2328" max="2328" width="9.5703125" style="97" customWidth="1"/>
    <col min="2329" max="2332" width="6.140625" style="97" customWidth="1"/>
    <col min="2333" max="2333" width="9.5703125" style="97" customWidth="1"/>
    <col min="2334" max="2337" width="6.140625" style="97" customWidth="1"/>
    <col min="2338" max="2338" width="9.5703125" style="97" customWidth="1"/>
    <col min="2339" max="2339" width="7.7109375" style="97" customWidth="1"/>
    <col min="2340" max="2340" width="9.5703125" style="97" customWidth="1"/>
    <col min="2341" max="2341" width="8.28515625" style="97" customWidth="1"/>
    <col min="2342" max="2343" width="9.42578125" style="97" customWidth="1"/>
    <col min="2344" max="2344" width="9" style="97" customWidth="1"/>
    <col min="2345" max="2347" width="8.28515625" style="97" customWidth="1"/>
    <col min="2348" max="2348" width="7.85546875" style="97" customWidth="1"/>
    <col min="2349" max="2352" width="0" style="97" hidden="1" customWidth="1"/>
    <col min="2353" max="2353" width="7.85546875" style="97" customWidth="1"/>
    <col min="2354" max="2357" width="0" style="97" hidden="1" customWidth="1"/>
    <col min="2358" max="2358" width="7.85546875" style="97" customWidth="1"/>
    <col min="2359" max="2362" width="0" style="97" hidden="1" customWidth="1"/>
    <col min="2363" max="2363" width="8.28515625" style="97" customWidth="1"/>
    <col min="2364" max="2364" width="0" style="97" hidden="1" customWidth="1"/>
    <col min="2365" max="2374" width="8.28515625" style="97" customWidth="1"/>
    <col min="2375" max="2375" width="0" style="97" hidden="1" customWidth="1"/>
    <col min="2376" max="2376" width="2.5703125" style="97" customWidth="1"/>
    <col min="2377" max="2377" width="31.28515625" style="97" customWidth="1"/>
    <col min="2378" max="2378" width="4.28515625" style="97" customWidth="1"/>
    <col min="2379" max="2379" width="17.140625" style="97" customWidth="1"/>
    <col min="2380" max="2560" width="8.7109375" style="97"/>
    <col min="2561" max="2561" width="2.85546875" style="97" customWidth="1"/>
    <col min="2562" max="2562" width="1.28515625" style="97" customWidth="1"/>
    <col min="2563" max="2563" width="32.5703125" style="97" customWidth="1"/>
    <col min="2564" max="2567" width="6.140625" style="97" customWidth="1"/>
    <col min="2568" max="2568" width="8.140625" style="97" customWidth="1"/>
    <col min="2569" max="2571" width="6.140625" style="97" customWidth="1"/>
    <col min="2572" max="2572" width="4.42578125" style="97" customWidth="1"/>
    <col min="2573" max="2573" width="1.5703125" style="97" customWidth="1"/>
    <col min="2574" max="2574" width="9.5703125" style="97" customWidth="1"/>
    <col min="2575" max="2578" width="6.140625" style="97" customWidth="1"/>
    <col min="2579" max="2579" width="9.5703125" style="97" customWidth="1"/>
    <col min="2580" max="2583" width="6.140625" style="97" customWidth="1"/>
    <col min="2584" max="2584" width="9.5703125" style="97" customWidth="1"/>
    <col min="2585" max="2588" width="6.140625" style="97" customWidth="1"/>
    <col min="2589" max="2589" width="9.5703125" style="97" customWidth="1"/>
    <col min="2590" max="2593" width="6.140625" style="97" customWidth="1"/>
    <col min="2594" max="2594" width="9.5703125" style="97" customWidth="1"/>
    <col min="2595" max="2595" width="7.7109375" style="97" customWidth="1"/>
    <col min="2596" max="2596" width="9.5703125" style="97" customWidth="1"/>
    <col min="2597" max="2597" width="8.28515625" style="97" customWidth="1"/>
    <col min="2598" max="2599" width="9.42578125" style="97" customWidth="1"/>
    <col min="2600" max="2600" width="9" style="97" customWidth="1"/>
    <col min="2601" max="2603" width="8.28515625" style="97" customWidth="1"/>
    <col min="2604" max="2604" width="7.85546875" style="97" customWidth="1"/>
    <col min="2605" max="2608" width="0" style="97" hidden="1" customWidth="1"/>
    <col min="2609" max="2609" width="7.85546875" style="97" customWidth="1"/>
    <col min="2610" max="2613" width="0" style="97" hidden="1" customWidth="1"/>
    <col min="2614" max="2614" width="7.85546875" style="97" customWidth="1"/>
    <col min="2615" max="2618" width="0" style="97" hidden="1" customWidth="1"/>
    <col min="2619" max="2619" width="8.28515625" style="97" customWidth="1"/>
    <col min="2620" max="2620" width="0" style="97" hidden="1" customWidth="1"/>
    <col min="2621" max="2630" width="8.28515625" style="97" customWidth="1"/>
    <col min="2631" max="2631" width="0" style="97" hidden="1" customWidth="1"/>
    <col min="2632" max="2632" width="2.5703125" style="97" customWidth="1"/>
    <col min="2633" max="2633" width="31.28515625" style="97" customWidth="1"/>
    <col min="2634" max="2634" width="4.28515625" style="97" customWidth="1"/>
    <col min="2635" max="2635" width="17.140625" style="97" customWidth="1"/>
    <col min="2636" max="2816" width="8.7109375" style="97"/>
    <col min="2817" max="2817" width="2.85546875" style="97" customWidth="1"/>
    <col min="2818" max="2818" width="1.28515625" style="97" customWidth="1"/>
    <col min="2819" max="2819" width="32.5703125" style="97" customWidth="1"/>
    <col min="2820" max="2823" width="6.140625" style="97" customWidth="1"/>
    <col min="2824" max="2824" width="8.140625" style="97" customWidth="1"/>
    <col min="2825" max="2827" width="6.140625" style="97" customWidth="1"/>
    <col min="2828" max="2828" width="4.42578125" style="97" customWidth="1"/>
    <col min="2829" max="2829" width="1.5703125" style="97" customWidth="1"/>
    <col min="2830" max="2830" width="9.5703125" style="97" customWidth="1"/>
    <col min="2831" max="2834" width="6.140625" style="97" customWidth="1"/>
    <col min="2835" max="2835" width="9.5703125" style="97" customWidth="1"/>
    <col min="2836" max="2839" width="6.140625" style="97" customWidth="1"/>
    <col min="2840" max="2840" width="9.5703125" style="97" customWidth="1"/>
    <col min="2841" max="2844" width="6.140625" style="97" customWidth="1"/>
    <col min="2845" max="2845" width="9.5703125" style="97" customWidth="1"/>
    <col min="2846" max="2849" width="6.140625" style="97" customWidth="1"/>
    <col min="2850" max="2850" width="9.5703125" style="97" customWidth="1"/>
    <col min="2851" max="2851" width="7.7109375" style="97" customWidth="1"/>
    <col min="2852" max="2852" width="9.5703125" style="97" customWidth="1"/>
    <col min="2853" max="2853" width="8.28515625" style="97" customWidth="1"/>
    <col min="2854" max="2855" width="9.42578125" style="97" customWidth="1"/>
    <col min="2856" max="2856" width="9" style="97" customWidth="1"/>
    <col min="2857" max="2859" width="8.28515625" style="97" customWidth="1"/>
    <col min="2860" max="2860" width="7.85546875" style="97" customWidth="1"/>
    <col min="2861" max="2864" width="0" style="97" hidden="1" customWidth="1"/>
    <col min="2865" max="2865" width="7.85546875" style="97" customWidth="1"/>
    <col min="2866" max="2869" width="0" style="97" hidden="1" customWidth="1"/>
    <col min="2870" max="2870" width="7.85546875" style="97" customWidth="1"/>
    <col min="2871" max="2874" width="0" style="97" hidden="1" customWidth="1"/>
    <col min="2875" max="2875" width="8.28515625" style="97" customWidth="1"/>
    <col min="2876" max="2876" width="0" style="97" hidden="1" customWidth="1"/>
    <col min="2877" max="2886" width="8.28515625" style="97" customWidth="1"/>
    <col min="2887" max="2887" width="0" style="97" hidden="1" customWidth="1"/>
    <col min="2888" max="2888" width="2.5703125" style="97" customWidth="1"/>
    <col min="2889" max="2889" width="31.28515625" style="97" customWidth="1"/>
    <col min="2890" max="2890" width="4.28515625" style="97" customWidth="1"/>
    <col min="2891" max="2891" width="17.140625" style="97" customWidth="1"/>
    <col min="2892" max="3072" width="8.7109375" style="97"/>
    <col min="3073" max="3073" width="2.85546875" style="97" customWidth="1"/>
    <col min="3074" max="3074" width="1.28515625" style="97" customWidth="1"/>
    <col min="3075" max="3075" width="32.5703125" style="97" customWidth="1"/>
    <col min="3076" max="3079" width="6.140625" style="97" customWidth="1"/>
    <col min="3080" max="3080" width="8.140625" style="97" customWidth="1"/>
    <col min="3081" max="3083" width="6.140625" style="97" customWidth="1"/>
    <col min="3084" max="3084" width="4.42578125" style="97" customWidth="1"/>
    <col min="3085" max="3085" width="1.5703125" style="97" customWidth="1"/>
    <col min="3086" max="3086" width="9.5703125" style="97" customWidth="1"/>
    <col min="3087" max="3090" width="6.140625" style="97" customWidth="1"/>
    <col min="3091" max="3091" width="9.5703125" style="97" customWidth="1"/>
    <col min="3092" max="3095" width="6.140625" style="97" customWidth="1"/>
    <col min="3096" max="3096" width="9.5703125" style="97" customWidth="1"/>
    <col min="3097" max="3100" width="6.140625" style="97" customWidth="1"/>
    <col min="3101" max="3101" width="9.5703125" style="97" customWidth="1"/>
    <col min="3102" max="3105" width="6.140625" style="97" customWidth="1"/>
    <col min="3106" max="3106" width="9.5703125" style="97" customWidth="1"/>
    <col min="3107" max="3107" width="7.7109375" style="97" customWidth="1"/>
    <col min="3108" max="3108" width="9.5703125" style="97" customWidth="1"/>
    <col min="3109" max="3109" width="8.28515625" style="97" customWidth="1"/>
    <col min="3110" max="3111" width="9.42578125" style="97" customWidth="1"/>
    <col min="3112" max="3112" width="9" style="97" customWidth="1"/>
    <col min="3113" max="3115" width="8.28515625" style="97" customWidth="1"/>
    <col min="3116" max="3116" width="7.85546875" style="97" customWidth="1"/>
    <col min="3117" max="3120" width="0" style="97" hidden="1" customWidth="1"/>
    <col min="3121" max="3121" width="7.85546875" style="97" customWidth="1"/>
    <col min="3122" max="3125" width="0" style="97" hidden="1" customWidth="1"/>
    <col min="3126" max="3126" width="7.85546875" style="97" customWidth="1"/>
    <col min="3127" max="3130" width="0" style="97" hidden="1" customWidth="1"/>
    <col min="3131" max="3131" width="8.28515625" style="97" customWidth="1"/>
    <col min="3132" max="3132" width="0" style="97" hidden="1" customWidth="1"/>
    <col min="3133" max="3142" width="8.28515625" style="97" customWidth="1"/>
    <col min="3143" max="3143" width="0" style="97" hidden="1" customWidth="1"/>
    <col min="3144" max="3144" width="2.5703125" style="97" customWidth="1"/>
    <col min="3145" max="3145" width="31.28515625" style="97" customWidth="1"/>
    <col min="3146" max="3146" width="4.28515625" style="97" customWidth="1"/>
    <col min="3147" max="3147" width="17.140625" style="97" customWidth="1"/>
    <col min="3148" max="3328" width="8.7109375" style="97"/>
    <col min="3329" max="3329" width="2.85546875" style="97" customWidth="1"/>
    <col min="3330" max="3330" width="1.28515625" style="97" customWidth="1"/>
    <col min="3331" max="3331" width="32.5703125" style="97" customWidth="1"/>
    <col min="3332" max="3335" width="6.140625" style="97" customWidth="1"/>
    <col min="3336" max="3336" width="8.140625" style="97" customWidth="1"/>
    <col min="3337" max="3339" width="6.140625" style="97" customWidth="1"/>
    <col min="3340" max="3340" width="4.42578125" style="97" customWidth="1"/>
    <col min="3341" max="3341" width="1.5703125" style="97" customWidth="1"/>
    <col min="3342" max="3342" width="9.5703125" style="97" customWidth="1"/>
    <col min="3343" max="3346" width="6.140625" style="97" customWidth="1"/>
    <col min="3347" max="3347" width="9.5703125" style="97" customWidth="1"/>
    <col min="3348" max="3351" width="6.140625" style="97" customWidth="1"/>
    <col min="3352" max="3352" width="9.5703125" style="97" customWidth="1"/>
    <col min="3353" max="3356" width="6.140625" style="97" customWidth="1"/>
    <col min="3357" max="3357" width="9.5703125" style="97" customWidth="1"/>
    <col min="3358" max="3361" width="6.140625" style="97" customWidth="1"/>
    <col min="3362" max="3362" width="9.5703125" style="97" customWidth="1"/>
    <col min="3363" max="3363" width="7.7109375" style="97" customWidth="1"/>
    <col min="3364" max="3364" width="9.5703125" style="97" customWidth="1"/>
    <col min="3365" max="3365" width="8.28515625" style="97" customWidth="1"/>
    <col min="3366" max="3367" width="9.42578125" style="97" customWidth="1"/>
    <col min="3368" max="3368" width="9" style="97" customWidth="1"/>
    <col min="3369" max="3371" width="8.28515625" style="97" customWidth="1"/>
    <col min="3372" max="3372" width="7.85546875" style="97" customWidth="1"/>
    <col min="3373" max="3376" width="0" style="97" hidden="1" customWidth="1"/>
    <col min="3377" max="3377" width="7.85546875" style="97" customWidth="1"/>
    <col min="3378" max="3381" width="0" style="97" hidden="1" customWidth="1"/>
    <col min="3382" max="3382" width="7.85546875" style="97" customWidth="1"/>
    <col min="3383" max="3386" width="0" style="97" hidden="1" customWidth="1"/>
    <col min="3387" max="3387" width="8.28515625" style="97" customWidth="1"/>
    <col min="3388" max="3388" width="0" style="97" hidden="1" customWidth="1"/>
    <col min="3389" max="3398" width="8.28515625" style="97" customWidth="1"/>
    <col min="3399" max="3399" width="0" style="97" hidden="1" customWidth="1"/>
    <col min="3400" max="3400" width="2.5703125" style="97" customWidth="1"/>
    <col min="3401" max="3401" width="31.28515625" style="97" customWidth="1"/>
    <col min="3402" max="3402" width="4.28515625" style="97" customWidth="1"/>
    <col min="3403" max="3403" width="17.140625" style="97" customWidth="1"/>
    <col min="3404" max="3584" width="8.7109375" style="97"/>
    <col min="3585" max="3585" width="2.85546875" style="97" customWidth="1"/>
    <col min="3586" max="3586" width="1.28515625" style="97" customWidth="1"/>
    <col min="3587" max="3587" width="32.5703125" style="97" customWidth="1"/>
    <col min="3588" max="3591" width="6.140625" style="97" customWidth="1"/>
    <col min="3592" max="3592" width="8.140625" style="97" customWidth="1"/>
    <col min="3593" max="3595" width="6.140625" style="97" customWidth="1"/>
    <col min="3596" max="3596" width="4.42578125" style="97" customWidth="1"/>
    <col min="3597" max="3597" width="1.5703125" style="97" customWidth="1"/>
    <col min="3598" max="3598" width="9.5703125" style="97" customWidth="1"/>
    <col min="3599" max="3602" width="6.140625" style="97" customWidth="1"/>
    <col min="3603" max="3603" width="9.5703125" style="97" customWidth="1"/>
    <col min="3604" max="3607" width="6.140625" style="97" customWidth="1"/>
    <col min="3608" max="3608" width="9.5703125" style="97" customWidth="1"/>
    <col min="3609" max="3612" width="6.140625" style="97" customWidth="1"/>
    <col min="3613" max="3613" width="9.5703125" style="97" customWidth="1"/>
    <col min="3614" max="3617" width="6.140625" style="97" customWidth="1"/>
    <col min="3618" max="3618" width="9.5703125" style="97" customWidth="1"/>
    <col min="3619" max="3619" width="7.7109375" style="97" customWidth="1"/>
    <col min="3620" max="3620" width="9.5703125" style="97" customWidth="1"/>
    <col min="3621" max="3621" width="8.28515625" style="97" customWidth="1"/>
    <col min="3622" max="3623" width="9.42578125" style="97" customWidth="1"/>
    <col min="3624" max="3624" width="9" style="97" customWidth="1"/>
    <col min="3625" max="3627" width="8.28515625" style="97" customWidth="1"/>
    <col min="3628" max="3628" width="7.85546875" style="97" customWidth="1"/>
    <col min="3629" max="3632" width="0" style="97" hidden="1" customWidth="1"/>
    <col min="3633" max="3633" width="7.85546875" style="97" customWidth="1"/>
    <col min="3634" max="3637" width="0" style="97" hidden="1" customWidth="1"/>
    <col min="3638" max="3638" width="7.85546875" style="97" customWidth="1"/>
    <col min="3639" max="3642" width="0" style="97" hidden="1" customWidth="1"/>
    <col min="3643" max="3643" width="8.28515625" style="97" customWidth="1"/>
    <col min="3644" max="3644" width="0" style="97" hidden="1" customWidth="1"/>
    <col min="3645" max="3654" width="8.28515625" style="97" customWidth="1"/>
    <col min="3655" max="3655" width="0" style="97" hidden="1" customWidth="1"/>
    <col min="3656" max="3656" width="2.5703125" style="97" customWidth="1"/>
    <col min="3657" max="3657" width="31.28515625" style="97" customWidth="1"/>
    <col min="3658" max="3658" width="4.28515625" style="97" customWidth="1"/>
    <col min="3659" max="3659" width="17.140625" style="97" customWidth="1"/>
    <col min="3660" max="3840" width="8.7109375" style="97"/>
    <col min="3841" max="3841" width="2.85546875" style="97" customWidth="1"/>
    <col min="3842" max="3842" width="1.28515625" style="97" customWidth="1"/>
    <col min="3843" max="3843" width="32.5703125" style="97" customWidth="1"/>
    <col min="3844" max="3847" width="6.140625" style="97" customWidth="1"/>
    <col min="3848" max="3848" width="8.140625" style="97" customWidth="1"/>
    <col min="3849" max="3851" width="6.140625" style="97" customWidth="1"/>
    <col min="3852" max="3852" width="4.42578125" style="97" customWidth="1"/>
    <col min="3853" max="3853" width="1.5703125" style="97" customWidth="1"/>
    <col min="3854" max="3854" width="9.5703125" style="97" customWidth="1"/>
    <col min="3855" max="3858" width="6.140625" style="97" customWidth="1"/>
    <col min="3859" max="3859" width="9.5703125" style="97" customWidth="1"/>
    <col min="3860" max="3863" width="6.140625" style="97" customWidth="1"/>
    <col min="3864" max="3864" width="9.5703125" style="97" customWidth="1"/>
    <col min="3865" max="3868" width="6.140625" style="97" customWidth="1"/>
    <col min="3869" max="3869" width="9.5703125" style="97" customWidth="1"/>
    <col min="3870" max="3873" width="6.140625" style="97" customWidth="1"/>
    <col min="3874" max="3874" width="9.5703125" style="97" customWidth="1"/>
    <col min="3875" max="3875" width="7.7109375" style="97" customWidth="1"/>
    <col min="3876" max="3876" width="9.5703125" style="97" customWidth="1"/>
    <col min="3877" max="3877" width="8.28515625" style="97" customWidth="1"/>
    <col min="3878" max="3879" width="9.42578125" style="97" customWidth="1"/>
    <col min="3880" max="3880" width="9" style="97" customWidth="1"/>
    <col min="3881" max="3883" width="8.28515625" style="97" customWidth="1"/>
    <col min="3884" max="3884" width="7.85546875" style="97" customWidth="1"/>
    <col min="3885" max="3888" width="0" style="97" hidden="1" customWidth="1"/>
    <col min="3889" max="3889" width="7.85546875" style="97" customWidth="1"/>
    <col min="3890" max="3893" width="0" style="97" hidden="1" customWidth="1"/>
    <col min="3894" max="3894" width="7.85546875" style="97" customWidth="1"/>
    <col min="3895" max="3898" width="0" style="97" hidden="1" customWidth="1"/>
    <col min="3899" max="3899" width="8.28515625" style="97" customWidth="1"/>
    <col min="3900" max="3900" width="0" style="97" hidden="1" customWidth="1"/>
    <col min="3901" max="3910" width="8.28515625" style="97" customWidth="1"/>
    <col min="3911" max="3911" width="0" style="97" hidden="1" customWidth="1"/>
    <col min="3912" max="3912" width="2.5703125" style="97" customWidth="1"/>
    <col min="3913" max="3913" width="31.28515625" style="97" customWidth="1"/>
    <col min="3914" max="3914" width="4.28515625" style="97" customWidth="1"/>
    <col min="3915" max="3915" width="17.140625" style="97" customWidth="1"/>
    <col min="3916" max="4096" width="8.7109375" style="97"/>
    <col min="4097" max="4097" width="2.85546875" style="97" customWidth="1"/>
    <col min="4098" max="4098" width="1.28515625" style="97" customWidth="1"/>
    <col min="4099" max="4099" width="32.5703125" style="97" customWidth="1"/>
    <col min="4100" max="4103" width="6.140625" style="97" customWidth="1"/>
    <col min="4104" max="4104" width="8.140625" style="97" customWidth="1"/>
    <col min="4105" max="4107" width="6.140625" style="97" customWidth="1"/>
    <col min="4108" max="4108" width="4.42578125" style="97" customWidth="1"/>
    <col min="4109" max="4109" width="1.5703125" style="97" customWidth="1"/>
    <col min="4110" max="4110" width="9.5703125" style="97" customWidth="1"/>
    <col min="4111" max="4114" width="6.140625" style="97" customWidth="1"/>
    <col min="4115" max="4115" width="9.5703125" style="97" customWidth="1"/>
    <col min="4116" max="4119" width="6.140625" style="97" customWidth="1"/>
    <col min="4120" max="4120" width="9.5703125" style="97" customWidth="1"/>
    <col min="4121" max="4124" width="6.140625" style="97" customWidth="1"/>
    <col min="4125" max="4125" width="9.5703125" style="97" customWidth="1"/>
    <col min="4126" max="4129" width="6.140625" style="97" customWidth="1"/>
    <col min="4130" max="4130" width="9.5703125" style="97" customWidth="1"/>
    <col min="4131" max="4131" width="7.7109375" style="97" customWidth="1"/>
    <col min="4132" max="4132" width="9.5703125" style="97" customWidth="1"/>
    <col min="4133" max="4133" width="8.28515625" style="97" customWidth="1"/>
    <col min="4134" max="4135" width="9.42578125" style="97" customWidth="1"/>
    <col min="4136" max="4136" width="9" style="97" customWidth="1"/>
    <col min="4137" max="4139" width="8.28515625" style="97" customWidth="1"/>
    <col min="4140" max="4140" width="7.85546875" style="97" customWidth="1"/>
    <col min="4141" max="4144" width="0" style="97" hidden="1" customWidth="1"/>
    <col min="4145" max="4145" width="7.85546875" style="97" customWidth="1"/>
    <col min="4146" max="4149" width="0" style="97" hidden="1" customWidth="1"/>
    <col min="4150" max="4150" width="7.85546875" style="97" customWidth="1"/>
    <col min="4151" max="4154" width="0" style="97" hidden="1" customWidth="1"/>
    <col min="4155" max="4155" width="8.28515625" style="97" customWidth="1"/>
    <col min="4156" max="4156" width="0" style="97" hidden="1" customWidth="1"/>
    <col min="4157" max="4166" width="8.28515625" style="97" customWidth="1"/>
    <col min="4167" max="4167" width="0" style="97" hidden="1" customWidth="1"/>
    <col min="4168" max="4168" width="2.5703125" style="97" customWidth="1"/>
    <col min="4169" max="4169" width="31.28515625" style="97" customWidth="1"/>
    <col min="4170" max="4170" width="4.28515625" style="97" customWidth="1"/>
    <col min="4171" max="4171" width="17.140625" style="97" customWidth="1"/>
    <col min="4172" max="4352" width="8.7109375" style="97"/>
    <col min="4353" max="4353" width="2.85546875" style="97" customWidth="1"/>
    <col min="4354" max="4354" width="1.28515625" style="97" customWidth="1"/>
    <col min="4355" max="4355" width="32.5703125" style="97" customWidth="1"/>
    <col min="4356" max="4359" width="6.140625" style="97" customWidth="1"/>
    <col min="4360" max="4360" width="8.140625" style="97" customWidth="1"/>
    <col min="4361" max="4363" width="6.140625" style="97" customWidth="1"/>
    <col min="4364" max="4364" width="4.42578125" style="97" customWidth="1"/>
    <col min="4365" max="4365" width="1.5703125" style="97" customWidth="1"/>
    <col min="4366" max="4366" width="9.5703125" style="97" customWidth="1"/>
    <col min="4367" max="4370" width="6.140625" style="97" customWidth="1"/>
    <col min="4371" max="4371" width="9.5703125" style="97" customWidth="1"/>
    <col min="4372" max="4375" width="6.140625" style="97" customWidth="1"/>
    <col min="4376" max="4376" width="9.5703125" style="97" customWidth="1"/>
    <col min="4377" max="4380" width="6.140625" style="97" customWidth="1"/>
    <col min="4381" max="4381" width="9.5703125" style="97" customWidth="1"/>
    <col min="4382" max="4385" width="6.140625" style="97" customWidth="1"/>
    <col min="4386" max="4386" width="9.5703125" style="97" customWidth="1"/>
    <col min="4387" max="4387" width="7.7109375" style="97" customWidth="1"/>
    <col min="4388" max="4388" width="9.5703125" style="97" customWidth="1"/>
    <col min="4389" max="4389" width="8.28515625" style="97" customWidth="1"/>
    <col min="4390" max="4391" width="9.42578125" style="97" customWidth="1"/>
    <col min="4392" max="4392" width="9" style="97" customWidth="1"/>
    <col min="4393" max="4395" width="8.28515625" style="97" customWidth="1"/>
    <col min="4396" max="4396" width="7.85546875" style="97" customWidth="1"/>
    <col min="4397" max="4400" width="0" style="97" hidden="1" customWidth="1"/>
    <col min="4401" max="4401" width="7.85546875" style="97" customWidth="1"/>
    <col min="4402" max="4405" width="0" style="97" hidden="1" customWidth="1"/>
    <col min="4406" max="4406" width="7.85546875" style="97" customWidth="1"/>
    <col min="4407" max="4410" width="0" style="97" hidden="1" customWidth="1"/>
    <col min="4411" max="4411" width="8.28515625" style="97" customWidth="1"/>
    <col min="4412" max="4412" width="0" style="97" hidden="1" customWidth="1"/>
    <col min="4413" max="4422" width="8.28515625" style="97" customWidth="1"/>
    <col min="4423" max="4423" width="0" style="97" hidden="1" customWidth="1"/>
    <col min="4424" max="4424" width="2.5703125" style="97" customWidth="1"/>
    <col min="4425" max="4425" width="31.28515625" style="97" customWidth="1"/>
    <col min="4426" max="4426" width="4.28515625" style="97" customWidth="1"/>
    <col min="4427" max="4427" width="17.140625" style="97" customWidth="1"/>
    <col min="4428" max="4608" width="8.7109375" style="97"/>
    <col min="4609" max="4609" width="2.85546875" style="97" customWidth="1"/>
    <col min="4610" max="4610" width="1.28515625" style="97" customWidth="1"/>
    <col min="4611" max="4611" width="32.5703125" style="97" customWidth="1"/>
    <col min="4612" max="4615" width="6.140625" style="97" customWidth="1"/>
    <col min="4616" max="4616" width="8.140625" style="97" customWidth="1"/>
    <col min="4617" max="4619" width="6.140625" style="97" customWidth="1"/>
    <col min="4620" max="4620" width="4.42578125" style="97" customWidth="1"/>
    <col min="4621" max="4621" width="1.5703125" style="97" customWidth="1"/>
    <col min="4622" max="4622" width="9.5703125" style="97" customWidth="1"/>
    <col min="4623" max="4626" width="6.140625" style="97" customWidth="1"/>
    <col min="4627" max="4627" width="9.5703125" style="97" customWidth="1"/>
    <col min="4628" max="4631" width="6.140625" style="97" customWidth="1"/>
    <col min="4632" max="4632" width="9.5703125" style="97" customWidth="1"/>
    <col min="4633" max="4636" width="6.140625" style="97" customWidth="1"/>
    <col min="4637" max="4637" width="9.5703125" style="97" customWidth="1"/>
    <col min="4638" max="4641" width="6.140625" style="97" customWidth="1"/>
    <col min="4642" max="4642" width="9.5703125" style="97" customWidth="1"/>
    <col min="4643" max="4643" width="7.7109375" style="97" customWidth="1"/>
    <col min="4644" max="4644" width="9.5703125" style="97" customWidth="1"/>
    <col min="4645" max="4645" width="8.28515625" style="97" customWidth="1"/>
    <col min="4646" max="4647" width="9.42578125" style="97" customWidth="1"/>
    <col min="4648" max="4648" width="9" style="97" customWidth="1"/>
    <col min="4649" max="4651" width="8.28515625" style="97" customWidth="1"/>
    <col min="4652" max="4652" width="7.85546875" style="97" customWidth="1"/>
    <col min="4653" max="4656" width="0" style="97" hidden="1" customWidth="1"/>
    <col min="4657" max="4657" width="7.85546875" style="97" customWidth="1"/>
    <col min="4658" max="4661" width="0" style="97" hidden="1" customWidth="1"/>
    <col min="4662" max="4662" width="7.85546875" style="97" customWidth="1"/>
    <col min="4663" max="4666" width="0" style="97" hidden="1" customWidth="1"/>
    <col min="4667" max="4667" width="8.28515625" style="97" customWidth="1"/>
    <col min="4668" max="4668" width="0" style="97" hidden="1" customWidth="1"/>
    <col min="4669" max="4678" width="8.28515625" style="97" customWidth="1"/>
    <col min="4679" max="4679" width="0" style="97" hidden="1" customWidth="1"/>
    <col min="4680" max="4680" width="2.5703125" style="97" customWidth="1"/>
    <col min="4681" max="4681" width="31.28515625" style="97" customWidth="1"/>
    <col min="4682" max="4682" width="4.28515625" style="97" customWidth="1"/>
    <col min="4683" max="4683" width="17.140625" style="97" customWidth="1"/>
    <col min="4684" max="4864" width="8.7109375" style="97"/>
    <col min="4865" max="4865" width="2.85546875" style="97" customWidth="1"/>
    <col min="4866" max="4866" width="1.28515625" style="97" customWidth="1"/>
    <col min="4867" max="4867" width="32.5703125" style="97" customWidth="1"/>
    <col min="4868" max="4871" width="6.140625" style="97" customWidth="1"/>
    <col min="4872" max="4872" width="8.140625" style="97" customWidth="1"/>
    <col min="4873" max="4875" width="6.140625" style="97" customWidth="1"/>
    <col min="4876" max="4876" width="4.42578125" style="97" customWidth="1"/>
    <col min="4877" max="4877" width="1.5703125" style="97" customWidth="1"/>
    <col min="4878" max="4878" width="9.5703125" style="97" customWidth="1"/>
    <col min="4879" max="4882" width="6.140625" style="97" customWidth="1"/>
    <col min="4883" max="4883" width="9.5703125" style="97" customWidth="1"/>
    <col min="4884" max="4887" width="6.140625" style="97" customWidth="1"/>
    <col min="4888" max="4888" width="9.5703125" style="97" customWidth="1"/>
    <col min="4889" max="4892" width="6.140625" style="97" customWidth="1"/>
    <col min="4893" max="4893" width="9.5703125" style="97" customWidth="1"/>
    <col min="4894" max="4897" width="6.140625" style="97" customWidth="1"/>
    <col min="4898" max="4898" width="9.5703125" style="97" customWidth="1"/>
    <col min="4899" max="4899" width="7.7109375" style="97" customWidth="1"/>
    <col min="4900" max="4900" width="9.5703125" style="97" customWidth="1"/>
    <col min="4901" max="4901" width="8.28515625" style="97" customWidth="1"/>
    <col min="4902" max="4903" width="9.42578125" style="97" customWidth="1"/>
    <col min="4904" max="4904" width="9" style="97" customWidth="1"/>
    <col min="4905" max="4907" width="8.28515625" style="97" customWidth="1"/>
    <col min="4908" max="4908" width="7.85546875" style="97" customWidth="1"/>
    <col min="4909" max="4912" width="0" style="97" hidden="1" customWidth="1"/>
    <col min="4913" max="4913" width="7.85546875" style="97" customWidth="1"/>
    <col min="4914" max="4917" width="0" style="97" hidden="1" customWidth="1"/>
    <col min="4918" max="4918" width="7.85546875" style="97" customWidth="1"/>
    <col min="4919" max="4922" width="0" style="97" hidden="1" customWidth="1"/>
    <col min="4923" max="4923" width="8.28515625" style="97" customWidth="1"/>
    <col min="4924" max="4924" width="0" style="97" hidden="1" customWidth="1"/>
    <col min="4925" max="4934" width="8.28515625" style="97" customWidth="1"/>
    <col min="4935" max="4935" width="0" style="97" hidden="1" customWidth="1"/>
    <col min="4936" max="4936" width="2.5703125" style="97" customWidth="1"/>
    <col min="4937" max="4937" width="31.28515625" style="97" customWidth="1"/>
    <col min="4938" max="4938" width="4.28515625" style="97" customWidth="1"/>
    <col min="4939" max="4939" width="17.140625" style="97" customWidth="1"/>
    <col min="4940" max="5120" width="8.7109375" style="97"/>
    <col min="5121" max="5121" width="2.85546875" style="97" customWidth="1"/>
    <col min="5122" max="5122" width="1.28515625" style="97" customWidth="1"/>
    <col min="5123" max="5123" width="32.5703125" style="97" customWidth="1"/>
    <col min="5124" max="5127" width="6.140625" style="97" customWidth="1"/>
    <col min="5128" max="5128" width="8.140625" style="97" customWidth="1"/>
    <col min="5129" max="5131" width="6.140625" style="97" customWidth="1"/>
    <col min="5132" max="5132" width="4.42578125" style="97" customWidth="1"/>
    <col min="5133" max="5133" width="1.5703125" style="97" customWidth="1"/>
    <col min="5134" max="5134" width="9.5703125" style="97" customWidth="1"/>
    <col min="5135" max="5138" width="6.140625" style="97" customWidth="1"/>
    <col min="5139" max="5139" width="9.5703125" style="97" customWidth="1"/>
    <col min="5140" max="5143" width="6.140625" style="97" customWidth="1"/>
    <col min="5144" max="5144" width="9.5703125" style="97" customWidth="1"/>
    <col min="5145" max="5148" width="6.140625" style="97" customWidth="1"/>
    <col min="5149" max="5149" width="9.5703125" style="97" customWidth="1"/>
    <col min="5150" max="5153" width="6.140625" style="97" customWidth="1"/>
    <col min="5154" max="5154" width="9.5703125" style="97" customWidth="1"/>
    <col min="5155" max="5155" width="7.7109375" style="97" customWidth="1"/>
    <col min="5156" max="5156" width="9.5703125" style="97" customWidth="1"/>
    <col min="5157" max="5157" width="8.28515625" style="97" customWidth="1"/>
    <col min="5158" max="5159" width="9.42578125" style="97" customWidth="1"/>
    <col min="5160" max="5160" width="9" style="97" customWidth="1"/>
    <col min="5161" max="5163" width="8.28515625" style="97" customWidth="1"/>
    <col min="5164" max="5164" width="7.85546875" style="97" customWidth="1"/>
    <col min="5165" max="5168" width="0" style="97" hidden="1" customWidth="1"/>
    <col min="5169" max="5169" width="7.85546875" style="97" customWidth="1"/>
    <col min="5170" max="5173" width="0" style="97" hidden="1" customWidth="1"/>
    <col min="5174" max="5174" width="7.85546875" style="97" customWidth="1"/>
    <col min="5175" max="5178" width="0" style="97" hidden="1" customWidth="1"/>
    <col min="5179" max="5179" width="8.28515625" style="97" customWidth="1"/>
    <col min="5180" max="5180" width="0" style="97" hidden="1" customWidth="1"/>
    <col min="5181" max="5190" width="8.28515625" style="97" customWidth="1"/>
    <col min="5191" max="5191" width="0" style="97" hidden="1" customWidth="1"/>
    <col min="5192" max="5192" width="2.5703125" style="97" customWidth="1"/>
    <col min="5193" max="5193" width="31.28515625" style="97" customWidth="1"/>
    <col min="5194" max="5194" width="4.28515625" style="97" customWidth="1"/>
    <col min="5195" max="5195" width="17.140625" style="97" customWidth="1"/>
    <col min="5196" max="5376" width="8.7109375" style="97"/>
    <col min="5377" max="5377" width="2.85546875" style="97" customWidth="1"/>
    <col min="5378" max="5378" width="1.28515625" style="97" customWidth="1"/>
    <col min="5379" max="5379" width="32.5703125" style="97" customWidth="1"/>
    <col min="5380" max="5383" width="6.140625" style="97" customWidth="1"/>
    <col min="5384" max="5384" width="8.140625" style="97" customWidth="1"/>
    <col min="5385" max="5387" width="6.140625" style="97" customWidth="1"/>
    <col min="5388" max="5388" width="4.42578125" style="97" customWidth="1"/>
    <col min="5389" max="5389" width="1.5703125" style="97" customWidth="1"/>
    <col min="5390" max="5390" width="9.5703125" style="97" customWidth="1"/>
    <col min="5391" max="5394" width="6.140625" style="97" customWidth="1"/>
    <col min="5395" max="5395" width="9.5703125" style="97" customWidth="1"/>
    <col min="5396" max="5399" width="6.140625" style="97" customWidth="1"/>
    <col min="5400" max="5400" width="9.5703125" style="97" customWidth="1"/>
    <col min="5401" max="5404" width="6.140625" style="97" customWidth="1"/>
    <col min="5405" max="5405" width="9.5703125" style="97" customWidth="1"/>
    <col min="5406" max="5409" width="6.140625" style="97" customWidth="1"/>
    <col min="5410" max="5410" width="9.5703125" style="97" customWidth="1"/>
    <col min="5411" max="5411" width="7.7109375" style="97" customWidth="1"/>
    <col min="5412" max="5412" width="9.5703125" style="97" customWidth="1"/>
    <col min="5413" max="5413" width="8.28515625" style="97" customWidth="1"/>
    <col min="5414" max="5415" width="9.42578125" style="97" customWidth="1"/>
    <col min="5416" max="5416" width="9" style="97" customWidth="1"/>
    <col min="5417" max="5419" width="8.28515625" style="97" customWidth="1"/>
    <col min="5420" max="5420" width="7.85546875" style="97" customWidth="1"/>
    <col min="5421" max="5424" width="0" style="97" hidden="1" customWidth="1"/>
    <col min="5425" max="5425" width="7.85546875" style="97" customWidth="1"/>
    <col min="5426" max="5429" width="0" style="97" hidden="1" customWidth="1"/>
    <col min="5430" max="5430" width="7.85546875" style="97" customWidth="1"/>
    <col min="5431" max="5434" width="0" style="97" hidden="1" customWidth="1"/>
    <col min="5435" max="5435" width="8.28515625" style="97" customWidth="1"/>
    <col min="5436" max="5436" width="0" style="97" hidden="1" customWidth="1"/>
    <col min="5437" max="5446" width="8.28515625" style="97" customWidth="1"/>
    <col min="5447" max="5447" width="0" style="97" hidden="1" customWidth="1"/>
    <col min="5448" max="5448" width="2.5703125" style="97" customWidth="1"/>
    <col min="5449" max="5449" width="31.28515625" style="97" customWidth="1"/>
    <col min="5450" max="5450" width="4.28515625" style="97" customWidth="1"/>
    <col min="5451" max="5451" width="17.140625" style="97" customWidth="1"/>
    <col min="5452" max="5632" width="8.7109375" style="97"/>
    <col min="5633" max="5633" width="2.85546875" style="97" customWidth="1"/>
    <col min="5634" max="5634" width="1.28515625" style="97" customWidth="1"/>
    <col min="5635" max="5635" width="32.5703125" style="97" customWidth="1"/>
    <col min="5636" max="5639" width="6.140625" style="97" customWidth="1"/>
    <col min="5640" max="5640" width="8.140625" style="97" customWidth="1"/>
    <col min="5641" max="5643" width="6.140625" style="97" customWidth="1"/>
    <col min="5644" max="5644" width="4.42578125" style="97" customWidth="1"/>
    <col min="5645" max="5645" width="1.5703125" style="97" customWidth="1"/>
    <col min="5646" max="5646" width="9.5703125" style="97" customWidth="1"/>
    <col min="5647" max="5650" width="6.140625" style="97" customWidth="1"/>
    <col min="5651" max="5651" width="9.5703125" style="97" customWidth="1"/>
    <col min="5652" max="5655" width="6.140625" style="97" customWidth="1"/>
    <col min="5656" max="5656" width="9.5703125" style="97" customWidth="1"/>
    <col min="5657" max="5660" width="6.140625" style="97" customWidth="1"/>
    <col min="5661" max="5661" width="9.5703125" style="97" customWidth="1"/>
    <col min="5662" max="5665" width="6.140625" style="97" customWidth="1"/>
    <col min="5666" max="5666" width="9.5703125" style="97" customWidth="1"/>
    <col min="5667" max="5667" width="7.7109375" style="97" customWidth="1"/>
    <col min="5668" max="5668" width="9.5703125" style="97" customWidth="1"/>
    <col min="5669" max="5669" width="8.28515625" style="97" customWidth="1"/>
    <col min="5670" max="5671" width="9.42578125" style="97" customWidth="1"/>
    <col min="5672" max="5672" width="9" style="97" customWidth="1"/>
    <col min="5673" max="5675" width="8.28515625" style="97" customWidth="1"/>
    <col min="5676" max="5676" width="7.85546875" style="97" customWidth="1"/>
    <col min="5677" max="5680" width="0" style="97" hidden="1" customWidth="1"/>
    <col min="5681" max="5681" width="7.85546875" style="97" customWidth="1"/>
    <col min="5682" max="5685" width="0" style="97" hidden="1" customWidth="1"/>
    <col min="5686" max="5686" width="7.85546875" style="97" customWidth="1"/>
    <col min="5687" max="5690" width="0" style="97" hidden="1" customWidth="1"/>
    <col min="5691" max="5691" width="8.28515625" style="97" customWidth="1"/>
    <col min="5692" max="5692" width="0" style="97" hidden="1" customWidth="1"/>
    <col min="5693" max="5702" width="8.28515625" style="97" customWidth="1"/>
    <col min="5703" max="5703" width="0" style="97" hidden="1" customWidth="1"/>
    <col min="5704" max="5704" width="2.5703125" style="97" customWidth="1"/>
    <col min="5705" max="5705" width="31.28515625" style="97" customWidth="1"/>
    <col min="5706" max="5706" width="4.28515625" style="97" customWidth="1"/>
    <col min="5707" max="5707" width="17.140625" style="97" customWidth="1"/>
    <col min="5708" max="5888" width="8.7109375" style="97"/>
    <col min="5889" max="5889" width="2.85546875" style="97" customWidth="1"/>
    <col min="5890" max="5890" width="1.28515625" style="97" customWidth="1"/>
    <col min="5891" max="5891" width="32.5703125" style="97" customWidth="1"/>
    <col min="5892" max="5895" width="6.140625" style="97" customWidth="1"/>
    <col min="5896" max="5896" width="8.140625" style="97" customWidth="1"/>
    <col min="5897" max="5899" width="6.140625" style="97" customWidth="1"/>
    <col min="5900" max="5900" width="4.42578125" style="97" customWidth="1"/>
    <col min="5901" max="5901" width="1.5703125" style="97" customWidth="1"/>
    <col min="5902" max="5902" width="9.5703125" style="97" customWidth="1"/>
    <col min="5903" max="5906" width="6.140625" style="97" customWidth="1"/>
    <col min="5907" max="5907" width="9.5703125" style="97" customWidth="1"/>
    <col min="5908" max="5911" width="6.140625" style="97" customWidth="1"/>
    <col min="5912" max="5912" width="9.5703125" style="97" customWidth="1"/>
    <col min="5913" max="5916" width="6.140625" style="97" customWidth="1"/>
    <col min="5917" max="5917" width="9.5703125" style="97" customWidth="1"/>
    <col min="5918" max="5921" width="6.140625" style="97" customWidth="1"/>
    <col min="5922" max="5922" width="9.5703125" style="97" customWidth="1"/>
    <col min="5923" max="5923" width="7.7109375" style="97" customWidth="1"/>
    <col min="5924" max="5924" width="9.5703125" style="97" customWidth="1"/>
    <col min="5925" max="5925" width="8.28515625" style="97" customWidth="1"/>
    <col min="5926" max="5927" width="9.42578125" style="97" customWidth="1"/>
    <col min="5928" max="5928" width="9" style="97" customWidth="1"/>
    <col min="5929" max="5931" width="8.28515625" style="97" customWidth="1"/>
    <col min="5932" max="5932" width="7.85546875" style="97" customWidth="1"/>
    <col min="5933" max="5936" width="0" style="97" hidden="1" customWidth="1"/>
    <col min="5937" max="5937" width="7.85546875" style="97" customWidth="1"/>
    <col min="5938" max="5941" width="0" style="97" hidden="1" customWidth="1"/>
    <col min="5942" max="5942" width="7.85546875" style="97" customWidth="1"/>
    <col min="5943" max="5946" width="0" style="97" hidden="1" customWidth="1"/>
    <col min="5947" max="5947" width="8.28515625" style="97" customWidth="1"/>
    <col min="5948" max="5948" width="0" style="97" hidden="1" customWidth="1"/>
    <col min="5949" max="5958" width="8.28515625" style="97" customWidth="1"/>
    <col min="5959" max="5959" width="0" style="97" hidden="1" customWidth="1"/>
    <col min="5960" max="5960" width="2.5703125" style="97" customWidth="1"/>
    <col min="5961" max="5961" width="31.28515625" style="97" customWidth="1"/>
    <col min="5962" max="5962" width="4.28515625" style="97" customWidth="1"/>
    <col min="5963" max="5963" width="17.140625" style="97" customWidth="1"/>
    <col min="5964" max="6144" width="8.7109375" style="97"/>
    <col min="6145" max="6145" width="2.85546875" style="97" customWidth="1"/>
    <col min="6146" max="6146" width="1.28515625" style="97" customWidth="1"/>
    <col min="6147" max="6147" width="32.5703125" style="97" customWidth="1"/>
    <col min="6148" max="6151" width="6.140625" style="97" customWidth="1"/>
    <col min="6152" max="6152" width="8.140625" style="97" customWidth="1"/>
    <col min="6153" max="6155" width="6.140625" style="97" customWidth="1"/>
    <col min="6156" max="6156" width="4.42578125" style="97" customWidth="1"/>
    <col min="6157" max="6157" width="1.5703125" style="97" customWidth="1"/>
    <col min="6158" max="6158" width="9.5703125" style="97" customWidth="1"/>
    <col min="6159" max="6162" width="6.140625" style="97" customWidth="1"/>
    <col min="6163" max="6163" width="9.5703125" style="97" customWidth="1"/>
    <col min="6164" max="6167" width="6.140625" style="97" customWidth="1"/>
    <col min="6168" max="6168" width="9.5703125" style="97" customWidth="1"/>
    <col min="6169" max="6172" width="6.140625" style="97" customWidth="1"/>
    <col min="6173" max="6173" width="9.5703125" style="97" customWidth="1"/>
    <col min="6174" max="6177" width="6.140625" style="97" customWidth="1"/>
    <col min="6178" max="6178" width="9.5703125" style="97" customWidth="1"/>
    <col min="6179" max="6179" width="7.7109375" style="97" customWidth="1"/>
    <col min="6180" max="6180" width="9.5703125" style="97" customWidth="1"/>
    <col min="6181" max="6181" width="8.28515625" style="97" customWidth="1"/>
    <col min="6182" max="6183" width="9.42578125" style="97" customWidth="1"/>
    <col min="6184" max="6184" width="9" style="97" customWidth="1"/>
    <col min="6185" max="6187" width="8.28515625" style="97" customWidth="1"/>
    <col min="6188" max="6188" width="7.85546875" style="97" customWidth="1"/>
    <col min="6189" max="6192" width="0" style="97" hidden="1" customWidth="1"/>
    <col min="6193" max="6193" width="7.85546875" style="97" customWidth="1"/>
    <col min="6194" max="6197" width="0" style="97" hidden="1" customWidth="1"/>
    <col min="6198" max="6198" width="7.85546875" style="97" customWidth="1"/>
    <col min="6199" max="6202" width="0" style="97" hidden="1" customWidth="1"/>
    <col min="6203" max="6203" width="8.28515625" style="97" customWidth="1"/>
    <col min="6204" max="6204" width="0" style="97" hidden="1" customWidth="1"/>
    <col min="6205" max="6214" width="8.28515625" style="97" customWidth="1"/>
    <col min="6215" max="6215" width="0" style="97" hidden="1" customWidth="1"/>
    <col min="6216" max="6216" width="2.5703125" style="97" customWidth="1"/>
    <col min="6217" max="6217" width="31.28515625" style="97" customWidth="1"/>
    <col min="6218" max="6218" width="4.28515625" style="97" customWidth="1"/>
    <col min="6219" max="6219" width="17.140625" style="97" customWidth="1"/>
    <col min="6220" max="6400" width="8.7109375" style="97"/>
    <col min="6401" max="6401" width="2.85546875" style="97" customWidth="1"/>
    <col min="6402" max="6402" width="1.28515625" style="97" customWidth="1"/>
    <col min="6403" max="6403" width="32.5703125" style="97" customWidth="1"/>
    <col min="6404" max="6407" width="6.140625" style="97" customWidth="1"/>
    <col min="6408" max="6408" width="8.140625" style="97" customWidth="1"/>
    <col min="6409" max="6411" width="6.140625" style="97" customWidth="1"/>
    <col min="6412" max="6412" width="4.42578125" style="97" customWidth="1"/>
    <col min="6413" max="6413" width="1.5703125" style="97" customWidth="1"/>
    <col min="6414" max="6414" width="9.5703125" style="97" customWidth="1"/>
    <col min="6415" max="6418" width="6.140625" style="97" customWidth="1"/>
    <col min="6419" max="6419" width="9.5703125" style="97" customWidth="1"/>
    <col min="6420" max="6423" width="6.140625" style="97" customWidth="1"/>
    <col min="6424" max="6424" width="9.5703125" style="97" customWidth="1"/>
    <col min="6425" max="6428" width="6.140625" style="97" customWidth="1"/>
    <col min="6429" max="6429" width="9.5703125" style="97" customWidth="1"/>
    <col min="6430" max="6433" width="6.140625" style="97" customWidth="1"/>
    <col min="6434" max="6434" width="9.5703125" style="97" customWidth="1"/>
    <col min="6435" max="6435" width="7.7109375" style="97" customWidth="1"/>
    <col min="6436" max="6436" width="9.5703125" style="97" customWidth="1"/>
    <col min="6437" max="6437" width="8.28515625" style="97" customWidth="1"/>
    <col min="6438" max="6439" width="9.42578125" style="97" customWidth="1"/>
    <col min="6440" max="6440" width="9" style="97" customWidth="1"/>
    <col min="6441" max="6443" width="8.28515625" style="97" customWidth="1"/>
    <col min="6444" max="6444" width="7.85546875" style="97" customWidth="1"/>
    <col min="6445" max="6448" width="0" style="97" hidden="1" customWidth="1"/>
    <col min="6449" max="6449" width="7.85546875" style="97" customWidth="1"/>
    <col min="6450" max="6453" width="0" style="97" hidden="1" customWidth="1"/>
    <col min="6454" max="6454" width="7.85546875" style="97" customWidth="1"/>
    <col min="6455" max="6458" width="0" style="97" hidden="1" customWidth="1"/>
    <col min="6459" max="6459" width="8.28515625" style="97" customWidth="1"/>
    <col min="6460" max="6460" width="0" style="97" hidden="1" customWidth="1"/>
    <col min="6461" max="6470" width="8.28515625" style="97" customWidth="1"/>
    <col min="6471" max="6471" width="0" style="97" hidden="1" customWidth="1"/>
    <col min="6472" max="6472" width="2.5703125" style="97" customWidth="1"/>
    <col min="6473" max="6473" width="31.28515625" style="97" customWidth="1"/>
    <col min="6474" max="6474" width="4.28515625" style="97" customWidth="1"/>
    <col min="6475" max="6475" width="17.140625" style="97" customWidth="1"/>
    <col min="6476" max="6656" width="8.7109375" style="97"/>
    <col min="6657" max="6657" width="2.85546875" style="97" customWidth="1"/>
    <col min="6658" max="6658" width="1.28515625" style="97" customWidth="1"/>
    <col min="6659" max="6659" width="32.5703125" style="97" customWidth="1"/>
    <col min="6660" max="6663" width="6.140625" style="97" customWidth="1"/>
    <col min="6664" max="6664" width="8.140625" style="97" customWidth="1"/>
    <col min="6665" max="6667" width="6.140625" style="97" customWidth="1"/>
    <col min="6668" max="6668" width="4.42578125" style="97" customWidth="1"/>
    <col min="6669" max="6669" width="1.5703125" style="97" customWidth="1"/>
    <col min="6670" max="6670" width="9.5703125" style="97" customWidth="1"/>
    <col min="6671" max="6674" width="6.140625" style="97" customWidth="1"/>
    <col min="6675" max="6675" width="9.5703125" style="97" customWidth="1"/>
    <col min="6676" max="6679" width="6.140625" style="97" customWidth="1"/>
    <col min="6680" max="6680" width="9.5703125" style="97" customWidth="1"/>
    <col min="6681" max="6684" width="6.140625" style="97" customWidth="1"/>
    <col min="6685" max="6685" width="9.5703125" style="97" customWidth="1"/>
    <col min="6686" max="6689" width="6.140625" style="97" customWidth="1"/>
    <col min="6690" max="6690" width="9.5703125" style="97" customWidth="1"/>
    <col min="6691" max="6691" width="7.7109375" style="97" customWidth="1"/>
    <col min="6692" max="6692" width="9.5703125" style="97" customWidth="1"/>
    <col min="6693" max="6693" width="8.28515625" style="97" customWidth="1"/>
    <col min="6694" max="6695" width="9.42578125" style="97" customWidth="1"/>
    <col min="6696" max="6696" width="9" style="97" customWidth="1"/>
    <col min="6697" max="6699" width="8.28515625" style="97" customWidth="1"/>
    <col min="6700" max="6700" width="7.85546875" style="97" customWidth="1"/>
    <col min="6701" max="6704" width="0" style="97" hidden="1" customWidth="1"/>
    <col min="6705" max="6705" width="7.85546875" style="97" customWidth="1"/>
    <col min="6706" max="6709" width="0" style="97" hidden="1" customWidth="1"/>
    <col min="6710" max="6710" width="7.85546875" style="97" customWidth="1"/>
    <col min="6711" max="6714" width="0" style="97" hidden="1" customWidth="1"/>
    <col min="6715" max="6715" width="8.28515625" style="97" customWidth="1"/>
    <col min="6716" max="6716" width="0" style="97" hidden="1" customWidth="1"/>
    <col min="6717" max="6726" width="8.28515625" style="97" customWidth="1"/>
    <col min="6727" max="6727" width="0" style="97" hidden="1" customWidth="1"/>
    <col min="6728" max="6728" width="2.5703125" style="97" customWidth="1"/>
    <col min="6729" max="6729" width="31.28515625" style="97" customWidth="1"/>
    <col min="6730" max="6730" width="4.28515625" style="97" customWidth="1"/>
    <col min="6731" max="6731" width="17.140625" style="97" customWidth="1"/>
    <col min="6732" max="6912" width="8.7109375" style="97"/>
    <col min="6913" max="6913" width="2.85546875" style="97" customWidth="1"/>
    <col min="6914" max="6914" width="1.28515625" style="97" customWidth="1"/>
    <col min="6915" max="6915" width="32.5703125" style="97" customWidth="1"/>
    <col min="6916" max="6919" width="6.140625" style="97" customWidth="1"/>
    <col min="6920" max="6920" width="8.140625" style="97" customWidth="1"/>
    <col min="6921" max="6923" width="6.140625" style="97" customWidth="1"/>
    <col min="6924" max="6924" width="4.42578125" style="97" customWidth="1"/>
    <col min="6925" max="6925" width="1.5703125" style="97" customWidth="1"/>
    <col min="6926" max="6926" width="9.5703125" style="97" customWidth="1"/>
    <col min="6927" max="6930" width="6.140625" style="97" customWidth="1"/>
    <col min="6931" max="6931" width="9.5703125" style="97" customWidth="1"/>
    <col min="6932" max="6935" width="6.140625" style="97" customWidth="1"/>
    <col min="6936" max="6936" width="9.5703125" style="97" customWidth="1"/>
    <col min="6937" max="6940" width="6.140625" style="97" customWidth="1"/>
    <col min="6941" max="6941" width="9.5703125" style="97" customWidth="1"/>
    <col min="6942" max="6945" width="6.140625" style="97" customWidth="1"/>
    <col min="6946" max="6946" width="9.5703125" style="97" customWidth="1"/>
    <col min="6947" max="6947" width="7.7109375" style="97" customWidth="1"/>
    <col min="6948" max="6948" width="9.5703125" style="97" customWidth="1"/>
    <col min="6949" max="6949" width="8.28515625" style="97" customWidth="1"/>
    <col min="6950" max="6951" width="9.42578125" style="97" customWidth="1"/>
    <col min="6952" max="6952" width="9" style="97" customWidth="1"/>
    <col min="6953" max="6955" width="8.28515625" style="97" customWidth="1"/>
    <col min="6956" max="6956" width="7.85546875" style="97" customWidth="1"/>
    <col min="6957" max="6960" width="0" style="97" hidden="1" customWidth="1"/>
    <col min="6961" max="6961" width="7.85546875" style="97" customWidth="1"/>
    <col min="6962" max="6965" width="0" style="97" hidden="1" customWidth="1"/>
    <col min="6966" max="6966" width="7.85546875" style="97" customWidth="1"/>
    <col min="6967" max="6970" width="0" style="97" hidden="1" customWidth="1"/>
    <col min="6971" max="6971" width="8.28515625" style="97" customWidth="1"/>
    <col min="6972" max="6972" width="0" style="97" hidden="1" customWidth="1"/>
    <col min="6973" max="6982" width="8.28515625" style="97" customWidth="1"/>
    <col min="6983" max="6983" width="0" style="97" hidden="1" customWidth="1"/>
    <col min="6984" max="6984" width="2.5703125" style="97" customWidth="1"/>
    <col min="6985" max="6985" width="31.28515625" style="97" customWidth="1"/>
    <col min="6986" max="6986" width="4.28515625" style="97" customWidth="1"/>
    <col min="6987" max="6987" width="17.140625" style="97" customWidth="1"/>
    <col min="6988" max="7168" width="8.7109375" style="97"/>
    <col min="7169" max="7169" width="2.85546875" style="97" customWidth="1"/>
    <col min="7170" max="7170" width="1.28515625" style="97" customWidth="1"/>
    <col min="7171" max="7171" width="32.5703125" style="97" customWidth="1"/>
    <col min="7172" max="7175" width="6.140625" style="97" customWidth="1"/>
    <col min="7176" max="7176" width="8.140625" style="97" customWidth="1"/>
    <col min="7177" max="7179" width="6.140625" style="97" customWidth="1"/>
    <col min="7180" max="7180" width="4.42578125" style="97" customWidth="1"/>
    <col min="7181" max="7181" width="1.5703125" style="97" customWidth="1"/>
    <col min="7182" max="7182" width="9.5703125" style="97" customWidth="1"/>
    <col min="7183" max="7186" width="6.140625" style="97" customWidth="1"/>
    <col min="7187" max="7187" width="9.5703125" style="97" customWidth="1"/>
    <col min="7188" max="7191" width="6.140625" style="97" customWidth="1"/>
    <col min="7192" max="7192" width="9.5703125" style="97" customWidth="1"/>
    <col min="7193" max="7196" width="6.140625" style="97" customWidth="1"/>
    <col min="7197" max="7197" width="9.5703125" style="97" customWidth="1"/>
    <col min="7198" max="7201" width="6.140625" style="97" customWidth="1"/>
    <col min="7202" max="7202" width="9.5703125" style="97" customWidth="1"/>
    <col min="7203" max="7203" width="7.7109375" style="97" customWidth="1"/>
    <col min="7204" max="7204" width="9.5703125" style="97" customWidth="1"/>
    <col min="7205" max="7205" width="8.28515625" style="97" customWidth="1"/>
    <col min="7206" max="7207" width="9.42578125" style="97" customWidth="1"/>
    <col min="7208" max="7208" width="9" style="97" customWidth="1"/>
    <col min="7209" max="7211" width="8.28515625" style="97" customWidth="1"/>
    <col min="7212" max="7212" width="7.85546875" style="97" customWidth="1"/>
    <col min="7213" max="7216" width="0" style="97" hidden="1" customWidth="1"/>
    <col min="7217" max="7217" width="7.85546875" style="97" customWidth="1"/>
    <col min="7218" max="7221" width="0" style="97" hidden="1" customWidth="1"/>
    <col min="7222" max="7222" width="7.85546875" style="97" customWidth="1"/>
    <col min="7223" max="7226" width="0" style="97" hidden="1" customWidth="1"/>
    <col min="7227" max="7227" width="8.28515625" style="97" customWidth="1"/>
    <col min="7228" max="7228" width="0" style="97" hidden="1" customWidth="1"/>
    <col min="7229" max="7238" width="8.28515625" style="97" customWidth="1"/>
    <col min="7239" max="7239" width="0" style="97" hidden="1" customWidth="1"/>
    <col min="7240" max="7240" width="2.5703125" style="97" customWidth="1"/>
    <col min="7241" max="7241" width="31.28515625" style="97" customWidth="1"/>
    <col min="7242" max="7242" width="4.28515625" style="97" customWidth="1"/>
    <col min="7243" max="7243" width="17.140625" style="97" customWidth="1"/>
    <col min="7244" max="7424" width="8.7109375" style="97"/>
    <col min="7425" max="7425" width="2.85546875" style="97" customWidth="1"/>
    <col min="7426" max="7426" width="1.28515625" style="97" customWidth="1"/>
    <col min="7427" max="7427" width="32.5703125" style="97" customWidth="1"/>
    <col min="7428" max="7431" width="6.140625" style="97" customWidth="1"/>
    <col min="7432" max="7432" width="8.140625" style="97" customWidth="1"/>
    <col min="7433" max="7435" width="6.140625" style="97" customWidth="1"/>
    <col min="7436" max="7436" width="4.42578125" style="97" customWidth="1"/>
    <col min="7437" max="7437" width="1.5703125" style="97" customWidth="1"/>
    <col min="7438" max="7438" width="9.5703125" style="97" customWidth="1"/>
    <col min="7439" max="7442" width="6.140625" style="97" customWidth="1"/>
    <col min="7443" max="7443" width="9.5703125" style="97" customWidth="1"/>
    <col min="7444" max="7447" width="6.140625" style="97" customWidth="1"/>
    <col min="7448" max="7448" width="9.5703125" style="97" customWidth="1"/>
    <col min="7449" max="7452" width="6.140625" style="97" customWidth="1"/>
    <col min="7453" max="7453" width="9.5703125" style="97" customWidth="1"/>
    <col min="7454" max="7457" width="6.140625" style="97" customWidth="1"/>
    <col min="7458" max="7458" width="9.5703125" style="97" customWidth="1"/>
    <col min="7459" max="7459" width="7.7109375" style="97" customWidth="1"/>
    <col min="7460" max="7460" width="9.5703125" style="97" customWidth="1"/>
    <col min="7461" max="7461" width="8.28515625" style="97" customWidth="1"/>
    <col min="7462" max="7463" width="9.42578125" style="97" customWidth="1"/>
    <col min="7464" max="7464" width="9" style="97" customWidth="1"/>
    <col min="7465" max="7467" width="8.28515625" style="97" customWidth="1"/>
    <col min="7468" max="7468" width="7.85546875" style="97" customWidth="1"/>
    <col min="7469" max="7472" width="0" style="97" hidden="1" customWidth="1"/>
    <col min="7473" max="7473" width="7.85546875" style="97" customWidth="1"/>
    <col min="7474" max="7477" width="0" style="97" hidden="1" customWidth="1"/>
    <col min="7478" max="7478" width="7.85546875" style="97" customWidth="1"/>
    <col min="7479" max="7482" width="0" style="97" hidden="1" customWidth="1"/>
    <col min="7483" max="7483" width="8.28515625" style="97" customWidth="1"/>
    <col min="7484" max="7484" width="0" style="97" hidden="1" customWidth="1"/>
    <col min="7485" max="7494" width="8.28515625" style="97" customWidth="1"/>
    <col min="7495" max="7495" width="0" style="97" hidden="1" customWidth="1"/>
    <col min="7496" max="7496" width="2.5703125" style="97" customWidth="1"/>
    <col min="7497" max="7497" width="31.28515625" style="97" customWidth="1"/>
    <col min="7498" max="7498" width="4.28515625" style="97" customWidth="1"/>
    <col min="7499" max="7499" width="17.140625" style="97" customWidth="1"/>
    <col min="7500" max="7680" width="8.7109375" style="97"/>
    <col min="7681" max="7681" width="2.85546875" style="97" customWidth="1"/>
    <col min="7682" max="7682" width="1.28515625" style="97" customWidth="1"/>
    <col min="7683" max="7683" width="32.5703125" style="97" customWidth="1"/>
    <col min="7684" max="7687" width="6.140625" style="97" customWidth="1"/>
    <col min="7688" max="7688" width="8.140625" style="97" customWidth="1"/>
    <col min="7689" max="7691" width="6.140625" style="97" customWidth="1"/>
    <col min="7692" max="7692" width="4.42578125" style="97" customWidth="1"/>
    <col min="7693" max="7693" width="1.5703125" style="97" customWidth="1"/>
    <col min="7694" max="7694" width="9.5703125" style="97" customWidth="1"/>
    <col min="7695" max="7698" width="6.140625" style="97" customWidth="1"/>
    <col min="7699" max="7699" width="9.5703125" style="97" customWidth="1"/>
    <col min="7700" max="7703" width="6.140625" style="97" customWidth="1"/>
    <col min="7704" max="7704" width="9.5703125" style="97" customWidth="1"/>
    <col min="7705" max="7708" width="6.140625" style="97" customWidth="1"/>
    <col min="7709" max="7709" width="9.5703125" style="97" customWidth="1"/>
    <col min="7710" max="7713" width="6.140625" style="97" customWidth="1"/>
    <col min="7714" max="7714" width="9.5703125" style="97" customWidth="1"/>
    <col min="7715" max="7715" width="7.7109375" style="97" customWidth="1"/>
    <col min="7716" max="7716" width="9.5703125" style="97" customWidth="1"/>
    <col min="7717" max="7717" width="8.28515625" style="97" customWidth="1"/>
    <col min="7718" max="7719" width="9.42578125" style="97" customWidth="1"/>
    <col min="7720" max="7720" width="9" style="97" customWidth="1"/>
    <col min="7721" max="7723" width="8.28515625" style="97" customWidth="1"/>
    <col min="7724" max="7724" width="7.85546875" style="97" customWidth="1"/>
    <col min="7725" max="7728" width="0" style="97" hidden="1" customWidth="1"/>
    <col min="7729" max="7729" width="7.85546875" style="97" customWidth="1"/>
    <col min="7730" max="7733" width="0" style="97" hidden="1" customWidth="1"/>
    <col min="7734" max="7734" width="7.85546875" style="97" customWidth="1"/>
    <col min="7735" max="7738" width="0" style="97" hidden="1" customWidth="1"/>
    <col min="7739" max="7739" width="8.28515625" style="97" customWidth="1"/>
    <col min="7740" max="7740" width="0" style="97" hidden="1" customWidth="1"/>
    <col min="7741" max="7750" width="8.28515625" style="97" customWidth="1"/>
    <col min="7751" max="7751" width="0" style="97" hidden="1" customWidth="1"/>
    <col min="7752" max="7752" width="2.5703125" style="97" customWidth="1"/>
    <col min="7753" max="7753" width="31.28515625" style="97" customWidth="1"/>
    <col min="7754" max="7754" width="4.28515625" style="97" customWidth="1"/>
    <col min="7755" max="7755" width="17.140625" style="97" customWidth="1"/>
    <col min="7756" max="7936" width="8.7109375" style="97"/>
    <col min="7937" max="7937" width="2.85546875" style="97" customWidth="1"/>
    <col min="7938" max="7938" width="1.28515625" style="97" customWidth="1"/>
    <col min="7939" max="7939" width="32.5703125" style="97" customWidth="1"/>
    <col min="7940" max="7943" width="6.140625" style="97" customWidth="1"/>
    <col min="7944" max="7944" width="8.140625" style="97" customWidth="1"/>
    <col min="7945" max="7947" width="6.140625" style="97" customWidth="1"/>
    <col min="7948" max="7948" width="4.42578125" style="97" customWidth="1"/>
    <col min="7949" max="7949" width="1.5703125" style="97" customWidth="1"/>
    <col min="7950" max="7950" width="9.5703125" style="97" customWidth="1"/>
    <col min="7951" max="7954" width="6.140625" style="97" customWidth="1"/>
    <col min="7955" max="7955" width="9.5703125" style="97" customWidth="1"/>
    <col min="7956" max="7959" width="6.140625" style="97" customWidth="1"/>
    <col min="7960" max="7960" width="9.5703125" style="97" customWidth="1"/>
    <col min="7961" max="7964" width="6.140625" style="97" customWidth="1"/>
    <col min="7965" max="7965" width="9.5703125" style="97" customWidth="1"/>
    <col min="7966" max="7969" width="6.140625" style="97" customWidth="1"/>
    <col min="7970" max="7970" width="9.5703125" style="97" customWidth="1"/>
    <col min="7971" max="7971" width="7.7109375" style="97" customWidth="1"/>
    <col min="7972" max="7972" width="9.5703125" style="97" customWidth="1"/>
    <col min="7973" max="7973" width="8.28515625" style="97" customWidth="1"/>
    <col min="7974" max="7975" width="9.42578125" style="97" customWidth="1"/>
    <col min="7976" max="7976" width="9" style="97" customWidth="1"/>
    <col min="7977" max="7979" width="8.28515625" style="97" customWidth="1"/>
    <col min="7980" max="7980" width="7.85546875" style="97" customWidth="1"/>
    <col min="7981" max="7984" width="0" style="97" hidden="1" customWidth="1"/>
    <col min="7985" max="7985" width="7.85546875" style="97" customWidth="1"/>
    <col min="7986" max="7989" width="0" style="97" hidden="1" customWidth="1"/>
    <col min="7990" max="7990" width="7.85546875" style="97" customWidth="1"/>
    <col min="7991" max="7994" width="0" style="97" hidden="1" customWidth="1"/>
    <col min="7995" max="7995" width="8.28515625" style="97" customWidth="1"/>
    <col min="7996" max="7996" width="0" style="97" hidden="1" customWidth="1"/>
    <col min="7997" max="8006" width="8.28515625" style="97" customWidth="1"/>
    <col min="8007" max="8007" width="0" style="97" hidden="1" customWidth="1"/>
    <col min="8008" max="8008" width="2.5703125" style="97" customWidth="1"/>
    <col min="8009" max="8009" width="31.28515625" style="97" customWidth="1"/>
    <col min="8010" max="8010" width="4.28515625" style="97" customWidth="1"/>
    <col min="8011" max="8011" width="17.140625" style="97" customWidth="1"/>
    <col min="8012" max="8192" width="8.7109375" style="97"/>
    <col min="8193" max="8193" width="2.85546875" style="97" customWidth="1"/>
    <col min="8194" max="8194" width="1.28515625" style="97" customWidth="1"/>
    <col min="8195" max="8195" width="32.5703125" style="97" customWidth="1"/>
    <col min="8196" max="8199" width="6.140625" style="97" customWidth="1"/>
    <col min="8200" max="8200" width="8.140625" style="97" customWidth="1"/>
    <col min="8201" max="8203" width="6.140625" style="97" customWidth="1"/>
    <col min="8204" max="8204" width="4.42578125" style="97" customWidth="1"/>
    <col min="8205" max="8205" width="1.5703125" style="97" customWidth="1"/>
    <col min="8206" max="8206" width="9.5703125" style="97" customWidth="1"/>
    <col min="8207" max="8210" width="6.140625" style="97" customWidth="1"/>
    <col min="8211" max="8211" width="9.5703125" style="97" customWidth="1"/>
    <col min="8212" max="8215" width="6.140625" style="97" customWidth="1"/>
    <col min="8216" max="8216" width="9.5703125" style="97" customWidth="1"/>
    <col min="8217" max="8220" width="6.140625" style="97" customWidth="1"/>
    <col min="8221" max="8221" width="9.5703125" style="97" customWidth="1"/>
    <col min="8222" max="8225" width="6.140625" style="97" customWidth="1"/>
    <col min="8226" max="8226" width="9.5703125" style="97" customWidth="1"/>
    <col min="8227" max="8227" width="7.7109375" style="97" customWidth="1"/>
    <col min="8228" max="8228" width="9.5703125" style="97" customWidth="1"/>
    <col min="8229" max="8229" width="8.28515625" style="97" customWidth="1"/>
    <col min="8230" max="8231" width="9.42578125" style="97" customWidth="1"/>
    <col min="8232" max="8232" width="9" style="97" customWidth="1"/>
    <col min="8233" max="8235" width="8.28515625" style="97" customWidth="1"/>
    <col min="8236" max="8236" width="7.85546875" style="97" customWidth="1"/>
    <col min="8237" max="8240" width="0" style="97" hidden="1" customWidth="1"/>
    <col min="8241" max="8241" width="7.85546875" style="97" customWidth="1"/>
    <col min="8242" max="8245" width="0" style="97" hidden="1" customWidth="1"/>
    <col min="8246" max="8246" width="7.85546875" style="97" customWidth="1"/>
    <col min="8247" max="8250" width="0" style="97" hidden="1" customWidth="1"/>
    <col min="8251" max="8251" width="8.28515625" style="97" customWidth="1"/>
    <col min="8252" max="8252" width="0" style="97" hidden="1" customWidth="1"/>
    <col min="8253" max="8262" width="8.28515625" style="97" customWidth="1"/>
    <col min="8263" max="8263" width="0" style="97" hidden="1" customWidth="1"/>
    <col min="8264" max="8264" width="2.5703125" style="97" customWidth="1"/>
    <col min="8265" max="8265" width="31.28515625" style="97" customWidth="1"/>
    <col min="8266" max="8266" width="4.28515625" style="97" customWidth="1"/>
    <col min="8267" max="8267" width="17.140625" style="97" customWidth="1"/>
    <col min="8268" max="8448" width="8.7109375" style="97"/>
    <col min="8449" max="8449" width="2.85546875" style="97" customWidth="1"/>
    <col min="8450" max="8450" width="1.28515625" style="97" customWidth="1"/>
    <col min="8451" max="8451" width="32.5703125" style="97" customWidth="1"/>
    <col min="8452" max="8455" width="6.140625" style="97" customWidth="1"/>
    <col min="8456" max="8456" width="8.140625" style="97" customWidth="1"/>
    <col min="8457" max="8459" width="6.140625" style="97" customWidth="1"/>
    <col min="8460" max="8460" width="4.42578125" style="97" customWidth="1"/>
    <col min="8461" max="8461" width="1.5703125" style="97" customWidth="1"/>
    <col min="8462" max="8462" width="9.5703125" style="97" customWidth="1"/>
    <col min="8463" max="8466" width="6.140625" style="97" customWidth="1"/>
    <col min="8467" max="8467" width="9.5703125" style="97" customWidth="1"/>
    <col min="8468" max="8471" width="6.140625" style="97" customWidth="1"/>
    <col min="8472" max="8472" width="9.5703125" style="97" customWidth="1"/>
    <col min="8473" max="8476" width="6.140625" style="97" customWidth="1"/>
    <col min="8477" max="8477" width="9.5703125" style="97" customWidth="1"/>
    <col min="8478" max="8481" width="6.140625" style="97" customWidth="1"/>
    <col min="8482" max="8482" width="9.5703125" style="97" customWidth="1"/>
    <col min="8483" max="8483" width="7.7109375" style="97" customWidth="1"/>
    <col min="8484" max="8484" width="9.5703125" style="97" customWidth="1"/>
    <col min="8485" max="8485" width="8.28515625" style="97" customWidth="1"/>
    <col min="8486" max="8487" width="9.42578125" style="97" customWidth="1"/>
    <col min="8488" max="8488" width="9" style="97" customWidth="1"/>
    <col min="8489" max="8491" width="8.28515625" style="97" customWidth="1"/>
    <col min="8492" max="8492" width="7.85546875" style="97" customWidth="1"/>
    <col min="8493" max="8496" width="0" style="97" hidden="1" customWidth="1"/>
    <col min="8497" max="8497" width="7.85546875" style="97" customWidth="1"/>
    <col min="8498" max="8501" width="0" style="97" hidden="1" customWidth="1"/>
    <col min="8502" max="8502" width="7.85546875" style="97" customWidth="1"/>
    <col min="8503" max="8506" width="0" style="97" hidden="1" customWidth="1"/>
    <col min="8507" max="8507" width="8.28515625" style="97" customWidth="1"/>
    <col min="8508" max="8508" width="0" style="97" hidden="1" customWidth="1"/>
    <col min="8509" max="8518" width="8.28515625" style="97" customWidth="1"/>
    <col min="8519" max="8519" width="0" style="97" hidden="1" customWidth="1"/>
    <col min="8520" max="8520" width="2.5703125" style="97" customWidth="1"/>
    <col min="8521" max="8521" width="31.28515625" style="97" customWidth="1"/>
    <col min="8522" max="8522" width="4.28515625" style="97" customWidth="1"/>
    <col min="8523" max="8523" width="17.140625" style="97" customWidth="1"/>
    <col min="8524" max="8704" width="8.7109375" style="97"/>
    <col min="8705" max="8705" width="2.85546875" style="97" customWidth="1"/>
    <col min="8706" max="8706" width="1.28515625" style="97" customWidth="1"/>
    <col min="8707" max="8707" width="32.5703125" style="97" customWidth="1"/>
    <col min="8708" max="8711" width="6.140625" style="97" customWidth="1"/>
    <col min="8712" max="8712" width="8.140625" style="97" customWidth="1"/>
    <col min="8713" max="8715" width="6.140625" style="97" customWidth="1"/>
    <col min="8716" max="8716" width="4.42578125" style="97" customWidth="1"/>
    <col min="8717" max="8717" width="1.5703125" style="97" customWidth="1"/>
    <col min="8718" max="8718" width="9.5703125" style="97" customWidth="1"/>
    <col min="8719" max="8722" width="6.140625" style="97" customWidth="1"/>
    <col min="8723" max="8723" width="9.5703125" style="97" customWidth="1"/>
    <col min="8724" max="8727" width="6.140625" style="97" customWidth="1"/>
    <col min="8728" max="8728" width="9.5703125" style="97" customWidth="1"/>
    <col min="8729" max="8732" width="6.140625" style="97" customWidth="1"/>
    <col min="8733" max="8733" width="9.5703125" style="97" customWidth="1"/>
    <col min="8734" max="8737" width="6.140625" style="97" customWidth="1"/>
    <col min="8738" max="8738" width="9.5703125" style="97" customWidth="1"/>
    <col min="8739" max="8739" width="7.7109375" style="97" customWidth="1"/>
    <col min="8740" max="8740" width="9.5703125" style="97" customWidth="1"/>
    <col min="8741" max="8741" width="8.28515625" style="97" customWidth="1"/>
    <col min="8742" max="8743" width="9.42578125" style="97" customWidth="1"/>
    <col min="8744" max="8744" width="9" style="97" customWidth="1"/>
    <col min="8745" max="8747" width="8.28515625" style="97" customWidth="1"/>
    <col min="8748" max="8748" width="7.85546875" style="97" customWidth="1"/>
    <col min="8749" max="8752" width="0" style="97" hidden="1" customWidth="1"/>
    <col min="8753" max="8753" width="7.85546875" style="97" customWidth="1"/>
    <col min="8754" max="8757" width="0" style="97" hidden="1" customWidth="1"/>
    <col min="8758" max="8758" width="7.85546875" style="97" customWidth="1"/>
    <col min="8759" max="8762" width="0" style="97" hidden="1" customWidth="1"/>
    <col min="8763" max="8763" width="8.28515625" style="97" customWidth="1"/>
    <col min="8764" max="8764" width="0" style="97" hidden="1" customWidth="1"/>
    <col min="8765" max="8774" width="8.28515625" style="97" customWidth="1"/>
    <col min="8775" max="8775" width="0" style="97" hidden="1" customWidth="1"/>
    <col min="8776" max="8776" width="2.5703125" style="97" customWidth="1"/>
    <col min="8777" max="8777" width="31.28515625" style="97" customWidth="1"/>
    <col min="8778" max="8778" width="4.28515625" style="97" customWidth="1"/>
    <col min="8779" max="8779" width="17.140625" style="97" customWidth="1"/>
    <col min="8780" max="8960" width="8.7109375" style="97"/>
    <col min="8961" max="8961" width="2.85546875" style="97" customWidth="1"/>
    <col min="8962" max="8962" width="1.28515625" style="97" customWidth="1"/>
    <col min="8963" max="8963" width="32.5703125" style="97" customWidth="1"/>
    <col min="8964" max="8967" width="6.140625" style="97" customWidth="1"/>
    <col min="8968" max="8968" width="8.140625" style="97" customWidth="1"/>
    <col min="8969" max="8971" width="6.140625" style="97" customWidth="1"/>
    <col min="8972" max="8972" width="4.42578125" style="97" customWidth="1"/>
    <col min="8973" max="8973" width="1.5703125" style="97" customWidth="1"/>
    <col min="8974" max="8974" width="9.5703125" style="97" customWidth="1"/>
    <col min="8975" max="8978" width="6.140625" style="97" customWidth="1"/>
    <col min="8979" max="8979" width="9.5703125" style="97" customWidth="1"/>
    <col min="8980" max="8983" width="6.140625" style="97" customWidth="1"/>
    <col min="8984" max="8984" width="9.5703125" style="97" customWidth="1"/>
    <col min="8985" max="8988" width="6.140625" style="97" customWidth="1"/>
    <col min="8989" max="8989" width="9.5703125" style="97" customWidth="1"/>
    <col min="8990" max="8993" width="6.140625" style="97" customWidth="1"/>
    <col min="8994" max="8994" width="9.5703125" style="97" customWidth="1"/>
    <col min="8995" max="8995" width="7.7109375" style="97" customWidth="1"/>
    <col min="8996" max="8996" width="9.5703125" style="97" customWidth="1"/>
    <col min="8997" max="8997" width="8.28515625" style="97" customWidth="1"/>
    <col min="8998" max="8999" width="9.42578125" style="97" customWidth="1"/>
    <col min="9000" max="9000" width="9" style="97" customWidth="1"/>
    <col min="9001" max="9003" width="8.28515625" style="97" customWidth="1"/>
    <col min="9004" max="9004" width="7.85546875" style="97" customWidth="1"/>
    <col min="9005" max="9008" width="0" style="97" hidden="1" customWidth="1"/>
    <col min="9009" max="9009" width="7.85546875" style="97" customWidth="1"/>
    <col min="9010" max="9013" width="0" style="97" hidden="1" customWidth="1"/>
    <col min="9014" max="9014" width="7.85546875" style="97" customWidth="1"/>
    <col min="9015" max="9018" width="0" style="97" hidden="1" customWidth="1"/>
    <col min="9019" max="9019" width="8.28515625" style="97" customWidth="1"/>
    <col min="9020" max="9020" width="0" style="97" hidden="1" customWidth="1"/>
    <col min="9021" max="9030" width="8.28515625" style="97" customWidth="1"/>
    <col min="9031" max="9031" width="0" style="97" hidden="1" customWidth="1"/>
    <col min="9032" max="9032" width="2.5703125" style="97" customWidth="1"/>
    <col min="9033" max="9033" width="31.28515625" style="97" customWidth="1"/>
    <col min="9034" max="9034" width="4.28515625" style="97" customWidth="1"/>
    <col min="9035" max="9035" width="17.140625" style="97" customWidth="1"/>
    <col min="9036" max="9216" width="8.7109375" style="97"/>
    <col min="9217" max="9217" width="2.85546875" style="97" customWidth="1"/>
    <col min="9218" max="9218" width="1.28515625" style="97" customWidth="1"/>
    <col min="9219" max="9219" width="32.5703125" style="97" customWidth="1"/>
    <col min="9220" max="9223" width="6.140625" style="97" customWidth="1"/>
    <col min="9224" max="9224" width="8.140625" style="97" customWidth="1"/>
    <col min="9225" max="9227" width="6.140625" style="97" customWidth="1"/>
    <col min="9228" max="9228" width="4.42578125" style="97" customWidth="1"/>
    <col min="9229" max="9229" width="1.5703125" style="97" customWidth="1"/>
    <col min="9230" max="9230" width="9.5703125" style="97" customWidth="1"/>
    <col min="9231" max="9234" width="6.140625" style="97" customWidth="1"/>
    <col min="9235" max="9235" width="9.5703125" style="97" customWidth="1"/>
    <col min="9236" max="9239" width="6.140625" style="97" customWidth="1"/>
    <col min="9240" max="9240" width="9.5703125" style="97" customWidth="1"/>
    <col min="9241" max="9244" width="6.140625" style="97" customWidth="1"/>
    <col min="9245" max="9245" width="9.5703125" style="97" customWidth="1"/>
    <col min="9246" max="9249" width="6.140625" style="97" customWidth="1"/>
    <col min="9250" max="9250" width="9.5703125" style="97" customWidth="1"/>
    <col min="9251" max="9251" width="7.7109375" style="97" customWidth="1"/>
    <col min="9252" max="9252" width="9.5703125" style="97" customWidth="1"/>
    <col min="9253" max="9253" width="8.28515625" style="97" customWidth="1"/>
    <col min="9254" max="9255" width="9.42578125" style="97" customWidth="1"/>
    <col min="9256" max="9256" width="9" style="97" customWidth="1"/>
    <col min="9257" max="9259" width="8.28515625" style="97" customWidth="1"/>
    <col min="9260" max="9260" width="7.85546875" style="97" customWidth="1"/>
    <col min="9261" max="9264" width="0" style="97" hidden="1" customWidth="1"/>
    <col min="9265" max="9265" width="7.85546875" style="97" customWidth="1"/>
    <col min="9266" max="9269" width="0" style="97" hidden="1" customWidth="1"/>
    <col min="9270" max="9270" width="7.85546875" style="97" customWidth="1"/>
    <col min="9271" max="9274" width="0" style="97" hidden="1" customWidth="1"/>
    <col min="9275" max="9275" width="8.28515625" style="97" customWidth="1"/>
    <col min="9276" max="9276" width="0" style="97" hidden="1" customWidth="1"/>
    <col min="9277" max="9286" width="8.28515625" style="97" customWidth="1"/>
    <col min="9287" max="9287" width="0" style="97" hidden="1" customWidth="1"/>
    <col min="9288" max="9288" width="2.5703125" style="97" customWidth="1"/>
    <col min="9289" max="9289" width="31.28515625" style="97" customWidth="1"/>
    <col min="9290" max="9290" width="4.28515625" style="97" customWidth="1"/>
    <col min="9291" max="9291" width="17.140625" style="97" customWidth="1"/>
    <col min="9292" max="9472" width="8.7109375" style="97"/>
    <col min="9473" max="9473" width="2.85546875" style="97" customWidth="1"/>
    <col min="9474" max="9474" width="1.28515625" style="97" customWidth="1"/>
    <col min="9475" max="9475" width="32.5703125" style="97" customWidth="1"/>
    <col min="9476" max="9479" width="6.140625" style="97" customWidth="1"/>
    <col min="9480" max="9480" width="8.140625" style="97" customWidth="1"/>
    <col min="9481" max="9483" width="6.140625" style="97" customWidth="1"/>
    <col min="9484" max="9484" width="4.42578125" style="97" customWidth="1"/>
    <col min="9485" max="9485" width="1.5703125" style="97" customWidth="1"/>
    <col min="9486" max="9486" width="9.5703125" style="97" customWidth="1"/>
    <col min="9487" max="9490" width="6.140625" style="97" customWidth="1"/>
    <col min="9491" max="9491" width="9.5703125" style="97" customWidth="1"/>
    <col min="9492" max="9495" width="6.140625" style="97" customWidth="1"/>
    <col min="9496" max="9496" width="9.5703125" style="97" customWidth="1"/>
    <col min="9497" max="9500" width="6.140625" style="97" customWidth="1"/>
    <col min="9501" max="9501" width="9.5703125" style="97" customWidth="1"/>
    <col min="9502" max="9505" width="6.140625" style="97" customWidth="1"/>
    <col min="9506" max="9506" width="9.5703125" style="97" customWidth="1"/>
    <col min="9507" max="9507" width="7.7109375" style="97" customWidth="1"/>
    <col min="9508" max="9508" width="9.5703125" style="97" customWidth="1"/>
    <col min="9509" max="9509" width="8.28515625" style="97" customWidth="1"/>
    <col min="9510" max="9511" width="9.42578125" style="97" customWidth="1"/>
    <col min="9512" max="9512" width="9" style="97" customWidth="1"/>
    <col min="9513" max="9515" width="8.28515625" style="97" customWidth="1"/>
    <col min="9516" max="9516" width="7.85546875" style="97" customWidth="1"/>
    <col min="9517" max="9520" width="0" style="97" hidden="1" customWidth="1"/>
    <col min="9521" max="9521" width="7.85546875" style="97" customWidth="1"/>
    <col min="9522" max="9525" width="0" style="97" hidden="1" customWidth="1"/>
    <col min="9526" max="9526" width="7.85546875" style="97" customWidth="1"/>
    <col min="9527" max="9530" width="0" style="97" hidden="1" customWidth="1"/>
    <col min="9531" max="9531" width="8.28515625" style="97" customWidth="1"/>
    <col min="9532" max="9532" width="0" style="97" hidden="1" customWidth="1"/>
    <col min="9533" max="9542" width="8.28515625" style="97" customWidth="1"/>
    <col min="9543" max="9543" width="0" style="97" hidden="1" customWidth="1"/>
    <col min="9544" max="9544" width="2.5703125" style="97" customWidth="1"/>
    <col min="9545" max="9545" width="31.28515625" style="97" customWidth="1"/>
    <col min="9546" max="9546" width="4.28515625" style="97" customWidth="1"/>
    <col min="9547" max="9547" width="17.140625" style="97" customWidth="1"/>
    <col min="9548" max="9728" width="8.7109375" style="97"/>
    <col min="9729" max="9729" width="2.85546875" style="97" customWidth="1"/>
    <col min="9730" max="9730" width="1.28515625" style="97" customWidth="1"/>
    <col min="9731" max="9731" width="32.5703125" style="97" customWidth="1"/>
    <col min="9732" max="9735" width="6.140625" style="97" customWidth="1"/>
    <col min="9736" max="9736" width="8.140625" style="97" customWidth="1"/>
    <col min="9737" max="9739" width="6.140625" style="97" customWidth="1"/>
    <col min="9740" max="9740" width="4.42578125" style="97" customWidth="1"/>
    <col min="9741" max="9741" width="1.5703125" style="97" customWidth="1"/>
    <col min="9742" max="9742" width="9.5703125" style="97" customWidth="1"/>
    <col min="9743" max="9746" width="6.140625" style="97" customWidth="1"/>
    <col min="9747" max="9747" width="9.5703125" style="97" customWidth="1"/>
    <col min="9748" max="9751" width="6.140625" style="97" customWidth="1"/>
    <col min="9752" max="9752" width="9.5703125" style="97" customWidth="1"/>
    <col min="9753" max="9756" width="6.140625" style="97" customWidth="1"/>
    <col min="9757" max="9757" width="9.5703125" style="97" customWidth="1"/>
    <col min="9758" max="9761" width="6.140625" style="97" customWidth="1"/>
    <col min="9762" max="9762" width="9.5703125" style="97" customWidth="1"/>
    <col min="9763" max="9763" width="7.7109375" style="97" customWidth="1"/>
    <col min="9764" max="9764" width="9.5703125" style="97" customWidth="1"/>
    <col min="9765" max="9765" width="8.28515625" style="97" customWidth="1"/>
    <col min="9766" max="9767" width="9.42578125" style="97" customWidth="1"/>
    <col min="9768" max="9768" width="9" style="97" customWidth="1"/>
    <col min="9769" max="9771" width="8.28515625" style="97" customWidth="1"/>
    <col min="9772" max="9772" width="7.85546875" style="97" customWidth="1"/>
    <col min="9773" max="9776" width="0" style="97" hidden="1" customWidth="1"/>
    <col min="9777" max="9777" width="7.85546875" style="97" customWidth="1"/>
    <col min="9778" max="9781" width="0" style="97" hidden="1" customWidth="1"/>
    <col min="9782" max="9782" width="7.85546875" style="97" customWidth="1"/>
    <col min="9783" max="9786" width="0" style="97" hidden="1" customWidth="1"/>
    <col min="9787" max="9787" width="8.28515625" style="97" customWidth="1"/>
    <col min="9788" max="9788" width="0" style="97" hidden="1" customWidth="1"/>
    <col min="9789" max="9798" width="8.28515625" style="97" customWidth="1"/>
    <col min="9799" max="9799" width="0" style="97" hidden="1" customWidth="1"/>
    <col min="9800" max="9800" width="2.5703125" style="97" customWidth="1"/>
    <col min="9801" max="9801" width="31.28515625" style="97" customWidth="1"/>
    <col min="9802" max="9802" width="4.28515625" style="97" customWidth="1"/>
    <col min="9803" max="9803" width="17.140625" style="97" customWidth="1"/>
    <col min="9804" max="9984" width="8.7109375" style="97"/>
    <col min="9985" max="9985" width="2.85546875" style="97" customWidth="1"/>
    <col min="9986" max="9986" width="1.28515625" style="97" customWidth="1"/>
    <col min="9987" max="9987" width="32.5703125" style="97" customWidth="1"/>
    <col min="9988" max="9991" width="6.140625" style="97" customWidth="1"/>
    <col min="9992" max="9992" width="8.140625" style="97" customWidth="1"/>
    <col min="9993" max="9995" width="6.140625" style="97" customWidth="1"/>
    <col min="9996" max="9996" width="4.42578125" style="97" customWidth="1"/>
    <col min="9997" max="9997" width="1.5703125" style="97" customWidth="1"/>
    <col min="9998" max="9998" width="9.5703125" style="97" customWidth="1"/>
    <col min="9999" max="10002" width="6.140625" style="97" customWidth="1"/>
    <col min="10003" max="10003" width="9.5703125" style="97" customWidth="1"/>
    <col min="10004" max="10007" width="6.140625" style="97" customWidth="1"/>
    <col min="10008" max="10008" width="9.5703125" style="97" customWidth="1"/>
    <col min="10009" max="10012" width="6.140625" style="97" customWidth="1"/>
    <col min="10013" max="10013" width="9.5703125" style="97" customWidth="1"/>
    <col min="10014" max="10017" width="6.140625" style="97" customWidth="1"/>
    <col min="10018" max="10018" width="9.5703125" style="97" customWidth="1"/>
    <col min="10019" max="10019" width="7.7109375" style="97" customWidth="1"/>
    <col min="10020" max="10020" width="9.5703125" style="97" customWidth="1"/>
    <col min="10021" max="10021" width="8.28515625" style="97" customWidth="1"/>
    <col min="10022" max="10023" width="9.42578125" style="97" customWidth="1"/>
    <col min="10024" max="10024" width="9" style="97" customWidth="1"/>
    <col min="10025" max="10027" width="8.28515625" style="97" customWidth="1"/>
    <col min="10028" max="10028" width="7.85546875" style="97" customWidth="1"/>
    <col min="10029" max="10032" width="0" style="97" hidden="1" customWidth="1"/>
    <col min="10033" max="10033" width="7.85546875" style="97" customWidth="1"/>
    <col min="10034" max="10037" width="0" style="97" hidden="1" customWidth="1"/>
    <col min="10038" max="10038" width="7.85546875" style="97" customWidth="1"/>
    <col min="10039" max="10042" width="0" style="97" hidden="1" customWidth="1"/>
    <col min="10043" max="10043" width="8.28515625" style="97" customWidth="1"/>
    <col min="10044" max="10044" width="0" style="97" hidden="1" customWidth="1"/>
    <col min="10045" max="10054" width="8.28515625" style="97" customWidth="1"/>
    <col min="10055" max="10055" width="0" style="97" hidden="1" customWidth="1"/>
    <col min="10056" max="10056" width="2.5703125" style="97" customWidth="1"/>
    <col min="10057" max="10057" width="31.28515625" style="97" customWidth="1"/>
    <col min="10058" max="10058" width="4.28515625" style="97" customWidth="1"/>
    <col min="10059" max="10059" width="17.140625" style="97" customWidth="1"/>
    <col min="10060" max="10240" width="8.7109375" style="97"/>
    <col min="10241" max="10241" width="2.85546875" style="97" customWidth="1"/>
    <col min="10242" max="10242" width="1.28515625" style="97" customWidth="1"/>
    <col min="10243" max="10243" width="32.5703125" style="97" customWidth="1"/>
    <col min="10244" max="10247" width="6.140625" style="97" customWidth="1"/>
    <col min="10248" max="10248" width="8.140625" style="97" customWidth="1"/>
    <col min="10249" max="10251" width="6.140625" style="97" customWidth="1"/>
    <col min="10252" max="10252" width="4.42578125" style="97" customWidth="1"/>
    <col min="10253" max="10253" width="1.5703125" style="97" customWidth="1"/>
    <col min="10254" max="10254" width="9.5703125" style="97" customWidth="1"/>
    <col min="10255" max="10258" width="6.140625" style="97" customWidth="1"/>
    <col min="10259" max="10259" width="9.5703125" style="97" customWidth="1"/>
    <col min="10260" max="10263" width="6.140625" style="97" customWidth="1"/>
    <col min="10264" max="10264" width="9.5703125" style="97" customWidth="1"/>
    <col min="10265" max="10268" width="6.140625" style="97" customWidth="1"/>
    <col min="10269" max="10269" width="9.5703125" style="97" customWidth="1"/>
    <col min="10270" max="10273" width="6.140625" style="97" customWidth="1"/>
    <col min="10274" max="10274" width="9.5703125" style="97" customWidth="1"/>
    <col min="10275" max="10275" width="7.7109375" style="97" customWidth="1"/>
    <col min="10276" max="10276" width="9.5703125" style="97" customWidth="1"/>
    <col min="10277" max="10277" width="8.28515625" style="97" customWidth="1"/>
    <col min="10278" max="10279" width="9.42578125" style="97" customWidth="1"/>
    <col min="10280" max="10280" width="9" style="97" customWidth="1"/>
    <col min="10281" max="10283" width="8.28515625" style="97" customWidth="1"/>
    <col min="10284" max="10284" width="7.85546875" style="97" customWidth="1"/>
    <col min="10285" max="10288" width="0" style="97" hidden="1" customWidth="1"/>
    <col min="10289" max="10289" width="7.85546875" style="97" customWidth="1"/>
    <col min="10290" max="10293" width="0" style="97" hidden="1" customWidth="1"/>
    <col min="10294" max="10294" width="7.85546875" style="97" customWidth="1"/>
    <col min="10295" max="10298" width="0" style="97" hidden="1" customWidth="1"/>
    <col min="10299" max="10299" width="8.28515625" style="97" customWidth="1"/>
    <col min="10300" max="10300" width="0" style="97" hidden="1" customWidth="1"/>
    <col min="10301" max="10310" width="8.28515625" style="97" customWidth="1"/>
    <col min="10311" max="10311" width="0" style="97" hidden="1" customWidth="1"/>
    <col min="10312" max="10312" width="2.5703125" style="97" customWidth="1"/>
    <col min="10313" max="10313" width="31.28515625" style="97" customWidth="1"/>
    <col min="10314" max="10314" width="4.28515625" style="97" customWidth="1"/>
    <col min="10315" max="10315" width="17.140625" style="97" customWidth="1"/>
    <col min="10316" max="10496" width="8.7109375" style="97"/>
    <col min="10497" max="10497" width="2.85546875" style="97" customWidth="1"/>
    <col min="10498" max="10498" width="1.28515625" style="97" customWidth="1"/>
    <col min="10499" max="10499" width="32.5703125" style="97" customWidth="1"/>
    <col min="10500" max="10503" width="6.140625" style="97" customWidth="1"/>
    <col min="10504" max="10504" width="8.140625" style="97" customWidth="1"/>
    <col min="10505" max="10507" width="6.140625" style="97" customWidth="1"/>
    <col min="10508" max="10508" width="4.42578125" style="97" customWidth="1"/>
    <col min="10509" max="10509" width="1.5703125" style="97" customWidth="1"/>
    <col min="10510" max="10510" width="9.5703125" style="97" customWidth="1"/>
    <col min="10511" max="10514" width="6.140625" style="97" customWidth="1"/>
    <col min="10515" max="10515" width="9.5703125" style="97" customWidth="1"/>
    <col min="10516" max="10519" width="6.140625" style="97" customWidth="1"/>
    <col min="10520" max="10520" width="9.5703125" style="97" customWidth="1"/>
    <col min="10521" max="10524" width="6.140625" style="97" customWidth="1"/>
    <col min="10525" max="10525" width="9.5703125" style="97" customWidth="1"/>
    <col min="10526" max="10529" width="6.140625" style="97" customWidth="1"/>
    <col min="10530" max="10530" width="9.5703125" style="97" customWidth="1"/>
    <col min="10531" max="10531" width="7.7109375" style="97" customWidth="1"/>
    <col min="10532" max="10532" width="9.5703125" style="97" customWidth="1"/>
    <col min="10533" max="10533" width="8.28515625" style="97" customWidth="1"/>
    <col min="10534" max="10535" width="9.42578125" style="97" customWidth="1"/>
    <col min="10536" max="10536" width="9" style="97" customWidth="1"/>
    <col min="10537" max="10539" width="8.28515625" style="97" customWidth="1"/>
    <col min="10540" max="10540" width="7.85546875" style="97" customWidth="1"/>
    <col min="10541" max="10544" width="0" style="97" hidden="1" customWidth="1"/>
    <col min="10545" max="10545" width="7.85546875" style="97" customWidth="1"/>
    <col min="10546" max="10549" width="0" style="97" hidden="1" customWidth="1"/>
    <col min="10550" max="10550" width="7.85546875" style="97" customWidth="1"/>
    <col min="10551" max="10554" width="0" style="97" hidden="1" customWidth="1"/>
    <col min="10555" max="10555" width="8.28515625" style="97" customWidth="1"/>
    <col min="10556" max="10556" width="0" style="97" hidden="1" customWidth="1"/>
    <col min="10557" max="10566" width="8.28515625" style="97" customWidth="1"/>
    <col min="10567" max="10567" width="0" style="97" hidden="1" customWidth="1"/>
    <col min="10568" max="10568" width="2.5703125" style="97" customWidth="1"/>
    <col min="10569" max="10569" width="31.28515625" style="97" customWidth="1"/>
    <col min="10570" max="10570" width="4.28515625" style="97" customWidth="1"/>
    <col min="10571" max="10571" width="17.140625" style="97" customWidth="1"/>
    <col min="10572" max="10752" width="8.7109375" style="97"/>
    <col min="10753" max="10753" width="2.85546875" style="97" customWidth="1"/>
    <col min="10754" max="10754" width="1.28515625" style="97" customWidth="1"/>
    <col min="10755" max="10755" width="32.5703125" style="97" customWidth="1"/>
    <col min="10756" max="10759" width="6.140625" style="97" customWidth="1"/>
    <col min="10760" max="10760" width="8.140625" style="97" customWidth="1"/>
    <col min="10761" max="10763" width="6.140625" style="97" customWidth="1"/>
    <col min="10764" max="10764" width="4.42578125" style="97" customWidth="1"/>
    <col min="10765" max="10765" width="1.5703125" style="97" customWidth="1"/>
    <col min="10766" max="10766" width="9.5703125" style="97" customWidth="1"/>
    <col min="10767" max="10770" width="6.140625" style="97" customWidth="1"/>
    <col min="10771" max="10771" width="9.5703125" style="97" customWidth="1"/>
    <col min="10772" max="10775" width="6.140625" style="97" customWidth="1"/>
    <col min="10776" max="10776" width="9.5703125" style="97" customWidth="1"/>
    <col min="10777" max="10780" width="6.140625" style="97" customWidth="1"/>
    <col min="10781" max="10781" width="9.5703125" style="97" customWidth="1"/>
    <col min="10782" max="10785" width="6.140625" style="97" customWidth="1"/>
    <col min="10786" max="10786" width="9.5703125" style="97" customWidth="1"/>
    <col min="10787" max="10787" width="7.7109375" style="97" customWidth="1"/>
    <col min="10788" max="10788" width="9.5703125" style="97" customWidth="1"/>
    <col min="10789" max="10789" width="8.28515625" style="97" customWidth="1"/>
    <col min="10790" max="10791" width="9.42578125" style="97" customWidth="1"/>
    <col min="10792" max="10792" width="9" style="97" customWidth="1"/>
    <col min="10793" max="10795" width="8.28515625" style="97" customWidth="1"/>
    <col min="10796" max="10796" width="7.85546875" style="97" customWidth="1"/>
    <col min="10797" max="10800" width="0" style="97" hidden="1" customWidth="1"/>
    <col min="10801" max="10801" width="7.85546875" style="97" customWidth="1"/>
    <col min="10802" max="10805" width="0" style="97" hidden="1" customWidth="1"/>
    <col min="10806" max="10806" width="7.85546875" style="97" customWidth="1"/>
    <col min="10807" max="10810" width="0" style="97" hidden="1" customWidth="1"/>
    <col min="10811" max="10811" width="8.28515625" style="97" customWidth="1"/>
    <col min="10812" max="10812" width="0" style="97" hidden="1" customWidth="1"/>
    <col min="10813" max="10822" width="8.28515625" style="97" customWidth="1"/>
    <col min="10823" max="10823" width="0" style="97" hidden="1" customWidth="1"/>
    <col min="10824" max="10824" width="2.5703125" style="97" customWidth="1"/>
    <col min="10825" max="10825" width="31.28515625" style="97" customWidth="1"/>
    <col min="10826" max="10826" width="4.28515625" style="97" customWidth="1"/>
    <col min="10827" max="10827" width="17.140625" style="97" customWidth="1"/>
    <col min="10828" max="11008" width="8.7109375" style="97"/>
    <col min="11009" max="11009" width="2.85546875" style="97" customWidth="1"/>
    <col min="11010" max="11010" width="1.28515625" style="97" customWidth="1"/>
    <col min="11011" max="11011" width="32.5703125" style="97" customWidth="1"/>
    <col min="11012" max="11015" width="6.140625" style="97" customWidth="1"/>
    <col min="11016" max="11016" width="8.140625" style="97" customWidth="1"/>
    <col min="11017" max="11019" width="6.140625" style="97" customWidth="1"/>
    <col min="11020" max="11020" width="4.42578125" style="97" customWidth="1"/>
    <col min="11021" max="11021" width="1.5703125" style="97" customWidth="1"/>
    <col min="11022" max="11022" width="9.5703125" style="97" customWidth="1"/>
    <col min="11023" max="11026" width="6.140625" style="97" customWidth="1"/>
    <col min="11027" max="11027" width="9.5703125" style="97" customWidth="1"/>
    <col min="11028" max="11031" width="6.140625" style="97" customWidth="1"/>
    <col min="11032" max="11032" width="9.5703125" style="97" customWidth="1"/>
    <col min="11033" max="11036" width="6.140625" style="97" customWidth="1"/>
    <col min="11037" max="11037" width="9.5703125" style="97" customWidth="1"/>
    <col min="11038" max="11041" width="6.140625" style="97" customWidth="1"/>
    <col min="11042" max="11042" width="9.5703125" style="97" customWidth="1"/>
    <col min="11043" max="11043" width="7.7109375" style="97" customWidth="1"/>
    <col min="11044" max="11044" width="9.5703125" style="97" customWidth="1"/>
    <col min="11045" max="11045" width="8.28515625" style="97" customWidth="1"/>
    <col min="11046" max="11047" width="9.42578125" style="97" customWidth="1"/>
    <col min="11048" max="11048" width="9" style="97" customWidth="1"/>
    <col min="11049" max="11051" width="8.28515625" style="97" customWidth="1"/>
    <col min="11052" max="11052" width="7.85546875" style="97" customWidth="1"/>
    <col min="11053" max="11056" width="0" style="97" hidden="1" customWidth="1"/>
    <col min="11057" max="11057" width="7.85546875" style="97" customWidth="1"/>
    <col min="11058" max="11061" width="0" style="97" hidden="1" customWidth="1"/>
    <col min="11062" max="11062" width="7.85546875" style="97" customWidth="1"/>
    <col min="11063" max="11066" width="0" style="97" hidden="1" customWidth="1"/>
    <col min="11067" max="11067" width="8.28515625" style="97" customWidth="1"/>
    <col min="11068" max="11068" width="0" style="97" hidden="1" customWidth="1"/>
    <col min="11069" max="11078" width="8.28515625" style="97" customWidth="1"/>
    <col min="11079" max="11079" width="0" style="97" hidden="1" customWidth="1"/>
    <col min="11080" max="11080" width="2.5703125" style="97" customWidth="1"/>
    <col min="11081" max="11081" width="31.28515625" style="97" customWidth="1"/>
    <col min="11082" max="11082" width="4.28515625" style="97" customWidth="1"/>
    <col min="11083" max="11083" width="17.140625" style="97" customWidth="1"/>
    <col min="11084" max="11264" width="8.7109375" style="97"/>
    <col min="11265" max="11265" width="2.85546875" style="97" customWidth="1"/>
    <col min="11266" max="11266" width="1.28515625" style="97" customWidth="1"/>
    <col min="11267" max="11267" width="32.5703125" style="97" customWidth="1"/>
    <col min="11268" max="11271" width="6.140625" style="97" customWidth="1"/>
    <col min="11272" max="11272" width="8.140625" style="97" customWidth="1"/>
    <col min="11273" max="11275" width="6.140625" style="97" customWidth="1"/>
    <col min="11276" max="11276" width="4.42578125" style="97" customWidth="1"/>
    <col min="11277" max="11277" width="1.5703125" style="97" customWidth="1"/>
    <col min="11278" max="11278" width="9.5703125" style="97" customWidth="1"/>
    <col min="11279" max="11282" width="6.140625" style="97" customWidth="1"/>
    <col min="11283" max="11283" width="9.5703125" style="97" customWidth="1"/>
    <col min="11284" max="11287" width="6.140625" style="97" customWidth="1"/>
    <col min="11288" max="11288" width="9.5703125" style="97" customWidth="1"/>
    <col min="11289" max="11292" width="6.140625" style="97" customWidth="1"/>
    <col min="11293" max="11293" width="9.5703125" style="97" customWidth="1"/>
    <col min="11294" max="11297" width="6.140625" style="97" customWidth="1"/>
    <col min="11298" max="11298" width="9.5703125" style="97" customWidth="1"/>
    <col min="11299" max="11299" width="7.7109375" style="97" customWidth="1"/>
    <col min="11300" max="11300" width="9.5703125" style="97" customWidth="1"/>
    <col min="11301" max="11301" width="8.28515625" style="97" customWidth="1"/>
    <col min="11302" max="11303" width="9.42578125" style="97" customWidth="1"/>
    <col min="11304" max="11304" width="9" style="97" customWidth="1"/>
    <col min="11305" max="11307" width="8.28515625" style="97" customWidth="1"/>
    <col min="11308" max="11308" width="7.85546875" style="97" customWidth="1"/>
    <col min="11309" max="11312" width="0" style="97" hidden="1" customWidth="1"/>
    <col min="11313" max="11313" width="7.85546875" style="97" customWidth="1"/>
    <col min="11314" max="11317" width="0" style="97" hidden="1" customWidth="1"/>
    <col min="11318" max="11318" width="7.85546875" style="97" customWidth="1"/>
    <col min="11319" max="11322" width="0" style="97" hidden="1" customWidth="1"/>
    <col min="11323" max="11323" width="8.28515625" style="97" customWidth="1"/>
    <col min="11324" max="11324" width="0" style="97" hidden="1" customWidth="1"/>
    <col min="11325" max="11334" width="8.28515625" style="97" customWidth="1"/>
    <col min="11335" max="11335" width="0" style="97" hidden="1" customWidth="1"/>
    <col min="11336" max="11336" width="2.5703125" style="97" customWidth="1"/>
    <col min="11337" max="11337" width="31.28515625" style="97" customWidth="1"/>
    <col min="11338" max="11338" width="4.28515625" style="97" customWidth="1"/>
    <col min="11339" max="11339" width="17.140625" style="97" customWidth="1"/>
    <col min="11340" max="11520" width="8.7109375" style="97"/>
    <col min="11521" max="11521" width="2.85546875" style="97" customWidth="1"/>
    <col min="11522" max="11522" width="1.28515625" style="97" customWidth="1"/>
    <col min="11523" max="11523" width="32.5703125" style="97" customWidth="1"/>
    <col min="11524" max="11527" width="6.140625" style="97" customWidth="1"/>
    <col min="11528" max="11528" width="8.140625" style="97" customWidth="1"/>
    <col min="11529" max="11531" width="6.140625" style="97" customWidth="1"/>
    <col min="11532" max="11532" width="4.42578125" style="97" customWidth="1"/>
    <col min="11533" max="11533" width="1.5703125" style="97" customWidth="1"/>
    <col min="11534" max="11534" width="9.5703125" style="97" customWidth="1"/>
    <col min="11535" max="11538" width="6.140625" style="97" customWidth="1"/>
    <col min="11539" max="11539" width="9.5703125" style="97" customWidth="1"/>
    <col min="11540" max="11543" width="6.140625" style="97" customWidth="1"/>
    <col min="11544" max="11544" width="9.5703125" style="97" customWidth="1"/>
    <col min="11545" max="11548" width="6.140625" style="97" customWidth="1"/>
    <col min="11549" max="11549" width="9.5703125" style="97" customWidth="1"/>
    <col min="11550" max="11553" width="6.140625" style="97" customWidth="1"/>
    <col min="11554" max="11554" width="9.5703125" style="97" customWidth="1"/>
    <col min="11555" max="11555" width="7.7109375" style="97" customWidth="1"/>
    <col min="11556" max="11556" width="9.5703125" style="97" customWidth="1"/>
    <col min="11557" max="11557" width="8.28515625" style="97" customWidth="1"/>
    <col min="11558" max="11559" width="9.42578125" style="97" customWidth="1"/>
    <col min="11560" max="11560" width="9" style="97" customWidth="1"/>
    <col min="11561" max="11563" width="8.28515625" style="97" customWidth="1"/>
    <col min="11564" max="11564" width="7.85546875" style="97" customWidth="1"/>
    <col min="11565" max="11568" width="0" style="97" hidden="1" customWidth="1"/>
    <col min="11569" max="11569" width="7.85546875" style="97" customWidth="1"/>
    <col min="11570" max="11573" width="0" style="97" hidden="1" customWidth="1"/>
    <col min="11574" max="11574" width="7.85546875" style="97" customWidth="1"/>
    <col min="11575" max="11578" width="0" style="97" hidden="1" customWidth="1"/>
    <col min="11579" max="11579" width="8.28515625" style="97" customWidth="1"/>
    <col min="11580" max="11580" width="0" style="97" hidden="1" customWidth="1"/>
    <col min="11581" max="11590" width="8.28515625" style="97" customWidth="1"/>
    <col min="11591" max="11591" width="0" style="97" hidden="1" customWidth="1"/>
    <col min="11592" max="11592" width="2.5703125" style="97" customWidth="1"/>
    <col min="11593" max="11593" width="31.28515625" style="97" customWidth="1"/>
    <col min="11594" max="11594" width="4.28515625" style="97" customWidth="1"/>
    <col min="11595" max="11595" width="17.140625" style="97" customWidth="1"/>
    <col min="11596" max="11776" width="8.7109375" style="97"/>
    <col min="11777" max="11777" width="2.85546875" style="97" customWidth="1"/>
    <col min="11778" max="11778" width="1.28515625" style="97" customWidth="1"/>
    <col min="11779" max="11779" width="32.5703125" style="97" customWidth="1"/>
    <col min="11780" max="11783" width="6.140625" style="97" customWidth="1"/>
    <col min="11784" max="11784" width="8.140625" style="97" customWidth="1"/>
    <col min="11785" max="11787" width="6.140625" style="97" customWidth="1"/>
    <col min="11788" max="11788" width="4.42578125" style="97" customWidth="1"/>
    <col min="11789" max="11789" width="1.5703125" style="97" customWidth="1"/>
    <col min="11790" max="11790" width="9.5703125" style="97" customWidth="1"/>
    <col min="11791" max="11794" width="6.140625" style="97" customWidth="1"/>
    <col min="11795" max="11795" width="9.5703125" style="97" customWidth="1"/>
    <col min="11796" max="11799" width="6.140625" style="97" customWidth="1"/>
    <col min="11800" max="11800" width="9.5703125" style="97" customWidth="1"/>
    <col min="11801" max="11804" width="6.140625" style="97" customWidth="1"/>
    <col min="11805" max="11805" width="9.5703125" style="97" customWidth="1"/>
    <col min="11806" max="11809" width="6.140625" style="97" customWidth="1"/>
    <col min="11810" max="11810" width="9.5703125" style="97" customWidth="1"/>
    <col min="11811" max="11811" width="7.7109375" style="97" customWidth="1"/>
    <col min="11812" max="11812" width="9.5703125" style="97" customWidth="1"/>
    <col min="11813" max="11813" width="8.28515625" style="97" customWidth="1"/>
    <col min="11814" max="11815" width="9.42578125" style="97" customWidth="1"/>
    <col min="11816" max="11816" width="9" style="97" customWidth="1"/>
    <col min="11817" max="11819" width="8.28515625" style="97" customWidth="1"/>
    <col min="11820" max="11820" width="7.85546875" style="97" customWidth="1"/>
    <col min="11821" max="11824" width="0" style="97" hidden="1" customWidth="1"/>
    <col min="11825" max="11825" width="7.85546875" style="97" customWidth="1"/>
    <col min="11826" max="11829" width="0" style="97" hidden="1" customWidth="1"/>
    <col min="11830" max="11830" width="7.85546875" style="97" customWidth="1"/>
    <col min="11831" max="11834" width="0" style="97" hidden="1" customWidth="1"/>
    <col min="11835" max="11835" width="8.28515625" style="97" customWidth="1"/>
    <col min="11836" max="11836" width="0" style="97" hidden="1" customWidth="1"/>
    <col min="11837" max="11846" width="8.28515625" style="97" customWidth="1"/>
    <col min="11847" max="11847" width="0" style="97" hidden="1" customWidth="1"/>
    <col min="11848" max="11848" width="2.5703125" style="97" customWidth="1"/>
    <col min="11849" max="11849" width="31.28515625" style="97" customWidth="1"/>
    <col min="11850" max="11850" width="4.28515625" style="97" customWidth="1"/>
    <col min="11851" max="11851" width="17.140625" style="97" customWidth="1"/>
    <col min="11852" max="12032" width="8.7109375" style="97"/>
    <col min="12033" max="12033" width="2.85546875" style="97" customWidth="1"/>
    <col min="12034" max="12034" width="1.28515625" style="97" customWidth="1"/>
    <col min="12035" max="12035" width="32.5703125" style="97" customWidth="1"/>
    <col min="12036" max="12039" width="6.140625" style="97" customWidth="1"/>
    <col min="12040" max="12040" width="8.140625" style="97" customWidth="1"/>
    <col min="12041" max="12043" width="6.140625" style="97" customWidth="1"/>
    <col min="12044" max="12044" width="4.42578125" style="97" customWidth="1"/>
    <col min="12045" max="12045" width="1.5703125" style="97" customWidth="1"/>
    <col min="12046" max="12046" width="9.5703125" style="97" customWidth="1"/>
    <col min="12047" max="12050" width="6.140625" style="97" customWidth="1"/>
    <col min="12051" max="12051" width="9.5703125" style="97" customWidth="1"/>
    <col min="12052" max="12055" width="6.140625" style="97" customWidth="1"/>
    <col min="12056" max="12056" width="9.5703125" style="97" customWidth="1"/>
    <col min="12057" max="12060" width="6.140625" style="97" customWidth="1"/>
    <col min="12061" max="12061" width="9.5703125" style="97" customWidth="1"/>
    <col min="12062" max="12065" width="6.140625" style="97" customWidth="1"/>
    <col min="12066" max="12066" width="9.5703125" style="97" customWidth="1"/>
    <col min="12067" max="12067" width="7.7109375" style="97" customWidth="1"/>
    <col min="12068" max="12068" width="9.5703125" style="97" customWidth="1"/>
    <col min="12069" max="12069" width="8.28515625" style="97" customWidth="1"/>
    <col min="12070" max="12071" width="9.42578125" style="97" customWidth="1"/>
    <col min="12072" max="12072" width="9" style="97" customWidth="1"/>
    <col min="12073" max="12075" width="8.28515625" style="97" customWidth="1"/>
    <col min="12076" max="12076" width="7.85546875" style="97" customWidth="1"/>
    <col min="12077" max="12080" width="0" style="97" hidden="1" customWidth="1"/>
    <col min="12081" max="12081" width="7.85546875" style="97" customWidth="1"/>
    <col min="12082" max="12085" width="0" style="97" hidden="1" customWidth="1"/>
    <col min="12086" max="12086" width="7.85546875" style="97" customWidth="1"/>
    <col min="12087" max="12090" width="0" style="97" hidden="1" customWidth="1"/>
    <col min="12091" max="12091" width="8.28515625" style="97" customWidth="1"/>
    <col min="12092" max="12092" width="0" style="97" hidden="1" customWidth="1"/>
    <col min="12093" max="12102" width="8.28515625" style="97" customWidth="1"/>
    <col min="12103" max="12103" width="0" style="97" hidden="1" customWidth="1"/>
    <col min="12104" max="12104" width="2.5703125" style="97" customWidth="1"/>
    <col min="12105" max="12105" width="31.28515625" style="97" customWidth="1"/>
    <col min="12106" max="12106" width="4.28515625" style="97" customWidth="1"/>
    <col min="12107" max="12107" width="17.140625" style="97" customWidth="1"/>
    <col min="12108" max="12288" width="8.7109375" style="97"/>
    <col min="12289" max="12289" width="2.85546875" style="97" customWidth="1"/>
    <col min="12290" max="12290" width="1.28515625" style="97" customWidth="1"/>
    <col min="12291" max="12291" width="32.5703125" style="97" customWidth="1"/>
    <col min="12292" max="12295" width="6.140625" style="97" customWidth="1"/>
    <col min="12296" max="12296" width="8.140625" style="97" customWidth="1"/>
    <col min="12297" max="12299" width="6.140625" style="97" customWidth="1"/>
    <col min="12300" max="12300" width="4.42578125" style="97" customWidth="1"/>
    <col min="12301" max="12301" width="1.5703125" style="97" customWidth="1"/>
    <col min="12302" max="12302" width="9.5703125" style="97" customWidth="1"/>
    <col min="12303" max="12306" width="6.140625" style="97" customWidth="1"/>
    <col min="12307" max="12307" width="9.5703125" style="97" customWidth="1"/>
    <col min="12308" max="12311" width="6.140625" style="97" customWidth="1"/>
    <col min="12312" max="12312" width="9.5703125" style="97" customWidth="1"/>
    <col min="12313" max="12316" width="6.140625" style="97" customWidth="1"/>
    <col min="12317" max="12317" width="9.5703125" style="97" customWidth="1"/>
    <col min="12318" max="12321" width="6.140625" style="97" customWidth="1"/>
    <col min="12322" max="12322" width="9.5703125" style="97" customWidth="1"/>
    <col min="12323" max="12323" width="7.7109375" style="97" customWidth="1"/>
    <col min="12324" max="12324" width="9.5703125" style="97" customWidth="1"/>
    <col min="12325" max="12325" width="8.28515625" style="97" customWidth="1"/>
    <col min="12326" max="12327" width="9.42578125" style="97" customWidth="1"/>
    <col min="12328" max="12328" width="9" style="97" customWidth="1"/>
    <col min="12329" max="12331" width="8.28515625" style="97" customWidth="1"/>
    <col min="12332" max="12332" width="7.85546875" style="97" customWidth="1"/>
    <col min="12333" max="12336" width="0" style="97" hidden="1" customWidth="1"/>
    <col min="12337" max="12337" width="7.85546875" style="97" customWidth="1"/>
    <col min="12338" max="12341" width="0" style="97" hidden="1" customWidth="1"/>
    <col min="12342" max="12342" width="7.85546875" style="97" customWidth="1"/>
    <col min="12343" max="12346" width="0" style="97" hidden="1" customWidth="1"/>
    <col min="12347" max="12347" width="8.28515625" style="97" customWidth="1"/>
    <col min="12348" max="12348" width="0" style="97" hidden="1" customWidth="1"/>
    <col min="12349" max="12358" width="8.28515625" style="97" customWidth="1"/>
    <col min="12359" max="12359" width="0" style="97" hidden="1" customWidth="1"/>
    <col min="12360" max="12360" width="2.5703125" style="97" customWidth="1"/>
    <col min="12361" max="12361" width="31.28515625" style="97" customWidth="1"/>
    <col min="12362" max="12362" width="4.28515625" style="97" customWidth="1"/>
    <col min="12363" max="12363" width="17.140625" style="97" customWidth="1"/>
    <col min="12364" max="12544" width="8.7109375" style="97"/>
    <col min="12545" max="12545" width="2.85546875" style="97" customWidth="1"/>
    <col min="12546" max="12546" width="1.28515625" style="97" customWidth="1"/>
    <col min="12547" max="12547" width="32.5703125" style="97" customWidth="1"/>
    <col min="12548" max="12551" width="6.140625" style="97" customWidth="1"/>
    <col min="12552" max="12552" width="8.140625" style="97" customWidth="1"/>
    <col min="12553" max="12555" width="6.140625" style="97" customWidth="1"/>
    <col min="12556" max="12556" width="4.42578125" style="97" customWidth="1"/>
    <col min="12557" max="12557" width="1.5703125" style="97" customWidth="1"/>
    <col min="12558" max="12558" width="9.5703125" style="97" customWidth="1"/>
    <col min="12559" max="12562" width="6.140625" style="97" customWidth="1"/>
    <col min="12563" max="12563" width="9.5703125" style="97" customWidth="1"/>
    <col min="12564" max="12567" width="6.140625" style="97" customWidth="1"/>
    <col min="12568" max="12568" width="9.5703125" style="97" customWidth="1"/>
    <col min="12569" max="12572" width="6.140625" style="97" customWidth="1"/>
    <col min="12573" max="12573" width="9.5703125" style="97" customWidth="1"/>
    <col min="12574" max="12577" width="6.140625" style="97" customWidth="1"/>
    <col min="12578" max="12578" width="9.5703125" style="97" customWidth="1"/>
    <col min="12579" max="12579" width="7.7109375" style="97" customWidth="1"/>
    <col min="12580" max="12580" width="9.5703125" style="97" customWidth="1"/>
    <col min="12581" max="12581" width="8.28515625" style="97" customWidth="1"/>
    <col min="12582" max="12583" width="9.42578125" style="97" customWidth="1"/>
    <col min="12584" max="12584" width="9" style="97" customWidth="1"/>
    <col min="12585" max="12587" width="8.28515625" style="97" customWidth="1"/>
    <col min="12588" max="12588" width="7.85546875" style="97" customWidth="1"/>
    <col min="12589" max="12592" width="0" style="97" hidden="1" customWidth="1"/>
    <col min="12593" max="12593" width="7.85546875" style="97" customWidth="1"/>
    <col min="12594" max="12597" width="0" style="97" hidden="1" customWidth="1"/>
    <col min="12598" max="12598" width="7.85546875" style="97" customWidth="1"/>
    <col min="12599" max="12602" width="0" style="97" hidden="1" customWidth="1"/>
    <col min="12603" max="12603" width="8.28515625" style="97" customWidth="1"/>
    <col min="12604" max="12604" width="0" style="97" hidden="1" customWidth="1"/>
    <col min="12605" max="12614" width="8.28515625" style="97" customWidth="1"/>
    <col min="12615" max="12615" width="0" style="97" hidden="1" customWidth="1"/>
    <col min="12616" max="12616" width="2.5703125" style="97" customWidth="1"/>
    <col min="12617" max="12617" width="31.28515625" style="97" customWidth="1"/>
    <col min="12618" max="12618" width="4.28515625" style="97" customWidth="1"/>
    <col min="12619" max="12619" width="17.140625" style="97" customWidth="1"/>
    <col min="12620" max="12800" width="8.7109375" style="97"/>
    <col min="12801" max="12801" width="2.85546875" style="97" customWidth="1"/>
    <col min="12802" max="12802" width="1.28515625" style="97" customWidth="1"/>
    <col min="12803" max="12803" width="32.5703125" style="97" customWidth="1"/>
    <col min="12804" max="12807" width="6.140625" style="97" customWidth="1"/>
    <col min="12808" max="12808" width="8.140625" style="97" customWidth="1"/>
    <col min="12809" max="12811" width="6.140625" style="97" customWidth="1"/>
    <col min="12812" max="12812" width="4.42578125" style="97" customWidth="1"/>
    <col min="12813" max="12813" width="1.5703125" style="97" customWidth="1"/>
    <col min="12814" max="12814" width="9.5703125" style="97" customWidth="1"/>
    <col min="12815" max="12818" width="6.140625" style="97" customWidth="1"/>
    <col min="12819" max="12819" width="9.5703125" style="97" customWidth="1"/>
    <col min="12820" max="12823" width="6.140625" style="97" customWidth="1"/>
    <col min="12824" max="12824" width="9.5703125" style="97" customWidth="1"/>
    <col min="12825" max="12828" width="6.140625" style="97" customWidth="1"/>
    <col min="12829" max="12829" width="9.5703125" style="97" customWidth="1"/>
    <col min="12830" max="12833" width="6.140625" style="97" customWidth="1"/>
    <col min="12834" max="12834" width="9.5703125" style="97" customWidth="1"/>
    <col min="12835" max="12835" width="7.7109375" style="97" customWidth="1"/>
    <col min="12836" max="12836" width="9.5703125" style="97" customWidth="1"/>
    <col min="12837" max="12837" width="8.28515625" style="97" customWidth="1"/>
    <col min="12838" max="12839" width="9.42578125" style="97" customWidth="1"/>
    <col min="12840" max="12840" width="9" style="97" customWidth="1"/>
    <col min="12841" max="12843" width="8.28515625" style="97" customWidth="1"/>
    <col min="12844" max="12844" width="7.85546875" style="97" customWidth="1"/>
    <col min="12845" max="12848" width="0" style="97" hidden="1" customWidth="1"/>
    <col min="12849" max="12849" width="7.85546875" style="97" customWidth="1"/>
    <col min="12850" max="12853" width="0" style="97" hidden="1" customWidth="1"/>
    <col min="12854" max="12854" width="7.85546875" style="97" customWidth="1"/>
    <col min="12855" max="12858" width="0" style="97" hidden="1" customWidth="1"/>
    <col min="12859" max="12859" width="8.28515625" style="97" customWidth="1"/>
    <col min="12860" max="12860" width="0" style="97" hidden="1" customWidth="1"/>
    <col min="12861" max="12870" width="8.28515625" style="97" customWidth="1"/>
    <col min="12871" max="12871" width="0" style="97" hidden="1" customWidth="1"/>
    <col min="12872" max="12872" width="2.5703125" style="97" customWidth="1"/>
    <col min="12873" max="12873" width="31.28515625" style="97" customWidth="1"/>
    <col min="12874" max="12874" width="4.28515625" style="97" customWidth="1"/>
    <col min="12875" max="12875" width="17.140625" style="97" customWidth="1"/>
    <col min="12876" max="13056" width="8.7109375" style="97"/>
    <col min="13057" max="13057" width="2.85546875" style="97" customWidth="1"/>
    <col min="13058" max="13058" width="1.28515625" style="97" customWidth="1"/>
    <col min="13059" max="13059" width="32.5703125" style="97" customWidth="1"/>
    <col min="13060" max="13063" width="6.140625" style="97" customWidth="1"/>
    <col min="13064" max="13064" width="8.140625" style="97" customWidth="1"/>
    <col min="13065" max="13067" width="6.140625" style="97" customWidth="1"/>
    <col min="13068" max="13068" width="4.42578125" style="97" customWidth="1"/>
    <col min="13069" max="13069" width="1.5703125" style="97" customWidth="1"/>
    <col min="13070" max="13070" width="9.5703125" style="97" customWidth="1"/>
    <col min="13071" max="13074" width="6.140625" style="97" customWidth="1"/>
    <col min="13075" max="13075" width="9.5703125" style="97" customWidth="1"/>
    <col min="13076" max="13079" width="6.140625" style="97" customWidth="1"/>
    <col min="13080" max="13080" width="9.5703125" style="97" customWidth="1"/>
    <col min="13081" max="13084" width="6.140625" style="97" customWidth="1"/>
    <col min="13085" max="13085" width="9.5703125" style="97" customWidth="1"/>
    <col min="13086" max="13089" width="6.140625" style="97" customWidth="1"/>
    <col min="13090" max="13090" width="9.5703125" style="97" customWidth="1"/>
    <col min="13091" max="13091" width="7.7109375" style="97" customWidth="1"/>
    <col min="13092" max="13092" width="9.5703125" style="97" customWidth="1"/>
    <col min="13093" max="13093" width="8.28515625" style="97" customWidth="1"/>
    <col min="13094" max="13095" width="9.42578125" style="97" customWidth="1"/>
    <col min="13096" max="13096" width="9" style="97" customWidth="1"/>
    <col min="13097" max="13099" width="8.28515625" style="97" customWidth="1"/>
    <col min="13100" max="13100" width="7.85546875" style="97" customWidth="1"/>
    <col min="13101" max="13104" width="0" style="97" hidden="1" customWidth="1"/>
    <col min="13105" max="13105" width="7.85546875" style="97" customWidth="1"/>
    <col min="13106" max="13109" width="0" style="97" hidden="1" customWidth="1"/>
    <col min="13110" max="13110" width="7.85546875" style="97" customWidth="1"/>
    <col min="13111" max="13114" width="0" style="97" hidden="1" customWidth="1"/>
    <col min="13115" max="13115" width="8.28515625" style="97" customWidth="1"/>
    <col min="13116" max="13116" width="0" style="97" hidden="1" customWidth="1"/>
    <col min="13117" max="13126" width="8.28515625" style="97" customWidth="1"/>
    <col min="13127" max="13127" width="0" style="97" hidden="1" customWidth="1"/>
    <col min="13128" max="13128" width="2.5703125" style="97" customWidth="1"/>
    <col min="13129" max="13129" width="31.28515625" style="97" customWidth="1"/>
    <col min="13130" max="13130" width="4.28515625" style="97" customWidth="1"/>
    <col min="13131" max="13131" width="17.140625" style="97" customWidth="1"/>
    <col min="13132" max="13312" width="8.7109375" style="97"/>
    <col min="13313" max="13313" width="2.85546875" style="97" customWidth="1"/>
    <col min="13314" max="13314" width="1.28515625" style="97" customWidth="1"/>
    <col min="13315" max="13315" width="32.5703125" style="97" customWidth="1"/>
    <col min="13316" max="13319" width="6.140625" style="97" customWidth="1"/>
    <col min="13320" max="13320" width="8.140625" style="97" customWidth="1"/>
    <col min="13321" max="13323" width="6.140625" style="97" customWidth="1"/>
    <col min="13324" max="13324" width="4.42578125" style="97" customWidth="1"/>
    <col min="13325" max="13325" width="1.5703125" style="97" customWidth="1"/>
    <col min="13326" max="13326" width="9.5703125" style="97" customWidth="1"/>
    <col min="13327" max="13330" width="6.140625" style="97" customWidth="1"/>
    <col min="13331" max="13331" width="9.5703125" style="97" customWidth="1"/>
    <col min="13332" max="13335" width="6.140625" style="97" customWidth="1"/>
    <col min="13336" max="13336" width="9.5703125" style="97" customWidth="1"/>
    <col min="13337" max="13340" width="6.140625" style="97" customWidth="1"/>
    <col min="13341" max="13341" width="9.5703125" style="97" customWidth="1"/>
    <col min="13342" max="13345" width="6.140625" style="97" customWidth="1"/>
    <col min="13346" max="13346" width="9.5703125" style="97" customWidth="1"/>
    <col min="13347" max="13347" width="7.7109375" style="97" customWidth="1"/>
    <col min="13348" max="13348" width="9.5703125" style="97" customWidth="1"/>
    <col min="13349" max="13349" width="8.28515625" style="97" customWidth="1"/>
    <col min="13350" max="13351" width="9.42578125" style="97" customWidth="1"/>
    <col min="13352" max="13352" width="9" style="97" customWidth="1"/>
    <col min="13353" max="13355" width="8.28515625" style="97" customWidth="1"/>
    <col min="13356" max="13356" width="7.85546875" style="97" customWidth="1"/>
    <col min="13357" max="13360" width="0" style="97" hidden="1" customWidth="1"/>
    <col min="13361" max="13361" width="7.85546875" style="97" customWidth="1"/>
    <col min="13362" max="13365" width="0" style="97" hidden="1" customWidth="1"/>
    <col min="13366" max="13366" width="7.85546875" style="97" customWidth="1"/>
    <col min="13367" max="13370" width="0" style="97" hidden="1" customWidth="1"/>
    <col min="13371" max="13371" width="8.28515625" style="97" customWidth="1"/>
    <col min="13372" max="13372" width="0" style="97" hidden="1" customWidth="1"/>
    <col min="13373" max="13382" width="8.28515625" style="97" customWidth="1"/>
    <col min="13383" max="13383" width="0" style="97" hidden="1" customWidth="1"/>
    <col min="13384" max="13384" width="2.5703125" style="97" customWidth="1"/>
    <col min="13385" max="13385" width="31.28515625" style="97" customWidth="1"/>
    <col min="13386" max="13386" width="4.28515625" style="97" customWidth="1"/>
    <col min="13387" max="13387" width="17.140625" style="97" customWidth="1"/>
    <col min="13388" max="13568" width="8.7109375" style="97"/>
    <col min="13569" max="13569" width="2.85546875" style="97" customWidth="1"/>
    <col min="13570" max="13570" width="1.28515625" style="97" customWidth="1"/>
    <col min="13571" max="13571" width="32.5703125" style="97" customWidth="1"/>
    <col min="13572" max="13575" width="6.140625" style="97" customWidth="1"/>
    <col min="13576" max="13576" width="8.140625" style="97" customWidth="1"/>
    <col min="13577" max="13579" width="6.140625" style="97" customWidth="1"/>
    <col min="13580" max="13580" width="4.42578125" style="97" customWidth="1"/>
    <col min="13581" max="13581" width="1.5703125" style="97" customWidth="1"/>
    <col min="13582" max="13582" width="9.5703125" style="97" customWidth="1"/>
    <col min="13583" max="13586" width="6.140625" style="97" customWidth="1"/>
    <col min="13587" max="13587" width="9.5703125" style="97" customWidth="1"/>
    <col min="13588" max="13591" width="6.140625" style="97" customWidth="1"/>
    <col min="13592" max="13592" width="9.5703125" style="97" customWidth="1"/>
    <col min="13593" max="13596" width="6.140625" style="97" customWidth="1"/>
    <col min="13597" max="13597" width="9.5703125" style="97" customWidth="1"/>
    <col min="13598" max="13601" width="6.140625" style="97" customWidth="1"/>
    <col min="13602" max="13602" width="9.5703125" style="97" customWidth="1"/>
    <col min="13603" max="13603" width="7.7109375" style="97" customWidth="1"/>
    <col min="13604" max="13604" width="9.5703125" style="97" customWidth="1"/>
    <col min="13605" max="13605" width="8.28515625" style="97" customWidth="1"/>
    <col min="13606" max="13607" width="9.42578125" style="97" customWidth="1"/>
    <col min="13608" max="13608" width="9" style="97" customWidth="1"/>
    <col min="13609" max="13611" width="8.28515625" style="97" customWidth="1"/>
    <col min="13612" max="13612" width="7.85546875" style="97" customWidth="1"/>
    <col min="13613" max="13616" width="0" style="97" hidden="1" customWidth="1"/>
    <col min="13617" max="13617" width="7.85546875" style="97" customWidth="1"/>
    <col min="13618" max="13621" width="0" style="97" hidden="1" customWidth="1"/>
    <col min="13622" max="13622" width="7.85546875" style="97" customWidth="1"/>
    <col min="13623" max="13626" width="0" style="97" hidden="1" customWidth="1"/>
    <col min="13627" max="13627" width="8.28515625" style="97" customWidth="1"/>
    <col min="13628" max="13628" width="0" style="97" hidden="1" customWidth="1"/>
    <col min="13629" max="13638" width="8.28515625" style="97" customWidth="1"/>
    <col min="13639" max="13639" width="0" style="97" hidden="1" customWidth="1"/>
    <col min="13640" max="13640" width="2.5703125" style="97" customWidth="1"/>
    <col min="13641" max="13641" width="31.28515625" style="97" customWidth="1"/>
    <col min="13642" max="13642" width="4.28515625" style="97" customWidth="1"/>
    <col min="13643" max="13643" width="17.140625" style="97" customWidth="1"/>
    <col min="13644" max="13824" width="8.7109375" style="97"/>
    <col min="13825" max="13825" width="2.85546875" style="97" customWidth="1"/>
    <col min="13826" max="13826" width="1.28515625" style="97" customWidth="1"/>
    <col min="13827" max="13827" width="32.5703125" style="97" customWidth="1"/>
    <col min="13828" max="13831" width="6.140625" style="97" customWidth="1"/>
    <col min="13832" max="13832" width="8.140625" style="97" customWidth="1"/>
    <col min="13833" max="13835" width="6.140625" style="97" customWidth="1"/>
    <col min="13836" max="13836" width="4.42578125" style="97" customWidth="1"/>
    <col min="13837" max="13837" width="1.5703125" style="97" customWidth="1"/>
    <col min="13838" max="13838" width="9.5703125" style="97" customWidth="1"/>
    <col min="13839" max="13842" width="6.140625" style="97" customWidth="1"/>
    <col min="13843" max="13843" width="9.5703125" style="97" customWidth="1"/>
    <col min="13844" max="13847" width="6.140625" style="97" customWidth="1"/>
    <col min="13848" max="13848" width="9.5703125" style="97" customWidth="1"/>
    <col min="13849" max="13852" width="6.140625" style="97" customWidth="1"/>
    <col min="13853" max="13853" width="9.5703125" style="97" customWidth="1"/>
    <col min="13854" max="13857" width="6.140625" style="97" customWidth="1"/>
    <col min="13858" max="13858" width="9.5703125" style="97" customWidth="1"/>
    <col min="13859" max="13859" width="7.7109375" style="97" customWidth="1"/>
    <col min="13860" max="13860" width="9.5703125" style="97" customWidth="1"/>
    <col min="13861" max="13861" width="8.28515625" style="97" customWidth="1"/>
    <col min="13862" max="13863" width="9.42578125" style="97" customWidth="1"/>
    <col min="13864" max="13864" width="9" style="97" customWidth="1"/>
    <col min="13865" max="13867" width="8.28515625" style="97" customWidth="1"/>
    <col min="13868" max="13868" width="7.85546875" style="97" customWidth="1"/>
    <col min="13869" max="13872" width="0" style="97" hidden="1" customWidth="1"/>
    <col min="13873" max="13873" width="7.85546875" style="97" customWidth="1"/>
    <col min="13874" max="13877" width="0" style="97" hidden="1" customWidth="1"/>
    <col min="13878" max="13878" width="7.85546875" style="97" customWidth="1"/>
    <col min="13879" max="13882" width="0" style="97" hidden="1" customWidth="1"/>
    <col min="13883" max="13883" width="8.28515625" style="97" customWidth="1"/>
    <col min="13884" max="13884" width="0" style="97" hidden="1" customWidth="1"/>
    <col min="13885" max="13894" width="8.28515625" style="97" customWidth="1"/>
    <col min="13895" max="13895" width="0" style="97" hidden="1" customWidth="1"/>
    <col min="13896" max="13896" width="2.5703125" style="97" customWidth="1"/>
    <col min="13897" max="13897" width="31.28515625" style="97" customWidth="1"/>
    <col min="13898" max="13898" width="4.28515625" style="97" customWidth="1"/>
    <col min="13899" max="13899" width="17.140625" style="97" customWidth="1"/>
    <col min="13900" max="14080" width="8.7109375" style="97"/>
    <col min="14081" max="14081" width="2.85546875" style="97" customWidth="1"/>
    <col min="14082" max="14082" width="1.28515625" style="97" customWidth="1"/>
    <col min="14083" max="14083" width="32.5703125" style="97" customWidth="1"/>
    <col min="14084" max="14087" width="6.140625" style="97" customWidth="1"/>
    <col min="14088" max="14088" width="8.140625" style="97" customWidth="1"/>
    <col min="14089" max="14091" width="6.140625" style="97" customWidth="1"/>
    <col min="14092" max="14092" width="4.42578125" style="97" customWidth="1"/>
    <col min="14093" max="14093" width="1.5703125" style="97" customWidth="1"/>
    <col min="14094" max="14094" width="9.5703125" style="97" customWidth="1"/>
    <col min="14095" max="14098" width="6.140625" style="97" customWidth="1"/>
    <col min="14099" max="14099" width="9.5703125" style="97" customWidth="1"/>
    <col min="14100" max="14103" width="6.140625" style="97" customWidth="1"/>
    <col min="14104" max="14104" width="9.5703125" style="97" customWidth="1"/>
    <col min="14105" max="14108" width="6.140625" style="97" customWidth="1"/>
    <col min="14109" max="14109" width="9.5703125" style="97" customWidth="1"/>
    <col min="14110" max="14113" width="6.140625" style="97" customWidth="1"/>
    <col min="14114" max="14114" width="9.5703125" style="97" customWidth="1"/>
    <col min="14115" max="14115" width="7.7109375" style="97" customWidth="1"/>
    <col min="14116" max="14116" width="9.5703125" style="97" customWidth="1"/>
    <col min="14117" max="14117" width="8.28515625" style="97" customWidth="1"/>
    <col min="14118" max="14119" width="9.42578125" style="97" customWidth="1"/>
    <col min="14120" max="14120" width="9" style="97" customWidth="1"/>
    <col min="14121" max="14123" width="8.28515625" style="97" customWidth="1"/>
    <col min="14124" max="14124" width="7.85546875" style="97" customWidth="1"/>
    <col min="14125" max="14128" width="0" style="97" hidden="1" customWidth="1"/>
    <col min="14129" max="14129" width="7.85546875" style="97" customWidth="1"/>
    <col min="14130" max="14133" width="0" style="97" hidden="1" customWidth="1"/>
    <col min="14134" max="14134" width="7.85546875" style="97" customWidth="1"/>
    <col min="14135" max="14138" width="0" style="97" hidden="1" customWidth="1"/>
    <col min="14139" max="14139" width="8.28515625" style="97" customWidth="1"/>
    <col min="14140" max="14140" width="0" style="97" hidden="1" customWidth="1"/>
    <col min="14141" max="14150" width="8.28515625" style="97" customWidth="1"/>
    <col min="14151" max="14151" width="0" style="97" hidden="1" customWidth="1"/>
    <col min="14152" max="14152" width="2.5703125" style="97" customWidth="1"/>
    <col min="14153" max="14153" width="31.28515625" style="97" customWidth="1"/>
    <col min="14154" max="14154" width="4.28515625" style="97" customWidth="1"/>
    <col min="14155" max="14155" width="17.140625" style="97" customWidth="1"/>
    <col min="14156" max="14336" width="8.7109375" style="97"/>
    <col min="14337" max="14337" width="2.85546875" style="97" customWidth="1"/>
    <col min="14338" max="14338" width="1.28515625" style="97" customWidth="1"/>
    <col min="14339" max="14339" width="32.5703125" style="97" customWidth="1"/>
    <col min="14340" max="14343" width="6.140625" style="97" customWidth="1"/>
    <col min="14344" max="14344" width="8.140625" style="97" customWidth="1"/>
    <col min="14345" max="14347" width="6.140625" style="97" customWidth="1"/>
    <col min="14348" max="14348" width="4.42578125" style="97" customWidth="1"/>
    <col min="14349" max="14349" width="1.5703125" style="97" customWidth="1"/>
    <col min="14350" max="14350" width="9.5703125" style="97" customWidth="1"/>
    <col min="14351" max="14354" width="6.140625" style="97" customWidth="1"/>
    <col min="14355" max="14355" width="9.5703125" style="97" customWidth="1"/>
    <col min="14356" max="14359" width="6.140625" style="97" customWidth="1"/>
    <col min="14360" max="14360" width="9.5703125" style="97" customWidth="1"/>
    <col min="14361" max="14364" width="6.140625" style="97" customWidth="1"/>
    <col min="14365" max="14365" width="9.5703125" style="97" customWidth="1"/>
    <col min="14366" max="14369" width="6.140625" style="97" customWidth="1"/>
    <col min="14370" max="14370" width="9.5703125" style="97" customWidth="1"/>
    <col min="14371" max="14371" width="7.7109375" style="97" customWidth="1"/>
    <col min="14372" max="14372" width="9.5703125" style="97" customWidth="1"/>
    <col min="14373" max="14373" width="8.28515625" style="97" customWidth="1"/>
    <col min="14374" max="14375" width="9.42578125" style="97" customWidth="1"/>
    <col min="14376" max="14376" width="9" style="97" customWidth="1"/>
    <col min="14377" max="14379" width="8.28515625" style="97" customWidth="1"/>
    <col min="14380" max="14380" width="7.85546875" style="97" customWidth="1"/>
    <col min="14381" max="14384" width="0" style="97" hidden="1" customWidth="1"/>
    <col min="14385" max="14385" width="7.85546875" style="97" customWidth="1"/>
    <col min="14386" max="14389" width="0" style="97" hidden="1" customWidth="1"/>
    <col min="14390" max="14390" width="7.85546875" style="97" customWidth="1"/>
    <col min="14391" max="14394" width="0" style="97" hidden="1" customWidth="1"/>
    <col min="14395" max="14395" width="8.28515625" style="97" customWidth="1"/>
    <col min="14396" max="14396" width="0" style="97" hidden="1" customWidth="1"/>
    <col min="14397" max="14406" width="8.28515625" style="97" customWidth="1"/>
    <col min="14407" max="14407" width="0" style="97" hidden="1" customWidth="1"/>
    <col min="14408" max="14408" width="2.5703125" style="97" customWidth="1"/>
    <col min="14409" max="14409" width="31.28515625" style="97" customWidth="1"/>
    <col min="14410" max="14410" width="4.28515625" style="97" customWidth="1"/>
    <col min="14411" max="14411" width="17.140625" style="97" customWidth="1"/>
    <col min="14412" max="14592" width="8.7109375" style="97"/>
    <col min="14593" max="14593" width="2.85546875" style="97" customWidth="1"/>
    <col min="14594" max="14594" width="1.28515625" style="97" customWidth="1"/>
    <col min="14595" max="14595" width="32.5703125" style="97" customWidth="1"/>
    <col min="14596" max="14599" width="6.140625" style="97" customWidth="1"/>
    <col min="14600" max="14600" width="8.140625" style="97" customWidth="1"/>
    <col min="14601" max="14603" width="6.140625" style="97" customWidth="1"/>
    <col min="14604" max="14604" width="4.42578125" style="97" customWidth="1"/>
    <col min="14605" max="14605" width="1.5703125" style="97" customWidth="1"/>
    <col min="14606" max="14606" width="9.5703125" style="97" customWidth="1"/>
    <col min="14607" max="14610" width="6.140625" style="97" customWidth="1"/>
    <col min="14611" max="14611" width="9.5703125" style="97" customWidth="1"/>
    <col min="14612" max="14615" width="6.140625" style="97" customWidth="1"/>
    <col min="14616" max="14616" width="9.5703125" style="97" customWidth="1"/>
    <col min="14617" max="14620" width="6.140625" style="97" customWidth="1"/>
    <col min="14621" max="14621" width="9.5703125" style="97" customWidth="1"/>
    <col min="14622" max="14625" width="6.140625" style="97" customWidth="1"/>
    <col min="14626" max="14626" width="9.5703125" style="97" customWidth="1"/>
    <col min="14627" max="14627" width="7.7109375" style="97" customWidth="1"/>
    <col min="14628" max="14628" width="9.5703125" style="97" customWidth="1"/>
    <col min="14629" max="14629" width="8.28515625" style="97" customWidth="1"/>
    <col min="14630" max="14631" width="9.42578125" style="97" customWidth="1"/>
    <col min="14632" max="14632" width="9" style="97" customWidth="1"/>
    <col min="14633" max="14635" width="8.28515625" style="97" customWidth="1"/>
    <col min="14636" max="14636" width="7.85546875" style="97" customWidth="1"/>
    <col min="14637" max="14640" width="0" style="97" hidden="1" customWidth="1"/>
    <col min="14641" max="14641" width="7.85546875" style="97" customWidth="1"/>
    <col min="14642" max="14645" width="0" style="97" hidden="1" customWidth="1"/>
    <col min="14646" max="14646" width="7.85546875" style="97" customWidth="1"/>
    <col min="14647" max="14650" width="0" style="97" hidden="1" customWidth="1"/>
    <col min="14651" max="14651" width="8.28515625" style="97" customWidth="1"/>
    <col min="14652" max="14652" width="0" style="97" hidden="1" customWidth="1"/>
    <col min="14653" max="14662" width="8.28515625" style="97" customWidth="1"/>
    <col min="14663" max="14663" width="0" style="97" hidden="1" customWidth="1"/>
    <col min="14664" max="14664" width="2.5703125" style="97" customWidth="1"/>
    <col min="14665" max="14665" width="31.28515625" style="97" customWidth="1"/>
    <col min="14666" max="14666" width="4.28515625" style="97" customWidth="1"/>
    <col min="14667" max="14667" width="17.140625" style="97" customWidth="1"/>
    <col min="14668" max="14848" width="8.7109375" style="97"/>
    <col min="14849" max="14849" width="2.85546875" style="97" customWidth="1"/>
    <col min="14850" max="14850" width="1.28515625" style="97" customWidth="1"/>
    <col min="14851" max="14851" width="32.5703125" style="97" customWidth="1"/>
    <col min="14852" max="14855" width="6.140625" style="97" customWidth="1"/>
    <col min="14856" max="14856" width="8.140625" style="97" customWidth="1"/>
    <col min="14857" max="14859" width="6.140625" style="97" customWidth="1"/>
    <col min="14860" max="14860" width="4.42578125" style="97" customWidth="1"/>
    <col min="14861" max="14861" width="1.5703125" style="97" customWidth="1"/>
    <col min="14862" max="14862" width="9.5703125" style="97" customWidth="1"/>
    <col min="14863" max="14866" width="6.140625" style="97" customWidth="1"/>
    <col min="14867" max="14867" width="9.5703125" style="97" customWidth="1"/>
    <col min="14868" max="14871" width="6.140625" style="97" customWidth="1"/>
    <col min="14872" max="14872" width="9.5703125" style="97" customWidth="1"/>
    <col min="14873" max="14876" width="6.140625" style="97" customWidth="1"/>
    <col min="14877" max="14877" width="9.5703125" style="97" customWidth="1"/>
    <col min="14878" max="14881" width="6.140625" style="97" customWidth="1"/>
    <col min="14882" max="14882" width="9.5703125" style="97" customWidth="1"/>
    <col min="14883" max="14883" width="7.7109375" style="97" customWidth="1"/>
    <col min="14884" max="14884" width="9.5703125" style="97" customWidth="1"/>
    <col min="14885" max="14885" width="8.28515625" style="97" customWidth="1"/>
    <col min="14886" max="14887" width="9.42578125" style="97" customWidth="1"/>
    <col min="14888" max="14888" width="9" style="97" customWidth="1"/>
    <col min="14889" max="14891" width="8.28515625" style="97" customWidth="1"/>
    <col min="14892" max="14892" width="7.85546875" style="97" customWidth="1"/>
    <col min="14893" max="14896" width="0" style="97" hidden="1" customWidth="1"/>
    <col min="14897" max="14897" width="7.85546875" style="97" customWidth="1"/>
    <col min="14898" max="14901" width="0" style="97" hidden="1" customWidth="1"/>
    <col min="14902" max="14902" width="7.85546875" style="97" customWidth="1"/>
    <col min="14903" max="14906" width="0" style="97" hidden="1" customWidth="1"/>
    <col min="14907" max="14907" width="8.28515625" style="97" customWidth="1"/>
    <col min="14908" max="14908" width="0" style="97" hidden="1" customWidth="1"/>
    <col min="14909" max="14918" width="8.28515625" style="97" customWidth="1"/>
    <col min="14919" max="14919" width="0" style="97" hidden="1" customWidth="1"/>
    <col min="14920" max="14920" width="2.5703125" style="97" customWidth="1"/>
    <col min="14921" max="14921" width="31.28515625" style="97" customWidth="1"/>
    <col min="14922" max="14922" width="4.28515625" style="97" customWidth="1"/>
    <col min="14923" max="14923" width="17.140625" style="97" customWidth="1"/>
    <col min="14924" max="15104" width="8.7109375" style="97"/>
    <col min="15105" max="15105" width="2.85546875" style="97" customWidth="1"/>
    <col min="15106" max="15106" width="1.28515625" style="97" customWidth="1"/>
    <col min="15107" max="15107" width="32.5703125" style="97" customWidth="1"/>
    <col min="15108" max="15111" width="6.140625" style="97" customWidth="1"/>
    <col min="15112" max="15112" width="8.140625" style="97" customWidth="1"/>
    <col min="15113" max="15115" width="6.140625" style="97" customWidth="1"/>
    <col min="15116" max="15116" width="4.42578125" style="97" customWidth="1"/>
    <col min="15117" max="15117" width="1.5703125" style="97" customWidth="1"/>
    <col min="15118" max="15118" width="9.5703125" style="97" customWidth="1"/>
    <col min="15119" max="15122" width="6.140625" style="97" customWidth="1"/>
    <col min="15123" max="15123" width="9.5703125" style="97" customWidth="1"/>
    <col min="15124" max="15127" width="6.140625" style="97" customWidth="1"/>
    <col min="15128" max="15128" width="9.5703125" style="97" customWidth="1"/>
    <col min="15129" max="15132" width="6.140625" style="97" customWidth="1"/>
    <col min="15133" max="15133" width="9.5703125" style="97" customWidth="1"/>
    <col min="15134" max="15137" width="6.140625" style="97" customWidth="1"/>
    <col min="15138" max="15138" width="9.5703125" style="97" customWidth="1"/>
    <col min="15139" max="15139" width="7.7109375" style="97" customWidth="1"/>
    <col min="15140" max="15140" width="9.5703125" style="97" customWidth="1"/>
    <col min="15141" max="15141" width="8.28515625" style="97" customWidth="1"/>
    <col min="15142" max="15143" width="9.42578125" style="97" customWidth="1"/>
    <col min="15144" max="15144" width="9" style="97" customWidth="1"/>
    <col min="15145" max="15147" width="8.28515625" style="97" customWidth="1"/>
    <col min="15148" max="15148" width="7.85546875" style="97" customWidth="1"/>
    <col min="15149" max="15152" width="0" style="97" hidden="1" customWidth="1"/>
    <col min="15153" max="15153" width="7.85546875" style="97" customWidth="1"/>
    <col min="15154" max="15157" width="0" style="97" hidden="1" customWidth="1"/>
    <col min="15158" max="15158" width="7.85546875" style="97" customWidth="1"/>
    <col min="15159" max="15162" width="0" style="97" hidden="1" customWidth="1"/>
    <col min="15163" max="15163" width="8.28515625" style="97" customWidth="1"/>
    <col min="15164" max="15164" width="0" style="97" hidden="1" customWidth="1"/>
    <col min="15165" max="15174" width="8.28515625" style="97" customWidth="1"/>
    <col min="15175" max="15175" width="0" style="97" hidden="1" customWidth="1"/>
    <col min="15176" max="15176" width="2.5703125" style="97" customWidth="1"/>
    <col min="15177" max="15177" width="31.28515625" style="97" customWidth="1"/>
    <col min="15178" max="15178" width="4.28515625" style="97" customWidth="1"/>
    <col min="15179" max="15179" width="17.140625" style="97" customWidth="1"/>
    <col min="15180" max="15360" width="8.7109375" style="97"/>
    <col min="15361" max="15361" width="2.85546875" style="97" customWidth="1"/>
    <col min="15362" max="15362" width="1.28515625" style="97" customWidth="1"/>
    <col min="15363" max="15363" width="32.5703125" style="97" customWidth="1"/>
    <col min="15364" max="15367" width="6.140625" style="97" customWidth="1"/>
    <col min="15368" max="15368" width="8.140625" style="97" customWidth="1"/>
    <col min="15369" max="15371" width="6.140625" style="97" customWidth="1"/>
    <col min="15372" max="15372" width="4.42578125" style="97" customWidth="1"/>
    <col min="15373" max="15373" width="1.5703125" style="97" customWidth="1"/>
    <col min="15374" max="15374" width="9.5703125" style="97" customWidth="1"/>
    <col min="15375" max="15378" width="6.140625" style="97" customWidth="1"/>
    <col min="15379" max="15379" width="9.5703125" style="97" customWidth="1"/>
    <col min="15380" max="15383" width="6.140625" style="97" customWidth="1"/>
    <col min="15384" max="15384" width="9.5703125" style="97" customWidth="1"/>
    <col min="15385" max="15388" width="6.140625" style="97" customWidth="1"/>
    <col min="15389" max="15389" width="9.5703125" style="97" customWidth="1"/>
    <col min="15390" max="15393" width="6.140625" style="97" customWidth="1"/>
    <col min="15394" max="15394" width="9.5703125" style="97" customWidth="1"/>
    <col min="15395" max="15395" width="7.7109375" style="97" customWidth="1"/>
    <col min="15396" max="15396" width="9.5703125" style="97" customWidth="1"/>
    <col min="15397" max="15397" width="8.28515625" style="97" customWidth="1"/>
    <col min="15398" max="15399" width="9.42578125" style="97" customWidth="1"/>
    <col min="15400" max="15400" width="9" style="97" customWidth="1"/>
    <col min="15401" max="15403" width="8.28515625" style="97" customWidth="1"/>
    <col min="15404" max="15404" width="7.85546875" style="97" customWidth="1"/>
    <col min="15405" max="15408" width="0" style="97" hidden="1" customWidth="1"/>
    <col min="15409" max="15409" width="7.85546875" style="97" customWidth="1"/>
    <col min="15410" max="15413" width="0" style="97" hidden="1" customWidth="1"/>
    <col min="15414" max="15414" width="7.85546875" style="97" customWidth="1"/>
    <col min="15415" max="15418" width="0" style="97" hidden="1" customWidth="1"/>
    <col min="15419" max="15419" width="8.28515625" style="97" customWidth="1"/>
    <col min="15420" max="15420" width="0" style="97" hidden="1" customWidth="1"/>
    <col min="15421" max="15430" width="8.28515625" style="97" customWidth="1"/>
    <col min="15431" max="15431" width="0" style="97" hidden="1" customWidth="1"/>
    <col min="15432" max="15432" width="2.5703125" style="97" customWidth="1"/>
    <col min="15433" max="15433" width="31.28515625" style="97" customWidth="1"/>
    <col min="15434" max="15434" width="4.28515625" style="97" customWidth="1"/>
    <col min="15435" max="15435" width="17.140625" style="97" customWidth="1"/>
    <col min="15436" max="15616" width="8.7109375" style="97"/>
    <col min="15617" max="15617" width="2.85546875" style="97" customWidth="1"/>
    <col min="15618" max="15618" width="1.28515625" style="97" customWidth="1"/>
    <col min="15619" max="15619" width="32.5703125" style="97" customWidth="1"/>
    <col min="15620" max="15623" width="6.140625" style="97" customWidth="1"/>
    <col min="15624" max="15624" width="8.140625" style="97" customWidth="1"/>
    <col min="15625" max="15627" width="6.140625" style="97" customWidth="1"/>
    <col min="15628" max="15628" width="4.42578125" style="97" customWidth="1"/>
    <col min="15629" max="15629" width="1.5703125" style="97" customWidth="1"/>
    <col min="15630" max="15630" width="9.5703125" style="97" customWidth="1"/>
    <col min="15631" max="15634" width="6.140625" style="97" customWidth="1"/>
    <col min="15635" max="15635" width="9.5703125" style="97" customWidth="1"/>
    <col min="15636" max="15639" width="6.140625" style="97" customWidth="1"/>
    <col min="15640" max="15640" width="9.5703125" style="97" customWidth="1"/>
    <col min="15641" max="15644" width="6.140625" style="97" customWidth="1"/>
    <col min="15645" max="15645" width="9.5703125" style="97" customWidth="1"/>
    <col min="15646" max="15649" width="6.140625" style="97" customWidth="1"/>
    <col min="15650" max="15650" width="9.5703125" style="97" customWidth="1"/>
    <col min="15651" max="15651" width="7.7109375" style="97" customWidth="1"/>
    <col min="15652" max="15652" width="9.5703125" style="97" customWidth="1"/>
    <col min="15653" max="15653" width="8.28515625" style="97" customWidth="1"/>
    <col min="15654" max="15655" width="9.42578125" style="97" customWidth="1"/>
    <col min="15656" max="15656" width="9" style="97" customWidth="1"/>
    <col min="15657" max="15659" width="8.28515625" style="97" customWidth="1"/>
    <col min="15660" max="15660" width="7.85546875" style="97" customWidth="1"/>
    <col min="15661" max="15664" width="0" style="97" hidden="1" customWidth="1"/>
    <col min="15665" max="15665" width="7.85546875" style="97" customWidth="1"/>
    <col min="15666" max="15669" width="0" style="97" hidden="1" customWidth="1"/>
    <col min="15670" max="15670" width="7.85546875" style="97" customWidth="1"/>
    <col min="15671" max="15674" width="0" style="97" hidden="1" customWidth="1"/>
    <col min="15675" max="15675" width="8.28515625" style="97" customWidth="1"/>
    <col min="15676" max="15676" width="0" style="97" hidden="1" customWidth="1"/>
    <col min="15677" max="15686" width="8.28515625" style="97" customWidth="1"/>
    <col min="15687" max="15687" width="0" style="97" hidden="1" customWidth="1"/>
    <col min="15688" max="15688" width="2.5703125" style="97" customWidth="1"/>
    <col min="15689" max="15689" width="31.28515625" style="97" customWidth="1"/>
    <col min="15690" max="15690" width="4.28515625" style="97" customWidth="1"/>
    <col min="15691" max="15691" width="17.140625" style="97" customWidth="1"/>
    <col min="15692" max="15872" width="8.7109375" style="97"/>
    <col min="15873" max="15873" width="2.85546875" style="97" customWidth="1"/>
    <col min="15874" max="15874" width="1.28515625" style="97" customWidth="1"/>
    <col min="15875" max="15875" width="32.5703125" style="97" customWidth="1"/>
    <col min="15876" max="15879" width="6.140625" style="97" customWidth="1"/>
    <col min="15880" max="15880" width="8.140625" style="97" customWidth="1"/>
    <col min="15881" max="15883" width="6.140625" style="97" customWidth="1"/>
    <col min="15884" max="15884" width="4.42578125" style="97" customWidth="1"/>
    <col min="15885" max="15885" width="1.5703125" style="97" customWidth="1"/>
    <col min="15886" max="15886" width="9.5703125" style="97" customWidth="1"/>
    <col min="15887" max="15890" width="6.140625" style="97" customWidth="1"/>
    <col min="15891" max="15891" width="9.5703125" style="97" customWidth="1"/>
    <col min="15892" max="15895" width="6.140625" style="97" customWidth="1"/>
    <col min="15896" max="15896" width="9.5703125" style="97" customWidth="1"/>
    <col min="15897" max="15900" width="6.140625" style="97" customWidth="1"/>
    <col min="15901" max="15901" width="9.5703125" style="97" customWidth="1"/>
    <col min="15902" max="15905" width="6.140625" style="97" customWidth="1"/>
    <col min="15906" max="15906" width="9.5703125" style="97" customWidth="1"/>
    <col min="15907" max="15907" width="7.7109375" style="97" customWidth="1"/>
    <col min="15908" max="15908" width="9.5703125" style="97" customWidth="1"/>
    <col min="15909" max="15909" width="8.28515625" style="97" customWidth="1"/>
    <col min="15910" max="15911" width="9.42578125" style="97" customWidth="1"/>
    <col min="15912" max="15912" width="9" style="97" customWidth="1"/>
    <col min="15913" max="15915" width="8.28515625" style="97" customWidth="1"/>
    <col min="15916" max="15916" width="7.85546875" style="97" customWidth="1"/>
    <col min="15917" max="15920" width="0" style="97" hidden="1" customWidth="1"/>
    <col min="15921" max="15921" width="7.85546875" style="97" customWidth="1"/>
    <col min="15922" max="15925" width="0" style="97" hidden="1" customWidth="1"/>
    <col min="15926" max="15926" width="7.85546875" style="97" customWidth="1"/>
    <col min="15927" max="15930" width="0" style="97" hidden="1" customWidth="1"/>
    <col min="15931" max="15931" width="8.28515625" style="97" customWidth="1"/>
    <col min="15932" max="15932" width="0" style="97" hidden="1" customWidth="1"/>
    <col min="15933" max="15942" width="8.28515625" style="97" customWidth="1"/>
    <col min="15943" max="15943" width="0" style="97" hidden="1" customWidth="1"/>
    <col min="15944" max="15944" width="2.5703125" style="97" customWidth="1"/>
    <col min="15945" max="15945" width="31.28515625" style="97" customWidth="1"/>
    <col min="15946" max="15946" width="4.28515625" style="97" customWidth="1"/>
    <col min="15947" max="15947" width="17.140625" style="97" customWidth="1"/>
    <col min="15948" max="16128" width="8.7109375" style="97"/>
    <col min="16129" max="16129" width="2.85546875" style="97" customWidth="1"/>
    <col min="16130" max="16130" width="1.28515625" style="97" customWidth="1"/>
    <col min="16131" max="16131" width="32.5703125" style="97" customWidth="1"/>
    <col min="16132" max="16135" width="6.140625" style="97" customWidth="1"/>
    <col min="16136" max="16136" width="8.140625" style="97" customWidth="1"/>
    <col min="16137" max="16139" width="6.140625" style="97" customWidth="1"/>
    <col min="16140" max="16140" width="4.42578125" style="97" customWidth="1"/>
    <col min="16141" max="16141" width="1.5703125" style="97" customWidth="1"/>
    <col min="16142" max="16142" width="9.5703125" style="97" customWidth="1"/>
    <col min="16143" max="16146" width="6.140625" style="97" customWidth="1"/>
    <col min="16147" max="16147" width="9.5703125" style="97" customWidth="1"/>
    <col min="16148" max="16151" width="6.140625" style="97" customWidth="1"/>
    <col min="16152" max="16152" width="9.5703125" style="97" customWidth="1"/>
    <col min="16153" max="16156" width="6.140625" style="97" customWidth="1"/>
    <col min="16157" max="16157" width="9.5703125" style="97" customWidth="1"/>
    <col min="16158" max="16161" width="6.140625" style="97" customWidth="1"/>
    <col min="16162" max="16162" width="9.5703125" style="97" customWidth="1"/>
    <col min="16163" max="16163" width="7.7109375" style="97" customWidth="1"/>
    <col min="16164" max="16164" width="9.5703125" style="97" customWidth="1"/>
    <col min="16165" max="16165" width="8.28515625" style="97" customWidth="1"/>
    <col min="16166" max="16167" width="9.42578125" style="97" customWidth="1"/>
    <col min="16168" max="16168" width="9" style="97" customWidth="1"/>
    <col min="16169" max="16171" width="8.28515625" style="97" customWidth="1"/>
    <col min="16172" max="16172" width="7.85546875" style="97" customWidth="1"/>
    <col min="16173" max="16176" width="0" style="97" hidden="1" customWidth="1"/>
    <col min="16177" max="16177" width="7.85546875" style="97" customWidth="1"/>
    <col min="16178" max="16181" width="0" style="97" hidden="1" customWidth="1"/>
    <col min="16182" max="16182" width="7.85546875" style="97" customWidth="1"/>
    <col min="16183" max="16186" width="0" style="97" hidden="1" customWidth="1"/>
    <col min="16187" max="16187" width="8.28515625" style="97" customWidth="1"/>
    <col min="16188" max="16188" width="0" style="97" hidden="1" customWidth="1"/>
    <col min="16189" max="16198" width="8.28515625" style="97" customWidth="1"/>
    <col min="16199" max="16199" width="0" style="97" hidden="1" customWidth="1"/>
    <col min="16200" max="16200" width="2.5703125" style="97" customWidth="1"/>
    <col min="16201" max="16201" width="31.28515625" style="97" customWidth="1"/>
    <col min="16202" max="16202" width="4.28515625" style="97" customWidth="1"/>
    <col min="16203" max="16203" width="17.140625" style="97" customWidth="1"/>
    <col min="16204" max="16384" width="8.7109375" style="97"/>
  </cols>
  <sheetData>
    <row r="1" spans="1:75" ht="12" customHeight="1" x14ac:dyDescent="0.2">
      <c r="A1" s="218" t="s">
        <v>676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  <c r="Y1" s="218"/>
      <c r="Z1" s="218"/>
      <c r="AA1" s="218"/>
      <c r="AB1" s="218"/>
      <c r="AC1" s="218"/>
      <c r="AD1" s="218"/>
      <c r="AE1" s="218"/>
      <c r="AF1" s="218"/>
      <c r="AG1" s="218"/>
      <c r="AH1" s="218"/>
      <c r="AI1" s="218"/>
      <c r="AJ1" s="218"/>
      <c r="AK1" s="218"/>
      <c r="AL1" s="218"/>
      <c r="AM1" s="218"/>
      <c r="AN1" s="218"/>
      <c r="AO1" s="218"/>
      <c r="AP1" s="218"/>
      <c r="AQ1" s="218"/>
      <c r="AR1" s="218"/>
      <c r="AS1" s="218"/>
      <c r="AT1" s="218"/>
      <c r="AU1" s="218"/>
      <c r="AV1" s="218"/>
      <c r="AW1" s="218"/>
      <c r="AX1" s="218"/>
      <c r="AY1" s="218"/>
      <c r="AZ1" s="218"/>
      <c r="BA1" s="218"/>
      <c r="BB1" s="218"/>
      <c r="BC1" s="218"/>
      <c r="BD1" s="218"/>
      <c r="BE1" s="218"/>
      <c r="BF1" s="218"/>
      <c r="BG1" s="218"/>
      <c r="BH1" s="218"/>
      <c r="BI1" s="218"/>
      <c r="BJ1" s="218"/>
      <c r="BK1" s="219" t="s">
        <v>678</v>
      </c>
      <c r="BL1" s="219"/>
      <c r="BM1" s="219"/>
      <c r="BN1" s="219"/>
      <c r="BO1" s="219"/>
      <c r="BP1" s="219"/>
      <c r="BQ1" s="219"/>
      <c r="BR1" s="219"/>
      <c r="BS1" s="219"/>
      <c r="BT1" s="219"/>
      <c r="BU1" s="219"/>
      <c r="BV1" s="219"/>
    </row>
    <row r="2" spans="1:75" ht="12" customHeight="1" x14ac:dyDescent="0.2">
      <c r="A2" s="218" t="s">
        <v>677</v>
      </c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  <c r="AA2" s="218"/>
      <c r="AB2" s="218"/>
      <c r="AC2" s="218"/>
      <c r="AD2" s="218"/>
      <c r="AE2" s="218"/>
      <c r="AF2" s="218"/>
      <c r="AG2" s="218"/>
      <c r="AH2" s="218"/>
      <c r="AI2" s="218"/>
      <c r="AJ2" s="218"/>
      <c r="AK2" s="218"/>
      <c r="AL2" s="218"/>
      <c r="AM2" s="218"/>
      <c r="AN2" s="218"/>
      <c r="AO2" s="218"/>
      <c r="AP2" s="218"/>
      <c r="AQ2" s="218"/>
      <c r="AR2" s="218"/>
      <c r="AS2" s="218"/>
      <c r="AT2" s="218"/>
      <c r="AU2" s="218"/>
      <c r="AV2" s="218"/>
      <c r="AW2" s="218"/>
      <c r="AX2" s="218"/>
      <c r="AY2" s="218"/>
      <c r="AZ2" s="218"/>
      <c r="BA2" s="218"/>
      <c r="BB2" s="218"/>
      <c r="BC2" s="218"/>
      <c r="BD2" s="218"/>
      <c r="BE2" s="218"/>
      <c r="BF2" s="218"/>
      <c r="BG2" s="218"/>
      <c r="BH2" s="218"/>
      <c r="BI2" s="218"/>
      <c r="BJ2" s="218"/>
      <c r="BK2" s="219" t="s">
        <v>679</v>
      </c>
      <c r="BL2" s="219"/>
      <c r="BM2" s="219"/>
      <c r="BN2" s="219"/>
      <c r="BO2" s="219"/>
      <c r="BP2" s="219"/>
      <c r="BQ2" s="219"/>
      <c r="BR2" s="219"/>
      <c r="BS2" s="219"/>
      <c r="BT2" s="219"/>
      <c r="BU2" s="219"/>
      <c r="BV2" s="219"/>
    </row>
    <row r="3" spans="1:75" ht="12" customHeight="1" x14ac:dyDescent="0.2">
      <c r="A3" s="98"/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9"/>
      <c r="AL3" s="99"/>
      <c r="AM3" s="99"/>
      <c r="AN3" s="99"/>
      <c r="AO3" s="99"/>
      <c r="AP3" s="99"/>
      <c r="AQ3" s="99"/>
      <c r="AR3" s="99"/>
      <c r="AS3" s="99"/>
      <c r="AT3" s="99"/>
      <c r="AU3" s="99"/>
      <c r="AV3" s="99"/>
      <c r="AW3" s="99"/>
      <c r="AX3" s="99"/>
      <c r="AY3" s="99"/>
      <c r="AZ3" s="99"/>
      <c r="BA3" s="99"/>
      <c r="BB3" s="99"/>
      <c r="BC3" s="99"/>
      <c r="BD3" s="99"/>
      <c r="BE3" s="99"/>
      <c r="BF3" s="99"/>
      <c r="BG3" s="99"/>
      <c r="BH3" s="99"/>
      <c r="BI3" s="99"/>
      <c r="BJ3" s="99"/>
      <c r="BK3" s="99"/>
      <c r="BL3" s="99"/>
      <c r="BM3" s="99"/>
      <c r="BN3" s="99"/>
      <c r="BO3" s="99"/>
      <c r="BP3" s="99"/>
      <c r="BQ3" s="99"/>
      <c r="BR3" s="99"/>
      <c r="BS3" s="99"/>
      <c r="BT3" s="99"/>
      <c r="BU3" s="99"/>
      <c r="BV3" s="99"/>
    </row>
    <row r="4" spans="1:75" ht="12" customHeight="1" x14ac:dyDescent="0.2"/>
    <row r="5" spans="1:75" s="102" customFormat="1" ht="12" customHeight="1" x14ac:dyDescent="0.25">
      <c r="A5" s="220"/>
      <c r="B5" s="217"/>
      <c r="C5" s="220" t="s">
        <v>680</v>
      </c>
      <c r="D5" s="216">
        <v>2010</v>
      </c>
      <c r="E5" s="217"/>
      <c r="F5" s="217"/>
      <c r="G5" s="217"/>
      <c r="H5" s="217"/>
      <c r="I5" s="216">
        <v>2011</v>
      </c>
      <c r="J5" s="217"/>
      <c r="K5" s="217"/>
      <c r="L5" s="217"/>
      <c r="M5" s="217"/>
      <c r="N5" s="217"/>
      <c r="O5" s="216">
        <v>2012</v>
      </c>
      <c r="P5" s="217"/>
      <c r="Q5" s="217"/>
      <c r="R5" s="217"/>
      <c r="S5" s="217"/>
      <c r="T5" s="216">
        <v>2013</v>
      </c>
      <c r="U5" s="217"/>
      <c r="V5" s="217"/>
      <c r="W5" s="217"/>
      <c r="X5" s="217"/>
      <c r="Y5" s="216">
        <v>2014</v>
      </c>
      <c r="Z5" s="217"/>
      <c r="AA5" s="217"/>
      <c r="AB5" s="217"/>
      <c r="AC5" s="217"/>
      <c r="AD5" s="216">
        <v>2015</v>
      </c>
      <c r="AE5" s="217"/>
      <c r="AF5" s="217"/>
      <c r="AG5" s="217"/>
      <c r="AH5" s="217"/>
      <c r="AI5" s="216">
        <v>2016</v>
      </c>
      <c r="AJ5" s="217"/>
      <c r="AK5" s="217"/>
      <c r="AL5" s="217"/>
      <c r="AM5" s="217"/>
      <c r="AN5" s="216">
        <v>2017</v>
      </c>
      <c r="AO5" s="217"/>
      <c r="AP5" s="217"/>
      <c r="AQ5" s="217"/>
      <c r="AR5" s="217"/>
      <c r="AS5" s="215">
        <v>2018</v>
      </c>
      <c r="AT5" s="215"/>
      <c r="AU5" s="215"/>
      <c r="AV5" s="215"/>
      <c r="AW5" s="215"/>
      <c r="AX5" s="215">
        <v>2019</v>
      </c>
      <c r="AY5" s="215"/>
      <c r="AZ5" s="215"/>
      <c r="BA5" s="215"/>
      <c r="BB5" s="215"/>
      <c r="BC5" s="215">
        <v>2020</v>
      </c>
      <c r="BD5" s="215"/>
      <c r="BE5" s="215"/>
      <c r="BF5" s="215"/>
      <c r="BG5" s="215"/>
      <c r="BH5" s="101"/>
      <c r="BI5" s="101"/>
      <c r="BJ5" s="101"/>
      <c r="BK5" s="215">
        <v>2021</v>
      </c>
      <c r="BL5" s="215"/>
      <c r="BM5" s="101"/>
      <c r="BN5" s="101"/>
      <c r="BO5" s="101"/>
      <c r="BP5" s="215">
        <v>2022</v>
      </c>
      <c r="BQ5" s="215"/>
      <c r="BR5" s="215">
        <v>2023</v>
      </c>
      <c r="BS5" s="215"/>
      <c r="BT5" s="216"/>
      <c r="BU5" s="210" t="s">
        <v>681</v>
      </c>
      <c r="BV5" s="210"/>
    </row>
    <row r="6" spans="1:75" s="102" customFormat="1" ht="12" customHeight="1" x14ac:dyDescent="0.25">
      <c r="A6" s="211"/>
      <c r="B6" s="211"/>
      <c r="C6" s="211"/>
      <c r="D6" s="103" t="s">
        <v>682</v>
      </c>
      <c r="E6" s="103" t="s">
        <v>683</v>
      </c>
      <c r="F6" s="103" t="s">
        <v>684</v>
      </c>
      <c r="G6" s="103" t="s">
        <v>685</v>
      </c>
      <c r="H6" s="103"/>
      <c r="I6" s="103" t="s">
        <v>682</v>
      </c>
      <c r="J6" s="103" t="s">
        <v>683</v>
      </c>
      <c r="K6" s="103" t="s">
        <v>684</v>
      </c>
      <c r="L6" s="212" t="s">
        <v>685</v>
      </c>
      <c r="M6" s="211"/>
      <c r="N6" s="103"/>
      <c r="O6" s="103" t="s">
        <v>682</v>
      </c>
      <c r="P6" s="103" t="s">
        <v>683</v>
      </c>
      <c r="Q6" s="103" t="s">
        <v>684</v>
      </c>
      <c r="R6" s="103" t="s">
        <v>685</v>
      </c>
      <c r="S6" s="103"/>
      <c r="T6" s="103" t="s">
        <v>682</v>
      </c>
      <c r="U6" s="103" t="s">
        <v>683</v>
      </c>
      <c r="V6" s="103" t="s">
        <v>684</v>
      </c>
      <c r="W6" s="103" t="s">
        <v>685</v>
      </c>
      <c r="X6" s="103"/>
      <c r="Y6" s="103" t="s">
        <v>682</v>
      </c>
      <c r="Z6" s="103" t="s">
        <v>683</v>
      </c>
      <c r="AA6" s="103" t="s">
        <v>684</v>
      </c>
      <c r="AB6" s="103" t="s">
        <v>685</v>
      </c>
      <c r="AC6" s="103"/>
      <c r="AD6" s="103" t="s">
        <v>682</v>
      </c>
      <c r="AE6" s="103" t="s">
        <v>683</v>
      </c>
      <c r="AF6" s="103" t="s">
        <v>684</v>
      </c>
      <c r="AG6" s="103" t="s">
        <v>685</v>
      </c>
      <c r="AH6" s="103"/>
      <c r="AI6" s="103" t="s">
        <v>682</v>
      </c>
      <c r="AJ6" s="103" t="s">
        <v>683</v>
      </c>
      <c r="AK6" s="103" t="s">
        <v>684</v>
      </c>
      <c r="AL6" s="103" t="s">
        <v>685</v>
      </c>
      <c r="AM6" s="103"/>
      <c r="AN6" s="103" t="s">
        <v>682</v>
      </c>
      <c r="AO6" s="103" t="s">
        <v>683</v>
      </c>
      <c r="AP6" s="103" t="s">
        <v>684</v>
      </c>
      <c r="AQ6" s="103" t="s">
        <v>685</v>
      </c>
      <c r="AR6" s="103"/>
      <c r="AS6" s="103" t="s">
        <v>682</v>
      </c>
      <c r="AT6" s="103" t="s">
        <v>683</v>
      </c>
      <c r="AU6" s="103" t="s">
        <v>684</v>
      </c>
      <c r="AV6" s="103" t="s">
        <v>685</v>
      </c>
      <c r="AW6" s="103"/>
      <c r="AX6" s="103" t="s">
        <v>682</v>
      </c>
      <c r="AY6" s="103" t="s">
        <v>683</v>
      </c>
      <c r="AZ6" s="103" t="s">
        <v>684</v>
      </c>
      <c r="BA6" s="103" t="s">
        <v>685</v>
      </c>
      <c r="BB6" s="103"/>
      <c r="BC6" s="103" t="s">
        <v>682</v>
      </c>
      <c r="BD6" s="103" t="s">
        <v>683</v>
      </c>
      <c r="BE6" s="103" t="s">
        <v>684</v>
      </c>
      <c r="BF6" s="103" t="s">
        <v>685</v>
      </c>
      <c r="BG6" s="103"/>
      <c r="BH6" s="103" t="s">
        <v>682</v>
      </c>
      <c r="BI6" s="103" t="s">
        <v>683</v>
      </c>
      <c r="BJ6" s="103" t="s">
        <v>684</v>
      </c>
      <c r="BK6" s="103" t="s">
        <v>685</v>
      </c>
      <c r="BL6" s="103"/>
      <c r="BM6" s="103" t="s">
        <v>682</v>
      </c>
      <c r="BN6" s="103" t="s">
        <v>765</v>
      </c>
      <c r="BO6" s="103" t="s">
        <v>766</v>
      </c>
      <c r="BP6" s="103" t="s">
        <v>767</v>
      </c>
      <c r="BQ6" s="103"/>
      <c r="BR6" s="103" t="s">
        <v>768</v>
      </c>
      <c r="BS6" s="103"/>
      <c r="BT6" s="211"/>
      <c r="BU6" s="211"/>
      <c r="BV6" s="211"/>
    </row>
    <row r="7" spans="1:75" s="112" customFormat="1" ht="11.65" customHeight="1" x14ac:dyDescent="0.15">
      <c r="A7" s="104">
        <v>1</v>
      </c>
      <c r="B7" s="105"/>
      <c r="C7" s="106" t="s">
        <v>686</v>
      </c>
      <c r="D7" s="107">
        <v>1890.52</v>
      </c>
      <c r="E7" s="107">
        <v>1341.57</v>
      </c>
      <c r="F7" s="107">
        <v>1042.6300000000001</v>
      </c>
      <c r="G7" s="107">
        <v>869.57</v>
      </c>
      <c r="H7" s="107">
        <v>5144.29</v>
      </c>
      <c r="I7" s="107">
        <v>2946.69</v>
      </c>
      <c r="J7" s="107">
        <v>273.33</v>
      </c>
      <c r="K7" s="107">
        <v>766.36</v>
      </c>
      <c r="L7" s="213">
        <v>-2301.3000000000002</v>
      </c>
      <c r="M7" s="214"/>
      <c r="N7" s="107">
        <v>1685.08</v>
      </c>
      <c r="O7" s="107">
        <v>-3191.52</v>
      </c>
      <c r="P7" s="107">
        <v>-8149.38</v>
      </c>
      <c r="Q7" s="107">
        <v>-5264.73</v>
      </c>
      <c r="R7" s="107">
        <v>-7812.49</v>
      </c>
      <c r="S7" s="107">
        <v>-24418.12</v>
      </c>
      <c r="T7" s="107">
        <v>-6007.36</v>
      </c>
      <c r="U7" s="107">
        <v>-10125.65</v>
      </c>
      <c r="V7" s="107">
        <v>-8640.2999999999993</v>
      </c>
      <c r="W7" s="107">
        <v>-4336.1499999999996</v>
      </c>
      <c r="X7" s="107">
        <v>-29109.46</v>
      </c>
      <c r="Y7" s="107">
        <v>-4926.67</v>
      </c>
      <c r="Z7" s="107">
        <v>-9584.75</v>
      </c>
      <c r="AA7" s="107">
        <v>-7037.42</v>
      </c>
      <c r="AB7" s="107">
        <v>-5961.02</v>
      </c>
      <c r="AC7" s="107">
        <v>-27509.87</v>
      </c>
      <c r="AD7" s="107">
        <v>-4313.58</v>
      </c>
      <c r="AE7" s="107">
        <v>-4278.55</v>
      </c>
      <c r="AF7" s="107">
        <v>-4223.68</v>
      </c>
      <c r="AG7" s="107">
        <v>-4702.93</v>
      </c>
      <c r="AH7" s="107">
        <v>-17518.740000000002</v>
      </c>
      <c r="AI7" s="107">
        <v>-4634.01</v>
      </c>
      <c r="AJ7" s="107">
        <v>-5570.15</v>
      </c>
      <c r="AK7" s="107">
        <v>-4950.99</v>
      </c>
      <c r="AL7" s="107">
        <v>-1797.11</v>
      </c>
      <c r="AM7" s="107">
        <v>-16952.259999999998</v>
      </c>
      <c r="AN7" s="107">
        <v>-2023.42</v>
      </c>
      <c r="AO7" s="107">
        <v>-4368.8500000000004</v>
      </c>
      <c r="AP7" s="107">
        <v>-4236.59</v>
      </c>
      <c r="AQ7" s="107">
        <v>-5566.78</v>
      </c>
      <c r="AR7" s="107">
        <v>-16195.63</v>
      </c>
      <c r="AS7" s="107">
        <v>-4937.47</v>
      </c>
      <c r="AT7" s="107">
        <v>-7784.17</v>
      </c>
      <c r="AU7" s="107">
        <v>-8380.2900000000009</v>
      </c>
      <c r="AV7" s="107">
        <v>-9531.19</v>
      </c>
      <c r="AW7" s="107">
        <v>-30633.119999999999</v>
      </c>
      <c r="AX7" s="107">
        <v>-6550.26</v>
      </c>
      <c r="AY7" s="107">
        <v>-8199.19</v>
      </c>
      <c r="AZ7" s="107">
        <v>-7480.92</v>
      </c>
      <c r="BA7" s="107">
        <v>-8048.44</v>
      </c>
      <c r="BB7" s="107">
        <v>-30278.799999999999</v>
      </c>
      <c r="BC7" s="107">
        <v>-3366.71</v>
      </c>
      <c r="BD7" s="107">
        <v>-2913.21</v>
      </c>
      <c r="BE7" s="107">
        <v>996.59</v>
      </c>
      <c r="BF7" s="107">
        <v>850.06</v>
      </c>
      <c r="BG7" s="107">
        <v>-4433.2700000000004</v>
      </c>
      <c r="BH7" s="107">
        <v>-1139.67</v>
      </c>
      <c r="BI7" s="107">
        <v>-1881.47</v>
      </c>
      <c r="BJ7" s="107">
        <v>5020.45</v>
      </c>
      <c r="BK7" s="107">
        <v>1511.41</v>
      </c>
      <c r="BL7" s="107">
        <v>3510.72</v>
      </c>
      <c r="BM7" s="107">
        <v>550.66999999999996</v>
      </c>
      <c r="BN7" s="107">
        <v>3849.1</v>
      </c>
      <c r="BO7" s="107">
        <v>4544.8100000000004</v>
      </c>
      <c r="BP7" s="107">
        <v>4181.07</v>
      </c>
      <c r="BQ7" s="107">
        <v>13125.65</v>
      </c>
      <c r="BR7" s="107">
        <v>2971.55</v>
      </c>
      <c r="BS7" s="107"/>
      <c r="BT7" s="108"/>
      <c r="BU7" s="109" t="s">
        <v>687</v>
      </c>
      <c r="BV7" s="110">
        <v>1</v>
      </c>
      <c r="BW7" s="111"/>
    </row>
    <row r="8" spans="1:75" s="112" customFormat="1" ht="11.65" customHeight="1" x14ac:dyDescent="0.15">
      <c r="A8" s="113">
        <v>2</v>
      </c>
      <c r="C8" s="114" t="s">
        <v>688</v>
      </c>
      <c r="D8" s="115">
        <v>7297.5</v>
      </c>
      <c r="E8" s="115">
        <v>6732.9</v>
      </c>
      <c r="F8" s="115">
        <v>7718.73</v>
      </c>
      <c r="G8" s="115">
        <v>9253.52</v>
      </c>
      <c r="H8" s="116">
        <v>31002.66</v>
      </c>
      <c r="I8" s="115">
        <v>8696.08</v>
      </c>
      <c r="J8" s="115">
        <v>9174.7999999999993</v>
      </c>
      <c r="K8" s="115">
        <v>9704.2099999999991</v>
      </c>
      <c r="L8" s="200">
        <v>6249.92</v>
      </c>
      <c r="M8" s="201"/>
      <c r="N8" s="116">
        <v>33825</v>
      </c>
      <c r="O8" s="115">
        <v>3967.79</v>
      </c>
      <c r="P8" s="115">
        <v>789.46</v>
      </c>
      <c r="Q8" s="115">
        <v>3138.43</v>
      </c>
      <c r="R8" s="115">
        <v>783.83</v>
      </c>
      <c r="S8" s="115">
        <v>8679.52</v>
      </c>
      <c r="T8" s="115">
        <v>1602.06</v>
      </c>
      <c r="U8" s="115">
        <v>-556.48</v>
      </c>
      <c r="V8" s="115">
        <v>84.77</v>
      </c>
      <c r="W8" s="115">
        <v>4702.8900000000003</v>
      </c>
      <c r="X8" s="115">
        <v>5833.23</v>
      </c>
      <c r="Y8" s="115">
        <v>3349.64</v>
      </c>
      <c r="Z8" s="115">
        <v>-375.16</v>
      </c>
      <c r="AA8" s="115">
        <v>1560.11</v>
      </c>
      <c r="AB8" s="115">
        <v>2447.98</v>
      </c>
      <c r="AC8" s="115">
        <v>6982.57</v>
      </c>
      <c r="AD8" s="115">
        <v>3198.15</v>
      </c>
      <c r="AE8" s="115">
        <v>4370.74</v>
      </c>
      <c r="AF8" s="115">
        <v>4247.75</v>
      </c>
      <c r="AG8" s="115">
        <v>2231.94</v>
      </c>
      <c r="AH8" s="115">
        <v>14048.57</v>
      </c>
      <c r="AI8" s="115">
        <v>2597.6799999999998</v>
      </c>
      <c r="AJ8" s="115">
        <v>3732.89</v>
      </c>
      <c r="AK8" s="115">
        <v>3892.05</v>
      </c>
      <c r="AL8" s="115">
        <v>5095.37</v>
      </c>
      <c r="AM8" s="115">
        <v>15317.99</v>
      </c>
      <c r="AN8" s="115">
        <v>5635.08</v>
      </c>
      <c r="AO8" s="115">
        <v>4834.84</v>
      </c>
      <c r="AP8" s="115">
        <v>5258.49</v>
      </c>
      <c r="AQ8" s="115">
        <v>3085.52</v>
      </c>
      <c r="AR8" s="115">
        <v>18813.93</v>
      </c>
      <c r="AS8" s="115">
        <v>2323.62</v>
      </c>
      <c r="AT8" s="115">
        <v>311.86</v>
      </c>
      <c r="AU8" s="115">
        <v>-369.5</v>
      </c>
      <c r="AV8" s="115">
        <v>-2494.2800000000002</v>
      </c>
      <c r="AW8" s="115">
        <v>-228.3</v>
      </c>
      <c r="AX8" s="115">
        <v>1269.03</v>
      </c>
      <c r="AY8" s="115">
        <v>570.51</v>
      </c>
      <c r="AZ8" s="115">
        <v>1362.4</v>
      </c>
      <c r="BA8" s="115">
        <v>305.79000000000002</v>
      </c>
      <c r="BB8" s="115">
        <v>3507.73</v>
      </c>
      <c r="BC8" s="115">
        <v>4588.41</v>
      </c>
      <c r="BD8" s="115">
        <v>3952.35</v>
      </c>
      <c r="BE8" s="115">
        <v>9791.84</v>
      </c>
      <c r="BF8" s="115">
        <v>9968.67</v>
      </c>
      <c r="BG8" s="115">
        <v>28301.279999999999</v>
      </c>
      <c r="BH8" s="115">
        <v>7628.19</v>
      </c>
      <c r="BI8" s="115">
        <v>8336.99</v>
      </c>
      <c r="BJ8" s="115">
        <v>15408.05</v>
      </c>
      <c r="BK8" s="115">
        <v>12432.78</v>
      </c>
      <c r="BL8" s="115">
        <v>43806.02</v>
      </c>
      <c r="BM8" s="115">
        <v>11301.2</v>
      </c>
      <c r="BN8" s="115">
        <v>16796.97</v>
      </c>
      <c r="BO8" s="115">
        <v>17623.099999999999</v>
      </c>
      <c r="BP8" s="115">
        <v>16950.93</v>
      </c>
      <c r="BQ8" s="115">
        <v>62672.2</v>
      </c>
      <c r="BR8" s="115">
        <v>14718.86</v>
      </c>
      <c r="BS8" s="115"/>
      <c r="BT8" s="117"/>
      <c r="BU8" s="118" t="s">
        <v>689</v>
      </c>
      <c r="BV8" s="119">
        <v>2</v>
      </c>
    </row>
    <row r="9" spans="1:75" s="112" customFormat="1" ht="11.65" customHeight="1" x14ac:dyDescent="0.15">
      <c r="A9" s="113">
        <v>3</v>
      </c>
      <c r="C9" s="120" t="s">
        <v>690</v>
      </c>
      <c r="D9" s="115">
        <v>33169.64</v>
      </c>
      <c r="E9" s="115">
        <v>35461.089999999997</v>
      </c>
      <c r="F9" s="115">
        <v>37613.53</v>
      </c>
      <c r="G9" s="115">
        <v>43721.59</v>
      </c>
      <c r="H9" s="116">
        <v>149965.84</v>
      </c>
      <c r="I9" s="115">
        <v>43325.35</v>
      </c>
      <c r="J9" s="115">
        <v>49451.75</v>
      </c>
      <c r="K9" s="115">
        <v>49935.06</v>
      </c>
      <c r="L9" s="200">
        <v>48396.55</v>
      </c>
      <c r="M9" s="201"/>
      <c r="N9" s="116">
        <v>191108.71</v>
      </c>
      <c r="O9" s="115">
        <v>48068.82</v>
      </c>
      <c r="P9" s="115">
        <v>47252.21</v>
      </c>
      <c r="Q9" s="115">
        <v>45260.57</v>
      </c>
      <c r="R9" s="115">
        <v>46764.88</v>
      </c>
      <c r="S9" s="115">
        <v>187346.48</v>
      </c>
      <c r="T9" s="115">
        <v>44945.07</v>
      </c>
      <c r="U9" s="115">
        <v>45243.78</v>
      </c>
      <c r="V9" s="115">
        <v>43823.93</v>
      </c>
      <c r="W9" s="115">
        <v>48076.44</v>
      </c>
      <c r="X9" s="115">
        <v>182089.23</v>
      </c>
      <c r="Y9" s="115">
        <v>43937.16</v>
      </c>
      <c r="Z9" s="115">
        <v>44504.56</v>
      </c>
      <c r="AA9" s="115">
        <v>43605.81</v>
      </c>
      <c r="AB9" s="115">
        <v>43245.26</v>
      </c>
      <c r="AC9" s="115">
        <v>175292.79</v>
      </c>
      <c r="AD9" s="115">
        <v>37962.400000000001</v>
      </c>
      <c r="AE9" s="115">
        <v>39931.379999999997</v>
      </c>
      <c r="AF9" s="115">
        <v>36192.47</v>
      </c>
      <c r="AG9" s="115">
        <v>35038.230000000003</v>
      </c>
      <c r="AH9" s="115">
        <v>149124.48000000001</v>
      </c>
      <c r="AI9" s="115">
        <v>33041.730000000003</v>
      </c>
      <c r="AJ9" s="115">
        <v>36287.120000000003</v>
      </c>
      <c r="AK9" s="115">
        <v>34898.07</v>
      </c>
      <c r="AL9" s="115">
        <v>40242.870000000003</v>
      </c>
      <c r="AM9" s="115">
        <v>144469.79</v>
      </c>
      <c r="AN9" s="115">
        <v>40763.279999999999</v>
      </c>
      <c r="AO9" s="115">
        <v>39167.19</v>
      </c>
      <c r="AP9" s="115">
        <v>43391.93</v>
      </c>
      <c r="AQ9" s="115">
        <v>45560.12</v>
      </c>
      <c r="AR9" s="115">
        <v>168882.51</v>
      </c>
      <c r="AS9" s="115">
        <v>44374.7</v>
      </c>
      <c r="AT9" s="115">
        <v>43739.79</v>
      </c>
      <c r="AU9" s="115">
        <v>47706.93</v>
      </c>
      <c r="AV9" s="115">
        <v>44903.56</v>
      </c>
      <c r="AW9" s="115">
        <v>180724.98</v>
      </c>
      <c r="AX9" s="115">
        <v>41212.74</v>
      </c>
      <c r="AY9" s="115">
        <v>40208.67</v>
      </c>
      <c r="AZ9" s="115">
        <v>43670.14</v>
      </c>
      <c r="BA9" s="115">
        <v>43363.82</v>
      </c>
      <c r="BB9" s="115">
        <v>168455.37</v>
      </c>
      <c r="BC9" s="115">
        <v>41779.14</v>
      </c>
      <c r="BD9" s="115">
        <v>34627.03</v>
      </c>
      <c r="BE9" s="115">
        <v>40804.519999999997</v>
      </c>
      <c r="BF9" s="115">
        <v>46191.11</v>
      </c>
      <c r="BG9" s="115">
        <v>163401.81</v>
      </c>
      <c r="BH9" s="115">
        <v>49377.63</v>
      </c>
      <c r="BI9" s="115">
        <v>54320.74</v>
      </c>
      <c r="BJ9" s="115">
        <v>61650.64</v>
      </c>
      <c r="BK9" s="115">
        <v>67486.28</v>
      </c>
      <c r="BL9" s="115">
        <v>232835.28</v>
      </c>
      <c r="BM9" s="115">
        <v>66769.58</v>
      </c>
      <c r="BN9" s="115">
        <v>75173.53</v>
      </c>
      <c r="BO9" s="115">
        <v>77835.77</v>
      </c>
      <c r="BP9" s="115">
        <v>72759.27</v>
      </c>
      <c r="BQ9" s="115">
        <v>292538.14</v>
      </c>
      <c r="BR9" s="115">
        <v>67324.210000000006</v>
      </c>
      <c r="BS9" s="115"/>
      <c r="BT9" s="117"/>
      <c r="BU9" s="121" t="s">
        <v>691</v>
      </c>
      <c r="BV9" s="119">
        <v>3</v>
      </c>
    </row>
    <row r="10" spans="1:75" s="112" customFormat="1" ht="11.65" customHeight="1" x14ac:dyDescent="0.15">
      <c r="A10" s="113">
        <v>4</v>
      </c>
      <c r="C10" s="120" t="s">
        <v>692</v>
      </c>
      <c r="D10" s="115">
        <v>-25872.13</v>
      </c>
      <c r="E10" s="115">
        <v>-28728.18</v>
      </c>
      <c r="F10" s="115">
        <v>-29894.799999999999</v>
      </c>
      <c r="G10" s="115">
        <v>-34468.07</v>
      </c>
      <c r="H10" s="116">
        <v>-118963.18</v>
      </c>
      <c r="I10" s="115">
        <v>-34629.269999999997</v>
      </c>
      <c r="J10" s="115">
        <v>-40276.949999999997</v>
      </c>
      <c r="K10" s="115">
        <v>-40230.85</v>
      </c>
      <c r="L10" s="200">
        <v>-42146.64</v>
      </c>
      <c r="M10" s="201"/>
      <c r="N10" s="116">
        <v>-157283.71</v>
      </c>
      <c r="O10" s="115">
        <v>-44101.02</v>
      </c>
      <c r="P10" s="115">
        <v>-46462.75</v>
      </c>
      <c r="Q10" s="115">
        <v>-42122.14</v>
      </c>
      <c r="R10" s="115">
        <v>-45981.05</v>
      </c>
      <c r="S10" s="115">
        <v>-178666.96</v>
      </c>
      <c r="T10" s="115">
        <v>-43343.02</v>
      </c>
      <c r="U10" s="115">
        <v>-45800.26</v>
      </c>
      <c r="V10" s="115">
        <v>-43739.16</v>
      </c>
      <c r="W10" s="115">
        <v>-43373.56</v>
      </c>
      <c r="X10" s="115">
        <v>-176255.99</v>
      </c>
      <c r="Y10" s="115">
        <v>-40587.51</v>
      </c>
      <c r="Z10" s="115">
        <v>-44879.73</v>
      </c>
      <c r="AA10" s="115">
        <v>-42045.7</v>
      </c>
      <c r="AB10" s="115">
        <v>-40797.29</v>
      </c>
      <c r="AC10" s="115">
        <v>-168310.22</v>
      </c>
      <c r="AD10" s="115">
        <v>-34764.25</v>
      </c>
      <c r="AE10" s="115">
        <v>-35560.639999999999</v>
      </c>
      <c r="AF10" s="115">
        <v>-31944.720000000001</v>
      </c>
      <c r="AG10" s="115">
        <v>-32806.300000000003</v>
      </c>
      <c r="AH10" s="115">
        <v>-135075.91</v>
      </c>
      <c r="AI10" s="115">
        <v>-30444.05</v>
      </c>
      <c r="AJ10" s="115">
        <v>-32554.23</v>
      </c>
      <c r="AK10" s="115">
        <v>-31006.02</v>
      </c>
      <c r="AL10" s="115">
        <v>-35147.5</v>
      </c>
      <c r="AM10" s="115">
        <v>-129151.8</v>
      </c>
      <c r="AN10" s="115">
        <v>-35128.199999999997</v>
      </c>
      <c r="AO10" s="115">
        <v>-34332.339999999997</v>
      </c>
      <c r="AP10" s="115">
        <v>-38133.440000000002</v>
      </c>
      <c r="AQ10" s="115">
        <v>-42474.6</v>
      </c>
      <c r="AR10" s="115">
        <v>-150068.57999999999</v>
      </c>
      <c r="AS10" s="115">
        <v>-42051.08</v>
      </c>
      <c r="AT10" s="115">
        <v>-43427.93</v>
      </c>
      <c r="AU10" s="115">
        <v>-48076.43</v>
      </c>
      <c r="AV10" s="115">
        <v>-47397.84</v>
      </c>
      <c r="AW10" s="115">
        <v>-180953.29</v>
      </c>
      <c r="AX10" s="115">
        <v>-39943.699999999997</v>
      </c>
      <c r="AY10" s="115">
        <v>-39638.15</v>
      </c>
      <c r="AZ10" s="115">
        <v>-42307.74</v>
      </c>
      <c r="BA10" s="115">
        <v>-43058.04</v>
      </c>
      <c r="BB10" s="115">
        <v>-164947.63</v>
      </c>
      <c r="BC10" s="115">
        <v>-37190.730000000003</v>
      </c>
      <c r="BD10" s="115">
        <v>-30674.68</v>
      </c>
      <c r="BE10" s="115">
        <v>-31012.68</v>
      </c>
      <c r="BF10" s="115">
        <v>-36222.44</v>
      </c>
      <c r="BG10" s="115">
        <v>-135100.53</v>
      </c>
      <c r="BH10" s="115">
        <v>-41749.440000000002</v>
      </c>
      <c r="BI10" s="115">
        <v>-45983.74</v>
      </c>
      <c r="BJ10" s="115">
        <v>-46242.59</v>
      </c>
      <c r="BK10" s="115">
        <v>-55053.5</v>
      </c>
      <c r="BL10" s="115">
        <v>-189029.27</v>
      </c>
      <c r="BM10" s="115">
        <v>-55468.38</v>
      </c>
      <c r="BN10" s="115">
        <v>-58376.57</v>
      </c>
      <c r="BO10" s="115">
        <v>-60212.66</v>
      </c>
      <c r="BP10" s="115">
        <v>-55808.34</v>
      </c>
      <c r="BQ10" s="115">
        <v>-229865.94</v>
      </c>
      <c r="BR10" s="115">
        <v>-52605.34</v>
      </c>
      <c r="BS10" s="115"/>
      <c r="BT10" s="117"/>
      <c r="BU10" s="121" t="s">
        <v>693</v>
      </c>
      <c r="BV10" s="119">
        <v>4</v>
      </c>
    </row>
    <row r="11" spans="1:75" s="112" customFormat="1" ht="11.65" customHeight="1" x14ac:dyDescent="0.15">
      <c r="A11" s="113">
        <v>5</v>
      </c>
      <c r="C11" s="120" t="s">
        <v>694</v>
      </c>
      <c r="D11" s="115">
        <v>7120.68</v>
      </c>
      <c r="E11" s="115">
        <v>6319.6</v>
      </c>
      <c r="F11" s="115">
        <v>7541.22</v>
      </c>
      <c r="G11" s="115">
        <v>9001.14</v>
      </c>
      <c r="H11" s="116">
        <v>29982.639999999999</v>
      </c>
      <c r="I11" s="115">
        <v>8468.5499999999993</v>
      </c>
      <c r="J11" s="115">
        <v>8702.7999999999993</v>
      </c>
      <c r="K11" s="115">
        <v>9383.6200000000008</v>
      </c>
      <c r="L11" s="200">
        <v>5660.4</v>
      </c>
      <c r="M11" s="201"/>
      <c r="N11" s="116">
        <v>32215.37</v>
      </c>
      <c r="O11" s="115">
        <v>3473.88</v>
      </c>
      <c r="P11" s="115">
        <v>357.24</v>
      </c>
      <c r="Q11" s="115">
        <v>2452.62</v>
      </c>
      <c r="R11" s="115">
        <v>427.18</v>
      </c>
      <c r="S11" s="115">
        <v>6710.91</v>
      </c>
      <c r="T11" s="115">
        <v>1249.82</v>
      </c>
      <c r="U11" s="115">
        <v>-842.38</v>
      </c>
      <c r="V11" s="115">
        <v>-491.3</v>
      </c>
      <c r="W11" s="115">
        <v>4152.53</v>
      </c>
      <c r="X11" s="115">
        <v>4068.67</v>
      </c>
      <c r="Y11" s="115">
        <v>2832.08</v>
      </c>
      <c r="Z11" s="115">
        <v>-703.33</v>
      </c>
      <c r="AA11" s="115">
        <v>1192.21</v>
      </c>
      <c r="AB11" s="115">
        <v>2153.0700000000002</v>
      </c>
      <c r="AC11" s="115">
        <v>5474.03</v>
      </c>
      <c r="AD11" s="115">
        <v>2826.02</v>
      </c>
      <c r="AE11" s="115">
        <v>4055.61</v>
      </c>
      <c r="AF11" s="115">
        <v>4154.12</v>
      </c>
      <c r="AG11" s="115">
        <v>2283.27</v>
      </c>
      <c r="AH11" s="115">
        <v>13319.03</v>
      </c>
      <c r="AI11" s="115">
        <v>2302.4499999999998</v>
      </c>
      <c r="AJ11" s="115">
        <v>3501.41</v>
      </c>
      <c r="AK11" s="115">
        <v>3674.97</v>
      </c>
      <c r="AL11" s="115">
        <v>5265.56</v>
      </c>
      <c r="AM11" s="115">
        <v>14744.38</v>
      </c>
      <c r="AN11" s="115">
        <v>5470.15</v>
      </c>
      <c r="AO11" s="115">
        <v>4574.79</v>
      </c>
      <c r="AP11" s="115">
        <v>5042.3500000000004</v>
      </c>
      <c r="AQ11" s="115">
        <v>2827.58</v>
      </c>
      <c r="AR11" s="115">
        <v>17914.88</v>
      </c>
      <c r="AS11" s="115">
        <v>2020.92</v>
      </c>
      <c r="AT11" s="115">
        <v>493.67</v>
      </c>
      <c r="AU11" s="115">
        <v>-71.650000000000006</v>
      </c>
      <c r="AV11" s="115">
        <v>-2661.75</v>
      </c>
      <c r="AW11" s="115">
        <v>-218.81</v>
      </c>
      <c r="AX11" s="115">
        <v>773.17</v>
      </c>
      <c r="AY11" s="115">
        <v>222.04</v>
      </c>
      <c r="AZ11" s="115">
        <v>684.82</v>
      </c>
      <c r="BA11" s="115">
        <v>-33.49</v>
      </c>
      <c r="BB11" s="115">
        <v>1646.54</v>
      </c>
      <c r="BC11" s="115">
        <v>3274</v>
      </c>
      <c r="BD11" s="115">
        <v>2467.52</v>
      </c>
      <c r="BE11" s="115">
        <v>8727.19</v>
      </c>
      <c r="BF11" s="115">
        <v>10098.969999999999</v>
      </c>
      <c r="BG11" s="115">
        <v>24567.68</v>
      </c>
      <c r="BH11" s="115">
        <v>7707.13</v>
      </c>
      <c r="BI11" s="115">
        <v>8437.0499999999993</v>
      </c>
      <c r="BJ11" s="115">
        <v>15612.02</v>
      </c>
      <c r="BK11" s="115">
        <v>13083.05</v>
      </c>
      <c r="BL11" s="115">
        <v>44839.25</v>
      </c>
      <c r="BM11" s="115">
        <v>11515.63</v>
      </c>
      <c r="BN11" s="115">
        <v>17257.53</v>
      </c>
      <c r="BO11" s="115">
        <v>18679.48</v>
      </c>
      <c r="BP11" s="115">
        <v>17542.650000000001</v>
      </c>
      <c r="BQ11" s="115">
        <v>64995.3</v>
      </c>
      <c r="BR11" s="115">
        <v>15054.79</v>
      </c>
      <c r="BS11" s="115"/>
      <c r="BT11" s="117"/>
      <c r="BU11" s="121" t="s">
        <v>695</v>
      </c>
      <c r="BV11" s="119">
        <v>5</v>
      </c>
    </row>
    <row r="12" spans="1:75" s="112" customFormat="1" ht="11.65" customHeight="1" x14ac:dyDescent="0.15">
      <c r="A12" s="113">
        <v>6</v>
      </c>
      <c r="C12" s="122" t="s">
        <v>696</v>
      </c>
      <c r="D12" s="115">
        <v>32979.57</v>
      </c>
      <c r="E12" s="115">
        <v>35031.01</v>
      </c>
      <c r="F12" s="115">
        <v>37412.949999999997</v>
      </c>
      <c r="G12" s="115">
        <v>43442.94</v>
      </c>
      <c r="H12" s="116">
        <v>148866.47</v>
      </c>
      <c r="I12" s="115">
        <v>43084.480000000003</v>
      </c>
      <c r="J12" s="115">
        <v>48964.73</v>
      </c>
      <c r="K12" s="115">
        <v>49605.13</v>
      </c>
      <c r="L12" s="200">
        <v>47777.919999999998</v>
      </c>
      <c r="M12" s="201"/>
      <c r="N12" s="116">
        <v>189432.27</v>
      </c>
      <c r="O12" s="115">
        <v>47565.919999999998</v>
      </c>
      <c r="P12" s="115">
        <v>46810.65</v>
      </c>
      <c r="Q12" s="115">
        <v>44563.29</v>
      </c>
      <c r="R12" s="115">
        <v>46397.33</v>
      </c>
      <c r="S12" s="115">
        <v>185337.19</v>
      </c>
      <c r="T12" s="115">
        <v>44584.25</v>
      </c>
      <c r="U12" s="115">
        <v>44950.39</v>
      </c>
      <c r="V12" s="115">
        <v>43241.27</v>
      </c>
      <c r="W12" s="115">
        <v>47518.09</v>
      </c>
      <c r="X12" s="115">
        <v>180293.99</v>
      </c>
      <c r="Y12" s="115">
        <v>43413.57</v>
      </c>
      <c r="Z12" s="115">
        <v>44171.1</v>
      </c>
      <c r="AA12" s="115">
        <v>43231.58</v>
      </c>
      <c r="AB12" s="115">
        <v>42943.72</v>
      </c>
      <c r="AC12" s="115">
        <v>173759.96</v>
      </c>
      <c r="AD12" s="115">
        <v>37585.96</v>
      </c>
      <c r="AE12" s="115">
        <v>39612.269999999997</v>
      </c>
      <c r="AF12" s="115">
        <v>35834.53</v>
      </c>
      <c r="AG12" s="115">
        <v>34691.9</v>
      </c>
      <c r="AH12" s="115">
        <v>147724.65</v>
      </c>
      <c r="AI12" s="115">
        <v>32702.98</v>
      </c>
      <c r="AJ12" s="115">
        <v>35983.339999999997</v>
      </c>
      <c r="AK12" s="115">
        <v>34561.15</v>
      </c>
      <c r="AL12" s="115">
        <v>39857.14</v>
      </c>
      <c r="AM12" s="115">
        <v>143104.60999999999</v>
      </c>
      <c r="AN12" s="115">
        <v>40438.99</v>
      </c>
      <c r="AO12" s="115">
        <v>38811.42</v>
      </c>
      <c r="AP12" s="115">
        <v>42823.83</v>
      </c>
      <c r="AQ12" s="115">
        <v>44927.48</v>
      </c>
      <c r="AR12" s="115">
        <v>167001.72</v>
      </c>
      <c r="AS12" s="115">
        <v>43748.94</v>
      </c>
      <c r="AT12" s="115">
        <v>43243.68</v>
      </c>
      <c r="AU12" s="115">
        <v>47235.27</v>
      </c>
      <c r="AV12" s="115">
        <v>44474.85</v>
      </c>
      <c r="AW12" s="115">
        <v>178702.74</v>
      </c>
      <c r="AX12" s="115">
        <v>40403.42</v>
      </c>
      <c r="AY12" s="115">
        <v>39383.5</v>
      </c>
      <c r="AZ12" s="115">
        <v>42461.62</v>
      </c>
      <c r="BA12" s="115">
        <v>42662.45</v>
      </c>
      <c r="BB12" s="115">
        <v>164910.99</v>
      </c>
      <c r="BC12" s="115">
        <v>40076.449999999997</v>
      </c>
      <c r="BD12" s="115">
        <v>32994.160000000003</v>
      </c>
      <c r="BE12" s="115">
        <v>39201.26</v>
      </c>
      <c r="BF12" s="115">
        <v>45588.07</v>
      </c>
      <c r="BG12" s="115">
        <v>157859.93</v>
      </c>
      <c r="BH12" s="115">
        <v>48893.53</v>
      </c>
      <c r="BI12" s="115">
        <v>53865.5</v>
      </c>
      <c r="BJ12" s="115">
        <v>61289.07</v>
      </c>
      <c r="BK12" s="115">
        <v>67268.33</v>
      </c>
      <c r="BL12" s="115">
        <v>231316.43</v>
      </c>
      <c r="BM12" s="115">
        <v>66467.59</v>
      </c>
      <c r="BN12" s="115">
        <v>74918.080000000002</v>
      </c>
      <c r="BO12" s="115">
        <v>77590.740000000005</v>
      </c>
      <c r="BP12" s="115">
        <v>72534.22</v>
      </c>
      <c r="BQ12" s="115">
        <v>291510.63</v>
      </c>
      <c r="BR12" s="115">
        <v>67136.88</v>
      </c>
      <c r="BS12" s="115"/>
      <c r="BT12" s="117"/>
      <c r="BU12" s="123" t="s">
        <v>697</v>
      </c>
      <c r="BV12" s="119">
        <v>6</v>
      </c>
    </row>
    <row r="13" spans="1:75" s="112" customFormat="1" ht="11.65" customHeight="1" x14ac:dyDescent="0.15">
      <c r="A13" s="113">
        <v>7</v>
      </c>
      <c r="C13" s="122" t="s">
        <v>698</v>
      </c>
      <c r="D13" s="115">
        <v>-25858.89</v>
      </c>
      <c r="E13" s="115">
        <v>-28711.41</v>
      </c>
      <c r="F13" s="115">
        <v>-29871.73</v>
      </c>
      <c r="G13" s="115">
        <v>-34441.800000000003</v>
      </c>
      <c r="H13" s="116">
        <v>-118883.83</v>
      </c>
      <c r="I13" s="115">
        <v>-34615.93</v>
      </c>
      <c r="J13" s="115">
        <v>-40261.94</v>
      </c>
      <c r="K13" s="115">
        <v>-40221.519999999997</v>
      </c>
      <c r="L13" s="200">
        <v>-42117.52</v>
      </c>
      <c r="M13" s="201"/>
      <c r="N13" s="116">
        <v>-157216.9</v>
      </c>
      <c r="O13" s="115">
        <v>-44092.05</v>
      </c>
      <c r="P13" s="115">
        <v>-46453.41</v>
      </c>
      <c r="Q13" s="115">
        <v>-42110.67</v>
      </c>
      <c r="R13" s="115">
        <v>-45970.15</v>
      </c>
      <c r="S13" s="115">
        <v>-178626.28</v>
      </c>
      <c r="T13" s="115">
        <v>-43334.43</v>
      </c>
      <c r="U13" s="115">
        <v>-45792.76</v>
      </c>
      <c r="V13" s="115">
        <v>-43732.56</v>
      </c>
      <c r="W13" s="115">
        <v>-43365.56</v>
      </c>
      <c r="X13" s="115">
        <v>-176225.32</v>
      </c>
      <c r="Y13" s="115">
        <v>-40581.480000000003</v>
      </c>
      <c r="Z13" s="115">
        <v>-44874.44</v>
      </c>
      <c r="AA13" s="115">
        <v>-42039.37</v>
      </c>
      <c r="AB13" s="115">
        <v>-40790.65</v>
      </c>
      <c r="AC13" s="115">
        <v>-168285.94</v>
      </c>
      <c r="AD13" s="115">
        <v>-34759.94</v>
      </c>
      <c r="AE13" s="115">
        <v>-35556.660000000003</v>
      </c>
      <c r="AF13" s="115">
        <v>-31680.400000000001</v>
      </c>
      <c r="AG13" s="115">
        <v>-32408.63</v>
      </c>
      <c r="AH13" s="115">
        <v>-134405.63</v>
      </c>
      <c r="AI13" s="115">
        <v>-30400.53</v>
      </c>
      <c r="AJ13" s="115">
        <v>-32481.919999999998</v>
      </c>
      <c r="AK13" s="115">
        <v>-30886.19</v>
      </c>
      <c r="AL13" s="115">
        <v>-34591.58</v>
      </c>
      <c r="AM13" s="115">
        <v>-128360.23</v>
      </c>
      <c r="AN13" s="115">
        <v>-34968.839999999997</v>
      </c>
      <c r="AO13" s="115">
        <v>-34236.629999999997</v>
      </c>
      <c r="AP13" s="115">
        <v>-37781.480000000003</v>
      </c>
      <c r="AQ13" s="115">
        <v>-42099.89</v>
      </c>
      <c r="AR13" s="115">
        <v>-149086.84</v>
      </c>
      <c r="AS13" s="115">
        <v>-41728.019999999997</v>
      </c>
      <c r="AT13" s="115">
        <v>-42750</v>
      </c>
      <c r="AU13" s="115">
        <v>-47306.92</v>
      </c>
      <c r="AV13" s="115">
        <v>-47136.6</v>
      </c>
      <c r="AW13" s="115">
        <v>-178921.55</v>
      </c>
      <c r="AX13" s="115">
        <v>-39630.25</v>
      </c>
      <c r="AY13" s="115">
        <v>-39161.46</v>
      </c>
      <c r="AZ13" s="115">
        <v>-41776.800000000003</v>
      </c>
      <c r="BA13" s="115">
        <v>-42695.94</v>
      </c>
      <c r="BB13" s="115">
        <v>-163264.45000000001</v>
      </c>
      <c r="BC13" s="115">
        <v>-36802.449999999997</v>
      </c>
      <c r="BD13" s="115">
        <v>-30526.639999999999</v>
      </c>
      <c r="BE13" s="115">
        <v>-30474.06</v>
      </c>
      <c r="BF13" s="115">
        <v>-35489.1</v>
      </c>
      <c r="BG13" s="115">
        <v>-133292.25</v>
      </c>
      <c r="BH13" s="115">
        <v>-41186.400000000001</v>
      </c>
      <c r="BI13" s="115">
        <v>-45428.45</v>
      </c>
      <c r="BJ13" s="115">
        <v>-45677.05</v>
      </c>
      <c r="BK13" s="115">
        <v>-54185.29</v>
      </c>
      <c r="BL13" s="115">
        <v>-186477.18</v>
      </c>
      <c r="BM13" s="115">
        <v>-54951.96</v>
      </c>
      <c r="BN13" s="115">
        <v>-57660.54</v>
      </c>
      <c r="BO13" s="115">
        <v>-58911.26</v>
      </c>
      <c r="BP13" s="115">
        <v>-54991.57</v>
      </c>
      <c r="BQ13" s="115">
        <v>-226515.33</v>
      </c>
      <c r="BR13" s="115">
        <v>-52082.09</v>
      </c>
      <c r="BS13" s="115"/>
      <c r="BT13" s="117"/>
      <c r="BU13" s="123" t="s">
        <v>699</v>
      </c>
      <c r="BV13" s="119">
        <v>7</v>
      </c>
    </row>
    <row r="14" spans="1:75" s="112" customFormat="1" ht="11.65" customHeight="1" x14ac:dyDescent="0.15">
      <c r="A14" s="113">
        <v>8</v>
      </c>
      <c r="C14" s="122" t="s">
        <v>700</v>
      </c>
      <c r="D14" s="115">
        <v>5978.48</v>
      </c>
      <c r="E14" s="115">
        <v>5352.91</v>
      </c>
      <c r="F14" s="115">
        <v>6552.72</v>
      </c>
      <c r="G14" s="115">
        <v>8866.16</v>
      </c>
      <c r="H14" s="116">
        <v>26750.27</v>
      </c>
      <c r="I14" s="115">
        <v>8103.36</v>
      </c>
      <c r="J14" s="115">
        <v>10101.780000000001</v>
      </c>
      <c r="K14" s="115">
        <v>8974.94</v>
      </c>
      <c r="L14" s="200">
        <v>5685.42</v>
      </c>
      <c r="M14" s="201"/>
      <c r="N14" s="116">
        <v>32865.5</v>
      </c>
      <c r="O14" s="115">
        <v>4357.75</v>
      </c>
      <c r="P14" s="115">
        <v>1513.06</v>
      </c>
      <c r="Q14" s="115">
        <v>3231.32</v>
      </c>
      <c r="R14" s="115">
        <v>2847.72</v>
      </c>
      <c r="S14" s="115">
        <v>11949.85</v>
      </c>
      <c r="T14" s="115">
        <v>4104.67</v>
      </c>
      <c r="U14" s="115">
        <v>1261.5899999999999</v>
      </c>
      <c r="V14" s="115">
        <v>2134.81</v>
      </c>
      <c r="W14" s="115">
        <v>6276.17</v>
      </c>
      <c r="X14" s="115">
        <v>13777.23</v>
      </c>
      <c r="Y14" s="115">
        <v>5580.95</v>
      </c>
      <c r="Z14" s="115">
        <v>2474.85</v>
      </c>
      <c r="AA14" s="115">
        <v>4325.7299999999996</v>
      </c>
      <c r="AB14" s="115">
        <v>4922.12</v>
      </c>
      <c r="AC14" s="115">
        <v>17303.64</v>
      </c>
      <c r="AD14" s="115">
        <v>3946.84</v>
      </c>
      <c r="AE14" s="115">
        <v>5932.07</v>
      </c>
      <c r="AF14" s="115">
        <v>6157.85</v>
      </c>
      <c r="AG14" s="115">
        <v>2985.76</v>
      </c>
      <c r="AH14" s="115">
        <v>19022.52</v>
      </c>
      <c r="AI14" s="115">
        <v>3203.45</v>
      </c>
      <c r="AJ14" s="115">
        <v>4938.07</v>
      </c>
      <c r="AK14" s="115">
        <v>5003.21</v>
      </c>
      <c r="AL14" s="115">
        <v>6371.29</v>
      </c>
      <c r="AM14" s="115">
        <v>19516.02</v>
      </c>
      <c r="AN14" s="115">
        <v>7647.47</v>
      </c>
      <c r="AO14" s="115">
        <v>6115.26</v>
      </c>
      <c r="AP14" s="115">
        <v>6323.24</v>
      </c>
      <c r="AQ14" s="115">
        <v>5178.3599999999997</v>
      </c>
      <c r="AR14" s="115">
        <v>25264.32</v>
      </c>
      <c r="AS14" s="115">
        <v>4431.82</v>
      </c>
      <c r="AT14" s="115">
        <v>3239.61</v>
      </c>
      <c r="AU14" s="115">
        <v>3397.26</v>
      </c>
      <c r="AV14" s="115">
        <v>117.05</v>
      </c>
      <c r="AW14" s="115">
        <v>11185.75</v>
      </c>
      <c r="AX14" s="115">
        <v>2906.56</v>
      </c>
      <c r="AY14" s="115">
        <v>3111.18</v>
      </c>
      <c r="AZ14" s="115">
        <v>2744.45</v>
      </c>
      <c r="BA14" s="115">
        <v>3203.3</v>
      </c>
      <c r="BB14" s="115">
        <v>11965.49</v>
      </c>
      <c r="BC14" s="115">
        <v>5890.77</v>
      </c>
      <c r="BD14" s="115">
        <v>3288.6</v>
      </c>
      <c r="BE14" s="115">
        <v>9442.1299999999992</v>
      </c>
      <c r="BF14" s="115">
        <v>11332.31</v>
      </c>
      <c r="BG14" s="115">
        <v>29953.81</v>
      </c>
      <c r="BH14" s="115">
        <v>9976.0499999999993</v>
      </c>
      <c r="BI14" s="115">
        <v>11580.79</v>
      </c>
      <c r="BJ14" s="115">
        <v>18119.939999999999</v>
      </c>
      <c r="BK14" s="115">
        <v>18127.650000000001</v>
      </c>
      <c r="BL14" s="115">
        <v>57804.43</v>
      </c>
      <c r="BM14" s="115">
        <v>17209.59</v>
      </c>
      <c r="BN14" s="115">
        <v>24444.51</v>
      </c>
      <c r="BO14" s="115">
        <v>25160.38</v>
      </c>
      <c r="BP14" s="115">
        <v>22958.03</v>
      </c>
      <c r="BQ14" s="115">
        <v>89772.51</v>
      </c>
      <c r="BR14" s="115">
        <v>19015.150000000001</v>
      </c>
      <c r="BS14" s="115"/>
      <c r="BT14" s="117"/>
      <c r="BU14" s="123" t="s">
        <v>701</v>
      </c>
      <c r="BV14" s="119">
        <v>8</v>
      </c>
    </row>
    <row r="15" spans="1:75" s="112" customFormat="1" ht="11.65" customHeight="1" x14ac:dyDescent="0.15">
      <c r="A15" s="113">
        <v>9</v>
      </c>
      <c r="C15" s="124" t="s">
        <v>696</v>
      </c>
      <c r="D15" s="115">
        <v>26402.25</v>
      </c>
      <c r="E15" s="115">
        <v>27884.74</v>
      </c>
      <c r="F15" s="115">
        <v>30463.19</v>
      </c>
      <c r="G15" s="115">
        <v>35457.82</v>
      </c>
      <c r="H15" s="116">
        <v>120208.01</v>
      </c>
      <c r="I15" s="115">
        <v>34275.339999999997</v>
      </c>
      <c r="J15" s="115">
        <v>39462.31</v>
      </c>
      <c r="K15" s="115">
        <v>39397.300000000003</v>
      </c>
      <c r="L15" s="200">
        <v>38230.639999999999</v>
      </c>
      <c r="M15" s="201"/>
      <c r="N15" s="116">
        <v>151365.6</v>
      </c>
      <c r="O15" s="115">
        <v>37785.120000000003</v>
      </c>
      <c r="P15" s="115">
        <v>37706.07</v>
      </c>
      <c r="Q15" s="115">
        <v>36431.89</v>
      </c>
      <c r="R15" s="115">
        <v>37842.67</v>
      </c>
      <c r="S15" s="115">
        <v>149765.76000000001</v>
      </c>
      <c r="T15" s="115">
        <v>36111.25</v>
      </c>
      <c r="U15" s="115">
        <v>37037.089999999997</v>
      </c>
      <c r="V15" s="115">
        <v>34703.74</v>
      </c>
      <c r="W15" s="115">
        <v>38853.49</v>
      </c>
      <c r="X15" s="115">
        <v>146705.57</v>
      </c>
      <c r="Y15" s="115">
        <v>35821.519999999997</v>
      </c>
      <c r="Z15" s="115">
        <v>36656.68</v>
      </c>
      <c r="AA15" s="115">
        <v>35969.89</v>
      </c>
      <c r="AB15" s="115">
        <v>36559.81</v>
      </c>
      <c r="AC15" s="115">
        <v>145007.89000000001</v>
      </c>
      <c r="AD15" s="115">
        <v>33068.44</v>
      </c>
      <c r="AE15" s="115">
        <v>34721.9</v>
      </c>
      <c r="AF15" s="115">
        <v>32037.54</v>
      </c>
      <c r="AG15" s="115">
        <v>30713.13</v>
      </c>
      <c r="AH15" s="115">
        <v>130541.01</v>
      </c>
      <c r="AI15" s="115">
        <v>29848.959999999999</v>
      </c>
      <c r="AJ15" s="115">
        <v>32753.439999999999</v>
      </c>
      <c r="AK15" s="115">
        <v>31292.26</v>
      </c>
      <c r="AL15" s="115">
        <v>36293.81</v>
      </c>
      <c r="AM15" s="115">
        <v>130188.47</v>
      </c>
      <c r="AN15" s="115">
        <v>36479.46</v>
      </c>
      <c r="AO15" s="115">
        <v>35388</v>
      </c>
      <c r="AP15" s="115">
        <v>38958.370000000003</v>
      </c>
      <c r="AQ15" s="115">
        <v>40602.93</v>
      </c>
      <c r="AR15" s="115">
        <v>151428.76</v>
      </c>
      <c r="AS15" s="115">
        <v>39655.33</v>
      </c>
      <c r="AT15" s="115">
        <v>38798.04</v>
      </c>
      <c r="AU15" s="115">
        <v>42586.01</v>
      </c>
      <c r="AV15" s="115">
        <v>40049.17</v>
      </c>
      <c r="AW15" s="115">
        <v>161088.54999999999</v>
      </c>
      <c r="AX15" s="115">
        <v>37373.699999999997</v>
      </c>
      <c r="AY15" s="115">
        <v>36437.519999999997</v>
      </c>
      <c r="AZ15" s="115">
        <v>39455.949999999997</v>
      </c>
      <c r="BA15" s="115">
        <v>39662.559999999998</v>
      </c>
      <c r="BB15" s="115">
        <v>152929.73000000001</v>
      </c>
      <c r="BC15" s="115">
        <v>37768.28</v>
      </c>
      <c r="BD15" s="115">
        <v>31237.33</v>
      </c>
      <c r="BE15" s="115">
        <v>37196.879999999997</v>
      </c>
      <c r="BF15" s="115">
        <v>43177.05</v>
      </c>
      <c r="BG15" s="115">
        <v>149379.54999999999</v>
      </c>
      <c r="BH15" s="115">
        <v>45876.15</v>
      </c>
      <c r="BI15" s="115">
        <v>50527.8</v>
      </c>
      <c r="BJ15" s="115">
        <v>58105.13</v>
      </c>
      <c r="BK15" s="115">
        <v>63606.77</v>
      </c>
      <c r="BL15" s="115">
        <v>218115.85</v>
      </c>
      <c r="BM15" s="115">
        <v>62654.57</v>
      </c>
      <c r="BN15" s="115">
        <v>70067.149999999994</v>
      </c>
      <c r="BO15" s="115">
        <v>73195.5</v>
      </c>
      <c r="BP15" s="115">
        <v>68553.960000000006</v>
      </c>
      <c r="BQ15" s="115">
        <v>274471.18</v>
      </c>
      <c r="BR15" s="115">
        <v>63013.440000000002</v>
      </c>
      <c r="BS15" s="115"/>
      <c r="BT15" s="117"/>
      <c r="BU15" s="125" t="s">
        <v>697</v>
      </c>
      <c r="BV15" s="119">
        <v>9</v>
      </c>
    </row>
    <row r="16" spans="1:75" s="112" customFormat="1" ht="11.65" customHeight="1" x14ac:dyDescent="0.15">
      <c r="A16" s="113">
        <v>10</v>
      </c>
      <c r="C16" s="124" t="s">
        <v>698</v>
      </c>
      <c r="D16" s="115">
        <v>-20423.77</v>
      </c>
      <c r="E16" s="115">
        <v>-22531.84</v>
      </c>
      <c r="F16" s="115">
        <v>-23910.47</v>
      </c>
      <c r="G16" s="115">
        <v>-26591.66</v>
      </c>
      <c r="H16" s="116">
        <v>-93457.74</v>
      </c>
      <c r="I16" s="115">
        <v>-26171.98</v>
      </c>
      <c r="J16" s="115">
        <v>-29360.53</v>
      </c>
      <c r="K16" s="115">
        <v>-30422.36</v>
      </c>
      <c r="L16" s="200">
        <v>-32545.23</v>
      </c>
      <c r="M16" s="201"/>
      <c r="N16" s="116">
        <v>-118500.1</v>
      </c>
      <c r="O16" s="115">
        <v>-33427.370000000003</v>
      </c>
      <c r="P16" s="115">
        <v>-36193.01</v>
      </c>
      <c r="Q16" s="115">
        <v>-33200.57</v>
      </c>
      <c r="R16" s="115">
        <v>-34994.949999999997</v>
      </c>
      <c r="S16" s="115">
        <v>-137815.9</v>
      </c>
      <c r="T16" s="115">
        <v>-32006.59</v>
      </c>
      <c r="U16" s="115">
        <v>-35775.5</v>
      </c>
      <c r="V16" s="115">
        <v>-32568.93</v>
      </c>
      <c r="W16" s="115">
        <v>-32577.32</v>
      </c>
      <c r="X16" s="115">
        <v>-132928.34</v>
      </c>
      <c r="Y16" s="115">
        <v>-30240.57</v>
      </c>
      <c r="Z16" s="115">
        <v>-34181.83</v>
      </c>
      <c r="AA16" s="115">
        <v>-31644.16</v>
      </c>
      <c r="AB16" s="115">
        <v>-31637.69</v>
      </c>
      <c r="AC16" s="115">
        <v>-127704.25</v>
      </c>
      <c r="AD16" s="115">
        <v>-29121.599999999999</v>
      </c>
      <c r="AE16" s="115">
        <v>-28789.83</v>
      </c>
      <c r="AF16" s="115">
        <v>-25879.69</v>
      </c>
      <c r="AG16" s="115">
        <v>-27727.37</v>
      </c>
      <c r="AH16" s="115">
        <v>-111518.49</v>
      </c>
      <c r="AI16" s="115">
        <v>-26645.51</v>
      </c>
      <c r="AJ16" s="115">
        <v>-27815.37</v>
      </c>
      <c r="AK16" s="115">
        <v>-26289.06</v>
      </c>
      <c r="AL16" s="115">
        <v>-29922.51</v>
      </c>
      <c r="AM16" s="115">
        <v>-110672.45</v>
      </c>
      <c r="AN16" s="115">
        <v>-28831.99</v>
      </c>
      <c r="AO16" s="115">
        <v>-29272.74</v>
      </c>
      <c r="AP16" s="115">
        <v>-32635.13</v>
      </c>
      <c r="AQ16" s="115">
        <v>-35424.57</v>
      </c>
      <c r="AR16" s="115">
        <v>-126164.43</v>
      </c>
      <c r="AS16" s="115">
        <v>-35223.51</v>
      </c>
      <c r="AT16" s="115">
        <v>-35558.43</v>
      </c>
      <c r="AU16" s="115">
        <v>-39188.75</v>
      </c>
      <c r="AV16" s="115">
        <v>-39932.120000000003</v>
      </c>
      <c r="AW16" s="115">
        <v>-149902.79999999999</v>
      </c>
      <c r="AX16" s="115">
        <v>-34467.15</v>
      </c>
      <c r="AY16" s="115">
        <v>-33326.33</v>
      </c>
      <c r="AZ16" s="115">
        <v>-36711.5</v>
      </c>
      <c r="BA16" s="115">
        <v>-36459.26</v>
      </c>
      <c r="BB16" s="115">
        <v>-140964.24</v>
      </c>
      <c r="BC16" s="115">
        <v>-31877.51</v>
      </c>
      <c r="BD16" s="115">
        <v>-27948.73</v>
      </c>
      <c r="BE16" s="115">
        <v>-27754.75</v>
      </c>
      <c r="BF16" s="115">
        <v>-31844.74</v>
      </c>
      <c r="BG16" s="115">
        <v>-119425.74</v>
      </c>
      <c r="BH16" s="115">
        <v>-35900.1</v>
      </c>
      <c r="BI16" s="115">
        <v>-38947.01</v>
      </c>
      <c r="BJ16" s="115">
        <v>-39985.19</v>
      </c>
      <c r="BK16" s="115">
        <v>-45479.12</v>
      </c>
      <c r="BL16" s="115">
        <v>-160311.42000000001</v>
      </c>
      <c r="BM16" s="115">
        <v>-45444.98</v>
      </c>
      <c r="BN16" s="115">
        <v>-45622.64</v>
      </c>
      <c r="BO16" s="115">
        <v>-48035.13</v>
      </c>
      <c r="BP16" s="115">
        <v>-45595.92</v>
      </c>
      <c r="BQ16" s="115">
        <v>-184698.67</v>
      </c>
      <c r="BR16" s="115">
        <v>-43998.29</v>
      </c>
      <c r="BS16" s="115"/>
      <c r="BT16" s="117"/>
      <c r="BU16" s="125" t="s">
        <v>699</v>
      </c>
      <c r="BV16" s="119">
        <v>10</v>
      </c>
    </row>
    <row r="17" spans="1:74" s="112" customFormat="1" ht="11.65" customHeight="1" x14ac:dyDescent="0.15">
      <c r="A17" s="113">
        <v>11</v>
      </c>
      <c r="C17" s="122" t="s">
        <v>702</v>
      </c>
      <c r="D17" s="115">
        <v>1142.2</v>
      </c>
      <c r="E17" s="115">
        <v>966.7</v>
      </c>
      <c r="F17" s="115">
        <v>988.49</v>
      </c>
      <c r="G17" s="115">
        <v>134.97999999999999</v>
      </c>
      <c r="H17" s="116">
        <v>3232.37</v>
      </c>
      <c r="I17" s="115">
        <v>365.19</v>
      </c>
      <c r="J17" s="115">
        <v>-1398.98</v>
      </c>
      <c r="K17" s="115">
        <v>408.67</v>
      </c>
      <c r="L17" s="200">
        <v>-25.02</v>
      </c>
      <c r="M17" s="201"/>
      <c r="N17" s="116">
        <v>-650.13</v>
      </c>
      <c r="O17" s="115">
        <v>-883.87</v>
      </c>
      <c r="P17" s="115">
        <v>-1155.82</v>
      </c>
      <c r="Q17" s="115">
        <v>-778.71</v>
      </c>
      <c r="R17" s="115">
        <v>-2420.5500000000002</v>
      </c>
      <c r="S17" s="115">
        <v>-5238.9399999999996</v>
      </c>
      <c r="T17" s="115">
        <v>-2854.85</v>
      </c>
      <c r="U17" s="115">
        <v>-2103.96</v>
      </c>
      <c r="V17" s="115">
        <v>-2626.11</v>
      </c>
      <c r="W17" s="115">
        <v>-2123.64</v>
      </c>
      <c r="X17" s="115">
        <v>-9708.56</v>
      </c>
      <c r="Y17" s="115">
        <v>-2748.87</v>
      </c>
      <c r="Z17" s="115">
        <v>-3178.18</v>
      </c>
      <c r="AA17" s="115">
        <v>-3133.51</v>
      </c>
      <c r="AB17" s="115">
        <v>-2769.05</v>
      </c>
      <c r="AC17" s="115">
        <v>-11829.61</v>
      </c>
      <c r="AD17" s="115">
        <v>-1120.81</v>
      </c>
      <c r="AE17" s="115">
        <v>-1876.46</v>
      </c>
      <c r="AF17" s="115">
        <v>-2003.72</v>
      </c>
      <c r="AG17" s="115">
        <v>-702.49</v>
      </c>
      <c r="AH17" s="115">
        <v>-5703.49</v>
      </c>
      <c r="AI17" s="115">
        <v>-901</v>
      </c>
      <c r="AJ17" s="115">
        <v>-1436.65</v>
      </c>
      <c r="AK17" s="115">
        <v>-1328.24</v>
      </c>
      <c r="AL17" s="115">
        <v>-1105.74</v>
      </c>
      <c r="AM17" s="115">
        <v>-4771.63</v>
      </c>
      <c r="AN17" s="115">
        <v>-2177.3200000000002</v>
      </c>
      <c r="AO17" s="115">
        <v>-1540.47</v>
      </c>
      <c r="AP17" s="115">
        <v>-1280.8900000000001</v>
      </c>
      <c r="AQ17" s="115">
        <v>-2350.77</v>
      </c>
      <c r="AR17" s="115">
        <v>-7349.45</v>
      </c>
      <c r="AS17" s="115">
        <v>-2410.91</v>
      </c>
      <c r="AT17" s="115">
        <v>-2745.94</v>
      </c>
      <c r="AU17" s="115">
        <v>-3468.92</v>
      </c>
      <c r="AV17" s="115">
        <v>-2778.8</v>
      </c>
      <c r="AW17" s="115">
        <v>-11404.56</v>
      </c>
      <c r="AX17" s="115">
        <v>-2133.39</v>
      </c>
      <c r="AY17" s="115">
        <v>-2889.14</v>
      </c>
      <c r="AZ17" s="115">
        <v>-2059.63</v>
      </c>
      <c r="BA17" s="115">
        <v>-3236.8</v>
      </c>
      <c r="BB17" s="115">
        <v>-10318.959999999999</v>
      </c>
      <c r="BC17" s="115">
        <v>-2616.77</v>
      </c>
      <c r="BD17" s="115">
        <v>-821.08</v>
      </c>
      <c r="BE17" s="115">
        <v>-714.94</v>
      </c>
      <c r="BF17" s="115">
        <v>-1233.3399999999999</v>
      </c>
      <c r="BG17" s="115">
        <v>-5386.13</v>
      </c>
      <c r="BH17" s="115">
        <v>-2268.92</v>
      </c>
      <c r="BI17" s="115">
        <v>-3143.74</v>
      </c>
      <c r="BJ17" s="115">
        <v>-2507.92</v>
      </c>
      <c r="BK17" s="115">
        <v>-5044.6000000000004</v>
      </c>
      <c r="BL17" s="115">
        <v>-12965.18</v>
      </c>
      <c r="BM17" s="115">
        <v>-5693.96</v>
      </c>
      <c r="BN17" s="115">
        <v>-7186.98</v>
      </c>
      <c r="BO17" s="115">
        <v>-6480.89</v>
      </c>
      <c r="BP17" s="115">
        <v>-5415.38</v>
      </c>
      <c r="BQ17" s="115">
        <v>-24777.21</v>
      </c>
      <c r="BR17" s="115">
        <v>-3960.35</v>
      </c>
      <c r="BS17" s="115"/>
      <c r="BT17" s="117"/>
      <c r="BU17" s="123" t="s">
        <v>703</v>
      </c>
      <c r="BV17" s="119">
        <v>11</v>
      </c>
    </row>
    <row r="18" spans="1:74" s="112" customFormat="1" ht="11.65" customHeight="1" x14ac:dyDescent="0.15">
      <c r="A18" s="113">
        <v>12</v>
      </c>
      <c r="C18" s="124" t="s">
        <v>696</v>
      </c>
      <c r="D18" s="115">
        <v>6577.32</v>
      </c>
      <c r="E18" s="115">
        <v>7146.26</v>
      </c>
      <c r="F18" s="115">
        <v>6949.76</v>
      </c>
      <c r="G18" s="115">
        <v>7985.12</v>
      </c>
      <c r="H18" s="116">
        <v>28658.46</v>
      </c>
      <c r="I18" s="115">
        <v>8809.14</v>
      </c>
      <c r="J18" s="115">
        <v>9502.43</v>
      </c>
      <c r="K18" s="115">
        <v>10207.83</v>
      </c>
      <c r="L18" s="200">
        <v>9547.27</v>
      </c>
      <c r="M18" s="201"/>
      <c r="N18" s="116">
        <v>38066.67</v>
      </c>
      <c r="O18" s="115">
        <v>9780.7999999999993</v>
      </c>
      <c r="P18" s="115">
        <v>9104.58</v>
      </c>
      <c r="Q18" s="115">
        <v>8131.4</v>
      </c>
      <c r="R18" s="115">
        <v>8554.65</v>
      </c>
      <c r="S18" s="115">
        <v>35571.43</v>
      </c>
      <c r="T18" s="115">
        <v>8472.99</v>
      </c>
      <c r="U18" s="115">
        <v>7913.3</v>
      </c>
      <c r="V18" s="115">
        <v>8537.52</v>
      </c>
      <c r="W18" s="115">
        <v>8664.61</v>
      </c>
      <c r="X18" s="115">
        <v>33588.42</v>
      </c>
      <c r="Y18" s="115">
        <v>7592.05</v>
      </c>
      <c r="Z18" s="115">
        <v>7514.43</v>
      </c>
      <c r="AA18" s="115">
        <v>7261.69</v>
      </c>
      <c r="AB18" s="115">
        <v>6383.9</v>
      </c>
      <c r="AC18" s="115">
        <v>28752.07</v>
      </c>
      <c r="AD18" s="115">
        <v>4517.5200000000004</v>
      </c>
      <c r="AE18" s="115">
        <v>4890.37</v>
      </c>
      <c r="AF18" s="115">
        <v>3796.99</v>
      </c>
      <c r="AG18" s="115">
        <v>3978.77</v>
      </c>
      <c r="AH18" s="115">
        <v>17183.650000000001</v>
      </c>
      <c r="AI18" s="115">
        <v>2854.02</v>
      </c>
      <c r="AJ18" s="115">
        <v>3229.9</v>
      </c>
      <c r="AK18" s="115">
        <v>3268.89</v>
      </c>
      <c r="AL18" s="115">
        <v>3563.33</v>
      </c>
      <c r="AM18" s="115">
        <v>12916.14</v>
      </c>
      <c r="AN18" s="115">
        <v>3959.53</v>
      </c>
      <c r="AO18" s="115">
        <v>3423.42</v>
      </c>
      <c r="AP18" s="115">
        <v>3865.46</v>
      </c>
      <c r="AQ18" s="115">
        <v>4324.55</v>
      </c>
      <c r="AR18" s="115">
        <v>15572.96</v>
      </c>
      <c r="AS18" s="115">
        <v>4093.61</v>
      </c>
      <c r="AT18" s="115">
        <v>4445.6400000000003</v>
      </c>
      <c r="AU18" s="115">
        <v>4649.26</v>
      </c>
      <c r="AV18" s="115">
        <v>4425.68</v>
      </c>
      <c r="AW18" s="115">
        <v>17614.18</v>
      </c>
      <c r="AX18" s="115">
        <v>3029.71</v>
      </c>
      <c r="AY18" s="115">
        <v>2945.99</v>
      </c>
      <c r="AZ18" s="115">
        <v>3005.67</v>
      </c>
      <c r="BA18" s="115">
        <v>2999.89</v>
      </c>
      <c r="BB18" s="115">
        <v>11981.26</v>
      </c>
      <c r="BC18" s="115">
        <v>2308.16</v>
      </c>
      <c r="BD18" s="115">
        <v>1756.82</v>
      </c>
      <c r="BE18" s="115">
        <v>2004.37</v>
      </c>
      <c r="BF18" s="115">
        <v>2411.02</v>
      </c>
      <c r="BG18" s="115">
        <v>8480.3799999999992</v>
      </c>
      <c r="BH18" s="115">
        <v>3017.38</v>
      </c>
      <c r="BI18" s="115">
        <v>3337.7</v>
      </c>
      <c r="BJ18" s="115">
        <v>3183.94</v>
      </c>
      <c r="BK18" s="115">
        <v>3661.56</v>
      </c>
      <c r="BL18" s="115">
        <v>13200.58</v>
      </c>
      <c r="BM18" s="115">
        <v>3813.02</v>
      </c>
      <c r="BN18" s="115">
        <v>4850.93</v>
      </c>
      <c r="BO18" s="115">
        <v>4395.24</v>
      </c>
      <c r="BP18" s="115">
        <v>3980.26</v>
      </c>
      <c r="BQ18" s="115">
        <v>17039.45</v>
      </c>
      <c r="BR18" s="115">
        <v>4123.45</v>
      </c>
      <c r="BS18" s="115"/>
      <c r="BT18" s="117"/>
      <c r="BU18" s="125" t="s">
        <v>697</v>
      </c>
      <c r="BV18" s="119">
        <v>12</v>
      </c>
    </row>
    <row r="19" spans="1:74" s="112" customFormat="1" ht="11.65" customHeight="1" x14ac:dyDescent="0.15">
      <c r="A19" s="113">
        <v>13</v>
      </c>
      <c r="C19" s="124" t="s">
        <v>698</v>
      </c>
      <c r="D19" s="115">
        <v>-5435.12</v>
      </c>
      <c r="E19" s="115">
        <v>-6179.57</v>
      </c>
      <c r="F19" s="115">
        <v>-5961.26</v>
      </c>
      <c r="G19" s="115">
        <v>-7850.14</v>
      </c>
      <c r="H19" s="116">
        <v>-25426.09</v>
      </c>
      <c r="I19" s="115">
        <v>-8443.9500000000007</v>
      </c>
      <c r="J19" s="115">
        <v>-10901.41</v>
      </c>
      <c r="K19" s="115">
        <v>-9799.16</v>
      </c>
      <c r="L19" s="200">
        <v>-9572.2900000000009</v>
      </c>
      <c r="M19" s="201"/>
      <c r="N19" s="116">
        <v>-38716.800000000003</v>
      </c>
      <c r="O19" s="115">
        <v>-10664.67</v>
      </c>
      <c r="P19" s="115">
        <v>-10260.4</v>
      </c>
      <c r="Q19" s="115">
        <v>-8910.1</v>
      </c>
      <c r="R19" s="115">
        <v>-10975.2</v>
      </c>
      <c r="S19" s="115">
        <v>-40810.379999999997</v>
      </c>
      <c r="T19" s="115">
        <v>-11327.84</v>
      </c>
      <c r="U19" s="115">
        <v>-10017.26</v>
      </c>
      <c r="V19" s="115">
        <v>-11163.63</v>
      </c>
      <c r="W19" s="115">
        <v>-10788.24</v>
      </c>
      <c r="X19" s="115">
        <v>-43296.98</v>
      </c>
      <c r="Y19" s="115">
        <v>-10340.91</v>
      </c>
      <c r="Z19" s="115">
        <v>-10692.61</v>
      </c>
      <c r="AA19" s="115">
        <v>-10395.200000000001</v>
      </c>
      <c r="AB19" s="115">
        <v>-9152.9599999999991</v>
      </c>
      <c r="AC19" s="115">
        <v>-40581.68</v>
      </c>
      <c r="AD19" s="115">
        <v>-5638.33</v>
      </c>
      <c r="AE19" s="115">
        <v>-6766.83</v>
      </c>
      <c r="AF19" s="115">
        <v>-5800.71</v>
      </c>
      <c r="AG19" s="115">
        <v>-4681.26</v>
      </c>
      <c r="AH19" s="115">
        <v>-22887.14</v>
      </c>
      <c r="AI19" s="115">
        <v>-3755.02</v>
      </c>
      <c r="AJ19" s="115">
        <v>-4666.55</v>
      </c>
      <c r="AK19" s="115">
        <v>-4597.13</v>
      </c>
      <c r="AL19" s="115">
        <v>-4669.07</v>
      </c>
      <c r="AM19" s="115">
        <v>-17687.78</v>
      </c>
      <c r="AN19" s="115">
        <v>-6136.85</v>
      </c>
      <c r="AO19" s="115">
        <v>-4963.8900000000003</v>
      </c>
      <c r="AP19" s="115">
        <v>-5146.3500000000004</v>
      </c>
      <c r="AQ19" s="115">
        <v>-6675.32</v>
      </c>
      <c r="AR19" s="115">
        <v>-22922.41</v>
      </c>
      <c r="AS19" s="115">
        <v>-6504.51</v>
      </c>
      <c r="AT19" s="115">
        <v>-7191.57</v>
      </c>
      <c r="AU19" s="115">
        <v>-8118.17</v>
      </c>
      <c r="AV19" s="115">
        <v>-7204.49</v>
      </c>
      <c r="AW19" s="115">
        <v>-29018.75</v>
      </c>
      <c r="AX19" s="115">
        <v>-5163.1000000000004</v>
      </c>
      <c r="AY19" s="115">
        <v>-5835.13</v>
      </c>
      <c r="AZ19" s="115">
        <v>-5065.3</v>
      </c>
      <c r="BA19" s="115">
        <v>-6236.68</v>
      </c>
      <c r="BB19" s="115">
        <v>-22300.22</v>
      </c>
      <c r="BC19" s="115">
        <v>-4924.9399999999996</v>
      </c>
      <c r="BD19" s="115">
        <v>-2577.9</v>
      </c>
      <c r="BE19" s="115">
        <v>-2719.31</v>
      </c>
      <c r="BF19" s="115">
        <v>-3644.36</v>
      </c>
      <c r="BG19" s="115">
        <v>-13866.51</v>
      </c>
      <c r="BH19" s="115">
        <v>-5286.3</v>
      </c>
      <c r="BI19" s="115">
        <v>-6481.44</v>
      </c>
      <c r="BJ19" s="115">
        <v>-5691.86</v>
      </c>
      <c r="BK19" s="115">
        <v>-8706.16</v>
      </c>
      <c r="BL19" s="115">
        <v>-26165.759999999998</v>
      </c>
      <c r="BM19" s="115">
        <v>-9506.98</v>
      </c>
      <c r="BN19" s="115">
        <v>-12037.9</v>
      </c>
      <c r="BO19" s="115">
        <v>-10876.13</v>
      </c>
      <c r="BP19" s="115">
        <v>-9395.64</v>
      </c>
      <c r="BQ19" s="115">
        <v>-41816.660000000003</v>
      </c>
      <c r="BR19" s="115">
        <v>-8083.8</v>
      </c>
      <c r="BS19" s="115"/>
      <c r="BT19" s="117"/>
      <c r="BU19" s="125" t="s">
        <v>699</v>
      </c>
      <c r="BV19" s="119">
        <v>13</v>
      </c>
    </row>
    <row r="20" spans="1:74" s="112" customFormat="1" ht="11.65" customHeight="1" x14ac:dyDescent="0.15">
      <c r="A20" s="113">
        <v>14</v>
      </c>
      <c r="C20" s="120" t="s">
        <v>704</v>
      </c>
      <c r="D20" s="115">
        <v>176.83</v>
      </c>
      <c r="E20" s="115">
        <v>413.3</v>
      </c>
      <c r="F20" s="115">
        <v>177.51</v>
      </c>
      <c r="G20" s="115">
        <v>252.38</v>
      </c>
      <c r="H20" s="116">
        <v>1020.02</v>
      </c>
      <c r="I20" s="115">
        <v>227.52</v>
      </c>
      <c r="J20" s="115">
        <v>472</v>
      </c>
      <c r="K20" s="115">
        <v>320.60000000000002</v>
      </c>
      <c r="L20" s="200">
        <v>589.52</v>
      </c>
      <c r="M20" s="201"/>
      <c r="N20" s="116">
        <v>1609.64</v>
      </c>
      <c r="O20" s="115">
        <v>493.92</v>
      </c>
      <c r="P20" s="115">
        <v>432.22</v>
      </c>
      <c r="Q20" s="115">
        <v>685.82</v>
      </c>
      <c r="R20" s="115">
        <v>356.65</v>
      </c>
      <c r="S20" s="115">
        <v>1968.61</v>
      </c>
      <c r="T20" s="115">
        <v>352.24</v>
      </c>
      <c r="U20" s="115">
        <v>285.89999999999998</v>
      </c>
      <c r="V20" s="115">
        <v>576.07000000000005</v>
      </c>
      <c r="W20" s="115">
        <v>550.35</v>
      </c>
      <c r="X20" s="115">
        <v>1764.56</v>
      </c>
      <c r="Y20" s="115">
        <v>517.55999999999995</v>
      </c>
      <c r="Z20" s="115">
        <v>328.17</v>
      </c>
      <c r="AA20" s="115">
        <v>367.9</v>
      </c>
      <c r="AB20" s="115">
        <v>294.91000000000003</v>
      </c>
      <c r="AC20" s="115">
        <v>1508.54</v>
      </c>
      <c r="AD20" s="115">
        <v>372.13</v>
      </c>
      <c r="AE20" s="115">
        <v>315.12</v>
      </c>
      <c r="AF20" s="115">
        <v>93.62</v>
      </c>
      <c r="AG20" s="115">
        <v>-51.33</v>
      </c>
      <c r="AH20" s="115">
        <v>729.54</v>
      </c>
      <c r="AI20" s="115">
        <v>295.23</v>
      </c>
      <c r="AJ20" s="115">
        <v>231.47</v>
      </c>
      <c r="AK20" s="115">
        <v>217.09</v>
      </c>
      <c r="AL20" s="115">
        <v>-170.19</v>
      </c>
      <c r="AM20" s="115">
        <v>573.61</v>
      </c>
      <c r="AN20" s="115">
        <v>164.93</v>
      </c>
      <c r="AO20" s="115">
        <v>260.05</v>
      </c>
      <c r="AP20" s="115">
        <v>216.13</v>
      </c>
      <c r="AQ20" s="115">
        <v>257.94</v>
      </c>
      <c r="AR20" s="115">
        <v>899.05</v>
      </c>
      <c r="AS20" s="115">
        <v>302.7</v>
      </c>
      <c r="AT20" s="115">
        <v>-181.81</v>
      </c>
      <c r="AU20" s="115">
        <v>-297.85000000000002</v>
      </c>
      <c r="AV20" s="115">
        <v>167.47</v>
      </c>
      <c r="AW20" s="115">
        <v>-9.49</v>
      </c>
      <c r="AX20" s="115">
        <v>495.86</v>
      </c>
      <c r="AY20" s="115">
        <v>348.47</v>
      </c>
      <c r="AZ20" s="115">
        <v>677.58</v>
      </c>
      <c r="BA20" s="115">
        <v>339.28</v>
      </c>
      <c r="BB20" s="115">
        <v>1861.19</v>
      </c>
      <c r="BC20" s="115">
        <v>1314.42</v>
      </c>
      <c r="BD20" s="115">
        <v>1484.83</v>
      </c>
      <c r="BE20" s="115">
        <v>1064.6500000000001</v>
      </c>
      <c r="BF20" s="115">
        <v>-130.30000000000001</v>
      </c>
      <c r="BG20" s="115">
        <v>3733.6</v>
      </c>
      <c r="BH20" s="115">
        <v>-78.94</v>
      </c>
      <c r="BI20" s="115">
        <v>-100.06</v>
      </c>
      <c r="BJ20" s="115">
        <v>-203.97</v>
      </c>
      <c r="BK20" s="115">
        <v>-650.27</v>
      </c>
      <c r="BL20" s="115">
        <v>-1033.23</v>
      </c>
      <c r="BM20" s="115">
        <v>-214.43</v>
      </c>
      <c r="BN20" s="115">
        <v>-460.56</v>
      </c>
      <c r="BO20" s="115">
        <v>-1056.3800000000001</v>
      </c>
      <c r="BP20" s="115">
        <v>-591.72</v>
      </c>
      <c r="BQ20" s="115">
        <v>-2323.1</v>
      </c>
      <c r="BR20" s="115">
        <v>-335.93</v>
      </c>
      <c r="BS20" s="115"/>
      <c r="BT20" s="117"/>
      <c r="BU20" s="121" t="s">
        <v>705</v>
      </c>
      <c r="BV20" s="119">
        <v>14</v>
      </c>
    </row>
    <row r="21" spans="1:74" s="112" customFormat="1" ht="11.65" customHeight="1" x14ac:dyDescent="0.15">
      <c r="A21" s="113">
        <v>15</v>
      </c>
      <c r="C21" s="122" t="s">
        <v>696</v>
      </c>
      <c r="D21" s="115">
        <v>190.06</v>
      </c>
      <c r="E21" s="115">
        <v>430.08</v>
      </c>
      <c r="F21" s="115">
        <v>200.58</v>
      </c>
      <c r="G21" s="115">
        <v>278.64999999999998</v>
      </c>
      <c r="H21" s="116">
        <v>1099.3699999999999</v>
      </c>
      <c r="I21" s="115">
        <v>240.86</v>
      </c>
      <c r="J21" s="115">
        <v>487.02</v>
      </c>
      <c r="K21" s="115">
        <v>329.93</v>
      </c>
      <c r="L21" s="200">
        <v>618.63</v>
      </c>
      <c r="M21" s="201"/>
      <c r="N21" s="116">
        <v>1676.44</v>
      </c>
      <c r="O21" s="115">
        <v>502.89</v>
      </c>
      <c r="P21" s="115">
        <v>441.56</v>
      </c>
      <c r="Q21" s="115">
        <v>697.28</v>
      </c>
      <c r="R21" s="115">
        <v>367.55</v>
      </c>
      <c r="S21" s="115">
        <v>2009.29</v>
      </c>
      <c r="T21" s="115">
        <v>360.83</v>
      </c>
      <c r="U21" s="115">
        <v>293.39</v>
      </c>
      <c r="V21" s="115">
        <v>582.66</v>
      </c>
      <c r="W21" s="115">
        <v>558.35</v>
      </c>
      <c r="X21" s="115">
        <v>1795.23</v>
      </c>
      <c r="Y21" s="115">
        <v>523.59</v>
      </c>
      <c r="Z21" s="115">
        <v>333.46</v>
      </c>
      <c r="AA21" s="115">
        <v>374.23</v>
      </c>
      <c r="AB21" s="115">
        <v>301.55</v>
      </c>
      <c r="AC21" s="115">
        <v>1532.83</v>
      </c>
      <c r="AD21" s="115">
        <v>376.44</v>
      </c>
      <c r="AE21" s="115">
        <v>319.11</v>
      </c>
      <c r="AF21" s="115">
        <v>357.94</v>
      </c>
      <c r="AG21" s="115">
        <v>346.34</v>
      </c>
      <c r="AH21" s="115">
        <v>1399.83</v>
      </c>
      <c r="AI21" s="115">
        <v>338.75</v>
      </c>
      <c r="AJ21" s="115">
        <v>303.77999999999997</v>
      </c>
      <c r="AK21" s="115">
        <v>336.92</v>
      </c>
      <c r="AL21" s="115">
        <v>385.73</v>
      </c>
      <c r="AM21" s="115">
        <v>1365.18</v>
      </c>
      <c r="AN21" s="115">
        <v>324.29000000000002</v>
      </c>
      <c r="AO21" s="115">
        <v>355.76</v>
      </c>
      <c r="AP21" s="115">
        <v>568.09</v>
      </c>
      <c r="AQ21" s="115">
        <v>632.64</v>
      </c>
      <c r="AR21" s="115">
        <v>1880.79</v>
      </c>
      <c r="AS21" s="115">
        <v>625.76</v>
      </c>
      <c r="AT21" s="115">
        <v>496.11</v>
      </c>
      <c r="AU21" s="115">
        <v>471.66</v>
      </c>
      <c r="AV21" s="115">
        <v>428.71</v>
      </c>
      <c r="AW21" s="115">
        <v>2022.25</v>
      </c>
      <c r="AX21" s="115">
        <v>809.32</v>
      </c>
      <c r="AY21" s="115">
        <v>825.16</v>
      </c>
      <c r="AZ21" s="115">
        <v>1208.52</v>
      </c>
      <c r="BA21" s="115">
        <v>701.37</v>
      </c>
      <c r="BB21" s="115">
        <v>3544.38</v>
      </c>
      <c r="BC21" s="115">
        <v>1702.7</v>
      </c>
      <c r="BD21" s="115">
        <v>1632.88</v>
      </c>
      <c r="BE21" s="115">
        <v>1603.26</v>
      </c>
      <c r="BF21" s="115">
        <v>603.04</v>
      </c>
      <c r="BG21" s="115">
        <v>5541.88</v>
      </c>
      <c r="BH21" s="115">
        <v>484.1</v>
      </c>
      <c r="BI21" s="115">
        <v>455.24</v>
      </c>
      <c r="BJ21" s="115">
        <v>361.57</v>
      </c>
      <c r="BK21" s="115">
        <v>217.94</v>
      </c>
      <c r="BL21" s="115">
        <v>1518.85</v>
      </c>
      <c r="BM21" s="115">
        <v>301.98</v>
      </c>
      <c r="BN21" s="115">
        <v>255.46</v>
      </c>
      <c r="BO21" s="115">
        <v>245.03</v>
      </c>
      <c r="BP21" s="115">
        <v>225.05</v>
      </c>
      <c r="BQ21" s="115">
        <v>1027.51</v>
      </c>
      <c r="BR21" s="115">
        <v>187.32</v>
      </c>
      <c r="BS21" s="115"/>
      <c r="BT21" s="117"/>
      <c r="BU21" s="123" t="s">
        <v>697</v>
      </c>
      <c r="BV21" s="119">
        <v>15</v>
      </c>
    </row>
    <row r="22" spans="1:74" s="112" customFormat="1" ht="11.65" customHeight="1" x14ac:dyDescent="0.15">
      <c r="A22" s="113">
        <v>16</v>
      </c>
      <c r="C22" s="122" t="s">
        <v>698</v>
      </c>
      <c r="D22" s="115">
        <v>-13.24</v>
      </c>
      <c r="E22" s="115">
        <v>-16.78</v>
      </c>
      <c r="F22" s="115">
        <v>-23.06</v>
      </c>
      <c r="G22" s="115">
        <v>-26.27</v>
      </c>
      <c r="H22" s="116">
        <v>-79.349999999999994</v>
      </c>
      <c r="I22" s="115">
        <v>-13.34</v>
      </c>
      <c r="J22" s="115">
        <v>-15.01</v>
      </c>
      <c r="K22" s="115">
        <v>-9.34</v>
      </c>
      <c r="L22" s="200">
        <v>-29.12</v>
      </c>
      <c r="M22" s="201"/>
      <c r="N22" s="116">
        <v>-66.8</v>
      </c>
      <c r="O22" s="115">
        <v>-8.98</v>
      </c>
      <c r="P22" s="115">
        <v>-9.33</v>
      </c>
      <c r="Q22" s="115">
        <v>-11.47</v>
      </c>
      <c r="R22" s="115">
        <v>-10.9</v>
      </c>
      <c r="S22" s="115">
        <v>-40.67</v>
      </c>
      <c r="T22" s="115">
        <v>-8.59</v>
      </c>
      <c r="U22" s="115">
        <v>-7.49</v>
      </c>
      <c r="V22" s="115">
        <v>-6.6</v>
      </c>
      <c r="W22" s="115">
        <v>-8</v>
      </c>
      <c r="X22" s="115">
        <v>-30.67</v>
      </c>
      <c r="Y22" s="115">
        <v>-6.03</v>
      </c>
      <c r="Z22" s="115">
        <v>-5.29</v>
      </c>
      <c r="AA22" s="115">
        <v>-6.33</v>
      </c>
      <c r="AB22" s="115">
        <v>-6.64</v>
      </c>
      <c r="AC22" s="115">
        <v>-24.29</v>
      </c>
      <c r="AD22" s="115">
        <v>-4.32</v>
      </c>
      <c r="AE22" s="115">
        <v>-3.98</v>
      </c>
      <c r="AF22" s="115">
        <v>-264.32</v>
      </c>
      <c r="AG22" s="115">
        <v>-397.67</v>
      </c>
      <c r="AH22" s="115">
        <v>-670.29</v>
      </c>
      <c r="AI22" s="115">
        <v>-43.52</v>
      </c>
      <c r="AJ22" s="115">
        <v>-72.3</v>
      </c>
      <c r="AK22" s="115">
        <v>-119.83</v>
      </c>
      <c r="AL22" s="115">
        <v>-555.91999999999996</v>
      </c>
      <c r="AM22" s="115">
        <v>-791.57</v>
      </c>
      <c r="AN22" s="115">
        <v>-159.36000000000001</v>
      </c>
      <c r="AO22" s="115">
        <v>-95.71</v>
      </c>
      <c r="AP22" s="115">
        <v>-351.96</v>
      </c>
      <c r="AQ22" s="115">
        <v>-374.7</v>
      </c>
      <c r="AR22" s="115">
        <v>-981.74</v>
      </c>
      <c r="AS22" s="115">
        <v>-323.06</v>
      </c>
      <c r="AT22" s="115">
        <v>-677.93</v>
      </c>
      <c r="AU22" s="115">
        <v>-769.51</v>
      </c>
      <c r="AV22" s="115">
        <v>-261.24</v>
      </c>
      <c r="AW22" s="115">
        <v>-2031.73</v>
      </c>
      <c r="AX22" s="115">
        <v>-313.45999999999998</v>
      </c>
      <c r="AY22" s="115">
        <v>-476.69</v>
      </c>
      <c r="AZ22" s="115">
        <v>-530.94000000000005</v>
      </c>
      <c r="BA22" s="115">
        <v>-362.09</v>
      </c>
      <c r="BB22" s="115">
        <v>-1683.18</v>
      </c>
      <c r="BC22" s="115">
        <v>-388.28</v>
      </c>
      <c r="BD22" s="115">
        <v>-148.05000000000001</v>
      </c>
      <c r="BE22" s="115">
        <v>-538.61</v>
      </c>
      <c r="BF22" s="115">
        <v>-733.34</v>
      </c>
      <c r="BG22" s="115">
        <v>-1808.28</v>
      </c>
      <c r="BH22" s="115">
        <v>-563.04</v>
      </c>
      <c r="BI22" s="115">
        <v>-555.29</v>
      </c>
      <c r="BJ22" s="115">
        <v>-565.54</v>
      </c>
      <c r="BK22" s="115">
        <v>-868.21</v>
      </c>
      <c r="BL22" s="115">
        <v>-2552.08</v>
      </c>
      <c r="BM22" s="115">
        <v>-516.41</v>
      </c>
      <c r="BN22" s="115">
        <v>-716.02</v>
      </c>
      <c r="BO22" s="115">
        <v>-1301.4000000000001</v>
      </c>
      <c r="BP22" s="115">
        <v>-816.77</v>
      </c>
      <c r="BQ22" s="115">
        <v>-3350.61</v>
      </c>
      <c r="BR22" s="115">
        <v>-523.25</v>
      </c>
      <c r="BS22" s="115"/>
      <c r="BT22" s="117"/>
      <c r="BU22" s="123" t="s">
        <v>699</v>
      </c>
      <c r="BV22" s="119">
        <v>16</v>
      </c>
    </row>
    <row r="23" spans="1:74" s="112" customFormat="1" ht="11.65" customHeight="1" x14ac:dyDescent="0.15">
      <c r="A23" s="113">
        <v>17</v>
      </c>
      <c r="C23" s="114" t="s">
        <v>706</v>
      </c>
      <c r="D23" s="115">
        <v>-2474.1</v>
      </c>
      <c r="E23" s="115">
        <v>-2183.17</v>
      </c>
      <c r="F23" s="115">
        <v>-2298.67</v>
      </c>
      <c r="G23" s="115">
        <v>-2834.57</v>
      </c>
      <c r="H23" s="116">
        <v>-9790.51</v>
      </c>
      <c r="I23" s="115">
        <v>-1278.02</v>
      </c>
      <c r="J23" s="115">
        <v>-3125.09</v>
      </c>
      <c r="K23" s="115">
        <v>-2587.5300000000002</v>
      </c>
      <c r="L23" s="200">
        <v>-2812.64</v>
      </c>
      <c r="M23" s="201"/>
      <c r="N23" s="116">
        <v>-9803.27</v>
      </c>
      <c r="O23" s="115">
        <v>-2173.6999999999998</v>
      </c>
      <c r="P23" s="115">
        <v>-2813.78</v>
      </c>
      <c r="Q23" s="115">
        <v>-2346.6799999999998</v>
      </c>
      <c r="R23" s="115">
        <v>-3230.04</v>
      </c>
      <c r="S23" s="115">
        <v>-10564.2</v>
      </c>
      <c r="T23" s="115">
        <v>-2633.18</v>
      </c>
      <c r="U23" s="115">
        <v>-3551.59</v>
      </c>
      <c r="V23" s="115">
        <v>-2780.91</v>
      </c>
      <c r="W23" s="115">
        <v>-3104.8</v>
      </c>
      <c r="X23" s="115">
        <v>-12070.48</v>
      </c>
      <c r="Y23" s="115">
        <v>-2131.41</v>
      </c>
      <c r="Z23" s="115">
        <v>-2831.19</v>
      </c>
      <c r="AA23" s="115">
        <v>-2485.7800000000002</v>
      </c>
      <c r="AB23" s="115">
        <v>-2561.3200000000002</v>
      </c>
      <c r="AC23" s="115">
        <v>-10009.69</v>
      </c>
      <c r="AD23" s="115">
        <v>-1823.09</v>
      </c>
      <c r="AE23" s="115">
        <v>-2828.86</v>
      </c>
      <c r="AF23" s="115">
        <v>-2292.66</v>
      </c>
      <c r="AG23" s="115">
        <v>-1752.06</v>
      </c>
      <c r="AH23" s="115">
        <v>-8696.67</v>
      </c>
      <c r="AI23" s="115">
        <v>-1171.56</v>
      </c>
      <c r="AJ23" s="115">
        <v>-2449.87</v>
      </c>
      <c r="AK23" s="115">
        <v>-1723.55</v>
      </c>
      <c r="AL23" s="115">
        <v>-1738.69</v>
      </c>
      <c r="AM23" s="115">
        <v>-7083.66</v>
      </c>
      <c r="AN23" s="115">
        <v>-1106.27</v>
      </c>
      <c r="AO23" s="115">
        <v>-2049.2600000000002</v>
      </c>
      <c r="AP23" s="115">
        <v>-2088.5100000000002</v>
      </c>
      <c r="AQ23" s="115">
        <v>-2135.12</v>
      </c>
      <c r="AR23" s="115">
        <v>-7379.16</v>
      </c>
      <c r="AS23" s="115">
        <v>-1339.17</v>
      </c>
      <c r="AT23" s="115">
        <v>-1681.28</v>
      </c>
      <c r="AU23" s="115">
        <v>-1816.51</v>
      </c>
      <c r="AV23" s="115">
        <v>-1648.12</v>
      </c>
      <c r="AW23" s="115">
        <v>-6485.07</v>
      </c>
      <c r="AX23" s="115">
        <v>-1521.77</v>
      </c>
      <c r="AY23" s="115">
        <v>-1868.79</v>
      </c>
      <c r="AZ23" s="115">
        <v>-2246.16</v>
      </c>
      <c r="BA23" s="115">
        <v>-2004.08</v>
      </c>
      <c r="BB23" s="115">
        <v>-7640.8</v>
      </c>
      <c r="BC23" s="115">
        <v>-1735.09</v>
      </c>
      <c r="BD23" s="115">
        <v>-2147.59</v>
      </c>
      <c r="BE23" s="115">
        <v>-2768</v>
      </c>
      <c r="BF23" s="115">
        <v>-3104.8</v>
      </c>
      <c r="BG23" s="115">
        <v>-9755.48</v>
      </c>
      <c r="BH23" s="115">
        <v>-3446.36</v>
      </c>
      <c r="BI23" s="115">
        <v>-3660</v>
      </c>
      <c r="BJ23" s="115">
        <v>-3530.61</v>
      </c>
      <c r="BK23" s="115">
        <v>-3961.54</v>
      </c>
      <c r="BL23" s="115">
        <v>-14598.51</v>
      </c>
      <c r="BM23" s="115">
        <v>-4378.2700000000004</v>
      </c>
      <c r="BN23" s="115">
        <v>-5022.2</v>
      </c>
      <c r="BO23" s="115">
        <v>-5412.43</v>
      </c>
      <c r="BP23" s="115">
        <v>-5493.65</v>
      </c>
      <c r="BQ23" s="115">
        <v>-20306.55</v>
      </c>
      <c r="BR23" s="115">
        <v>-4617.01</v>
      </c>
      <c r="BS23" s="115"/>
      <c r="BT23" s="117"/>
      <c r="BU23" s="118" t="s">
        <v>707</v>
      </c>
      <c r="BV23" s="119">
        <v>17</v>
      </c>
    </row>
    <row r="24" spans="1:74" s="112" customFormat="1" ht="11.65" customHeight="1" x14ac:dyDescent="0.15">
      <c r="A24" s="113">
        <v>18</v>
      </c>
      <c r="C24" s="120" t="s">
        <v>696</v>
      </c>
      <c r="D24" s="115">
        <v>3583.9</v>
      </c>
      <c r="E24" s="115">
        <v>4196.25</v>
      </c>
      <c r="F24" s="115">
        <v>4282.47</v>
      </c>
      <c r="G24" s="115">
        <v>4607.88</v>
      </c>
      <c r="H24" s="116">
        <v>16670.490000000002</v>
      </c>
      <c r="I24" s="115">
        <v>5106.45</v>
      </c>
      <c r="J24" s="115">
        <v>4624.83</v>
      </c>
      <c r="K24" s="115">
        <v>5451.7</v>
      </c>
      <c r="L24" s="200">
        <v>6705.18</v>
      </c>
      <c r="M24" s="201"/>
      <c r="N24" s="116">
        <v>21888.15</v>
      </c>
      <c r="O24" s="115">
        <v>5968.04</v>
      </c>
      <c r="P24" s="115">
        <v>5895.22</v>
      </c>
      <c r="Q24" s="115">
        <v>5600.11</v>
      </c>
      <c r="R24" s="115">
        <v>6196.87</v>
      </c>
      <c r="S24" s="115">
        <v>23660.23</v>
      </c>
      <c r="T24" s="115">
        <v>5702</v>
      </c>
      <c r="U24" s="115">
        <v>5511.88</v>
      </c>
      <c r="V24" s="115">
        <v>5644.16</v>
      </c>
      <c r="W24" s="115">
        <v>6086.04</v>
      </c>
      <c r="X24" s="115">
        <v>22944.080000000002</v>
      </c>
      <c r="Y24" s="115">
        <v>5886.72</v>
      </c>
      <c r="Z24" s="115">
        <v>5720.68</v>
      </c>
      <c r="AA24" s="115">
        <v>5697.68</v>
      </c>
      <c r="AB24" s="115">
        <v>6225.84</v>
      </c>
      <c r="AC24" s="115">
        <v>23530.93</v>
      </c>
      <c r="AD24" s="115">
        <v>5574.02</v>
      </c>
      <c r="AE24" s="115">
        <v>5086.53</v>
      </c>
      <c r="AF24" s="115">
        <v>5407.98</v>
      </c>
      <c r="AG24" s="115">
        <v>6152.35</v>
      </c>
      <c r="AH24" s="115">
        <v>22220.880000000001</v>
      </c>
      <c r="AI24" s="115">
        <v>5773</v>
      </c>
      <c r="AJ24" s="115">
        <v>5307.92</v>
      </c>
      <c r="AK24" s="115">
        <v>5801.36</v>
      </c>
      <c r="AL24" s="115">
        <v>6441.26</v>
      </c>
      <c r="AM24" s="115">
        <v>23323.54</v>
      </c>
      <c r="AN24" s="115">
        <v>5947.53</v>
      </c>
      <c r="AO24" s="115">
        <v>5725.26</v>
      </c>
      <c r="AP24" s="115">
        <v>6614.4</v>
      </c>
      <c r="AQ24" s="115">
        <v>7040.47</v>
      </c>
      <c r="AR24" s="115">
        <v>25327.66</v>
      </c>
      <c r="AS24" s="115">
        <v>7965.21</v>
      </c>
      <c r="AT24" s="115">
        <v>7055.92</v>
      </c>
      <c r="AU24" s="115">
        <v>8182.28</v>
      </c>
      <c r="AV24" s="115">
        <v>8003.45</v>
      </c>
      <c r="AW24" s="115">
        <v>31206.85</v>
      </c>
      <c r="AX24" s="115">
        <v>7498.64</v>
      </c>
      <c r="AY24" s="115">
        <v>7384.64</v>
      </c>
      <c r="AZ24" s="115">
        <v>8448.11</v>
      </c>
      <c r="BA24" s="115">
        <v>8310.19</v>
      </c>
      <c r="BB24" s="115">
        <v>31641.58</v>
      </c>
      <c r="BC24" s="115">
        <v>6189.28</v>
      </c>
      <c r="BD24" s="115">
        <v>2613.4299999999998</v>
      </c>
      <c r="BE24" s="115">
        <v>2845.21</v>
      </c>
      <c r="BF24" s="115">
        <v>3368.06</v>
      </c>
      <c r="BG24" s="115">
        <v>15015.99</v>
      </c>
      <c r="BH24" s="115">
        <v>3068.85</v>
      </c>
      <c r="BI24" s="115">
        <v>3200.22</v>
      </c>
      <c r="BJ24" s="115">
        <v>3431.78</v>
      </c>
      <c r="BK24" s="115">
        <v>4250.42</v>
      </c>
      <c r="BL24" s="115">
        <v>13951.27</v>
      </c>
      <c r="BM24" s="115">
        <v>3963.24</v>
      </c>
      <c r="BN24" s="115">
        <v>5506.63</v>
      </c>
      <c r="BO24" s="115">
        <v>6571.15</v>
      </c>
      <c r="BP24" s="115">
        <v>7044.84</v>
      </c>
      <c r="BQ24" s="115">
        <v>23085.86</v>
      </c>
      <c r="BR24" s="115">
        <v>7589.23</v>
      </c>
      <c r="BS24" s="115"/>
      <c r="BT24" s="117"/>
      <c r="BU24" s="121" t="s">
        <v>697</v>
      </c>
      <c r="BV24" s="119">
        <v>18</v>
      </c>
    </row>
    <row r="25" spans="1:74" s="112" customFormat="1" ht="11.65" customHeight="1" x14ac:dyDescent="0.15">
      <c r="A25" s="113">
        <v>19</v>
      </c>
      <c r="C25" s="120" t="s">
        <v>698</v>
      </c>
      <c r="D25" s="115">
        <v>-6057.99</v>
      </c>
      <c r="E25" s="115">
        <v>-6379.42</v>
      </c>
      <c r="F25" s="115">
        <v>-6581.14</v>
      </c>
      <c r="G25" s="115">
        <v>-7442.45</v>
      </c>
      <c r="H25" s="116">
        <v>-26460.99</v>
      </c>
      <c r="I25" s="115">
        <v>-6384.47</v>
      </c>
      <c r="J25" s="115">
        <v>-7749.92</v>
      </c>
      <c r="K25" s="115">
        <v>-8039.22</v>
      </c>
      <c r="L25" s="200">
        <v>-9517.82</v>
      </c>
      <c r="M25" s="201"/>
      <c r="N25" s="116">
        <v>-31691.42</v>
      </c>
      <c r="O25" s="115">
        <v>-8141.74</v>
      </c>
      <c r="P25" s="115">
        <v>-8709</v>
      </c>
      <c r="Q25" s="115">
        <v>-7946.78</v>
      </c>
      <c r="R25" s="115">
        <v>-9426.91</v>
      </c>
      <c r="S25" s="115">
        <v>-34224.43</v>
      </c>
      <c r="T25" s="115">
        <v>-8335.18</v>
      </c>
      <c r="U25" s="115">
        <v>-9063.4699999999993</v>
      </c>
      <c r="V25" s="115">
        <v>-8425.07</v>
      </c>
      <c r="W25" s="115">
        <v>-9190.84</v>
      </c>
      <c r="X25" s="115">
        <v>-35014.559999999998</v>
      </c>
      <c r="Y25" s="115">
        <v>-8018.13</v>
      </c>
      <c r="Z25" s="115">
        <v>-8551.8700000000008</v>
      </c>
      <c r="AA25" s="115">
        <v>-8183.46</v>
      </c>
      <c r="AB25" s="115">
        <v>-8787.16</v>
      </c>
      <c r="AC25" s="115">
        <v>-33540.620000000003</v>
      </c>
      <c r="AD25" s="115">
        <v>-7397.11</v>
      </c>
      <c r="AE25" s="115">
        <v>-7915.4</v>
      </c>
      <c r="AF25" s="115">
        <v>-7700.64</v>
      </c>
      <c r="AG25" s="115">
        <v>-7904.41</v>
      </c>
      <c r="AH25" s="115">
        <v>-30917.55</v>
      </c>
      <c r="AI25" s="115">
        <v>-6944.56</v>
      </c>
      <c r="AJ25" s="115">
        <v>-7757.79</v>
      </c>
      <c r="AK25" s="115">
        <v>-7524.91</v>
      </c>
      <c r="AL25" s="115">
        <v>-8179.95</v>
      </c>
      <c r="AM25" s="115">
        <v>-30407.21</v>
      </c>
      <c r="AN25" s="115">
        <v>-7053.8</v>
      </c>
      <c r="AO25" s="115">
        <v>-7774.52</v>
      </c>
      <c r="AP25" s="115">
        <v>-8702.91</v>
      </c>
      <c r="AQ25" s="115">
        <v>-9175.59</v>
      </c>
      <c r="AR25" s="115">
        <v>-32706.82</v>
      </c>
      <c r="AS25" s="115">
        <v>-9304.3799999999992</v>
      </c>
      <c r="AT25" s="115">
        <v>-8737.19</v>
      </c>
      <c r="AU25" s="115">
        <v>-9998.7900000000009</v>
      </c>
      <c r="AV25" s="115">
        <v>-9651.56</v>
      </c>
      <c r="AW25" s="115">
        <v>-37691.919999999998</v>
      </c>
      <c r="AX25" s="115">
        <v>-9020.41</v>
      </c>
      <c r="AY25" s="115">
        <v>-9253.43</v>
      </c>
      <c r="AZ25" s="115">
        <v>-10694.27</v>
      </c>
      <c r="BA25" s="115">
        <v>-10314.27</v>
      </c>
      <c r="BB25" s="115">
        <v>-39282.379999999997</v>
      </c>
      <c r="BC25" s="115">
        <v>-7924.38</v>
      </c>
      <c r="BD25" s="115">
        <v>-4761.0200000000004</v>
      </c>
      <c r="BE25" s="115">
        <v>-5613.21</v>
      </c>
      <c r="BF25" s="115">
        <v>-6472.86</v>
      </c>
      <c r="BG25" s="115">
        <v>-24771.47</v>
      </c>
      <c r="BH25" s="115">
        <v>-6515.21</v>
      </c>
      <c r="BI25" s="115">
        <v>-6860.22</v>
      </c>
      <c r="BJ25" s="115">
        <v>-6962.39</v>
      </c>
      <c r="BK25" s="115">
        <v>-8211.9599999999991</v>
      </c>
      <c r="BL25" s="115">
        <v>-28549.79</v>
      </c>
      <c r="BM25" s="115">
        <v>-8341.51</v>
      </c>
      <c r="BN25" s="115">
        <v>-10528.83</v>
      </c>
      <c r="BO25" s="115">
        <v>-11983.58</v>
      </c>
      <c r="BP25" s="115">
        <v>-12538.49</v>
      </c>
      <c r="BQ25" s="115">
        <v>-43392.42</v>
      </c>
      <c r="BR25" s="115">
        <v>-12206.24</v>
      </c>
      <c r="BS25" s="115"/>
      <c r="BT25" s="117"/>
      <c r="BU25" s="121" t="s">
        <v>699</v>
      </c>
      <c r="BV25" s="119">
        <v>19</v>
      </c>
    </row>
    <row r="26" spans="1:74" s="112" customFormat="1" ht="11.65" customHeight="1" x14ac:dyDescent="0.15">
      <c r="A26" s="113">
        <v>20</v>
      </c>
      <c r="C26" s="114" t="s">
        <v>708</v>
      </c>
      <c r="D26" s="115">
        <v>-4012.83</v>
      </c>
      <c r="E26" s="115">
        <v>-4306.46</v>
      </c>
      <c r="F26" s="115">
        <v>-5528.76</v>
      </c>
      <c r="G26" s="115">
        <v>-6850.11</v>
      </c>
      <c r="H26" s="116">
        <v>-20698.16</v>
      </c>
      <c r="I26" s="115">
        <v>-5500.79</v>
      </c>
      <c r="J26" s="115">
        <v>-6735.89</v>
      </c>
      <c r="K26" s="115">
        <v>-7395.42</v>
      </c>
      <c r="L26" s="200">
        <v>-6915.06</v>
      </c>
      <c r="M26" s="201"/>
      <c r="N26" s="116">
        <v>-26547.17</v>
      </c>
      <c r="O26" s="115">
        <v>-6015.94</v>
      </c>
      <c r="P26" s="115">
        <v>-7049.17</v>
      </c>
      <c r="Q26" s="115">
        <v>-6916.59</v>
      </c>
      <c r="R26" s="115">
        <v>-6646.13</v>
      </c>
      <c r="S26" s="115">
        <v>-26627.83</v>
      </c>
      <c r="T26" s="115">
        <v>-6052.37</v>
      </c>
      <c r="U26" s="115">
        <v>-7020.1</v>
      </c>
      <c r="V26" s="115">
        <v>-6805.84</v>
      </c>
      <c r="W26" s="115">
        <v>-7172.04</v>
      </c>
      <c r="X26" s="115">
        <v>-27050.35</v>
      </c>
      <c r="Y26" s="115">
        <v>-7230.11</v>
      </c>
      <c r="Z26" s="115">
        <v>-7912.55</v>
      </c>
      <c r="AA26" s="115">
        <v>-7315.6</v>
      </c>
      <c r="AB26" s="115">
        <v>-7244.35</v>
      </c>
      <c r="AC26" s="115">
        <v>-29702.61</v>
      </c>
      <c r="AD26" s="115">
        <v>-7116.36</v>
      </c>
      <c r="AE26" s="115">
        <v>-7246.08</v>
      </c>
      <c r="AF26" s="115">
        <v>-7451.91</v>
      </c>
      <c r="AG26" s="115">
        <v>-6564.78</v>
      </c>
      <c r="AH26" s="115">
        <v>-28379.13</v>
      </c>
      <c r="AI26" s="115">
        <v>-7290.7</v>
      </c>
      <c r="AJ26" s="115">
        <v>-7969.61</v>
      </c>
      <c r="AK26" s="115">
        <v>-8123.78</v>
      </c>
      <c r="AL26" s="115">
        <v>-6262.93</v>
      </c>
      <c r="AM26" s="115">
        <v>-29647.02</v>
      </c>
      <c r="AN26" s="115">
        <v>-7677.62</v>
      </c>
      <c r="AO26" s="115">
        <v>-8146.54</v>
      </c>
      <c r="AP26" s="115">
        <v>-8554.32</v>
      </c>
      <c r="AQ26" s="115">
        <v>-7752.09</v>
      </c>
      <c r="AR26" s="115">
        <v>-32130.58</v>
      </c>
      <c r="AS26" s="115">
        <v>-7365.53</v>
      </c>
      <c r="AT26" s="115">
        <v>-8047.26</v>
      </c>
      <c r="AU26" s="115">
        <v>-7971.85</v>
      </c>
      <c r="AV26" s="115">
        <v>-7430.51</v>
      </c>
      <c r="AW26" s="115">
        <v>-30815.15</v>
      </c>
      <c r="AX26" s="115">
        <v>-8128.48</v>
      </c>
      <c r="AY26" s="115">
        <v>-8898.92</v>
      </c>
      <c r="AZ26" s="115">
        <v>-8423.4</v>
      </c>
      <c r="BA26" s="115">
        <v>-8323.8700000000008</v>
      </c>
      <c r="BB26" s="115">
        <v>-33774.660000000003</v>
      </c>
      <c r="BC26" s="115">
        <v>-7911.68</v>
      </c>
      <c r="BD26" s="115">
        <v>-6158.32</v>
      </c>
      <c r="BE26" s="115">
        <v>-7398.54</v>
      </c>
      <c r="BF26" s="115">
        <v>-7442.03</v>
      </c>
      <c r="BG26" s="115">
        <v>-28910.57</v>
      </c>
      <c r="BH26" s="115">
        <v>-6753.17</v>
      </c>
      <c r="BI26" s="115">
        <v>-8023.23</v>
      </c>
      <c r="BJ26" s="115">
        <v>-8274.43</v>
      </c>
      <c r="BK26" s="115">
        <v>-8909.7999999999993</v>
      </c>
      <c r="BL26" s="115">
        <v>-31960.62</v>
      </c>
      <c r="BM26" s="115">
        <v>-7866.39</v>
      </c>
      <c r="BN26" s="115">
        <v>-9448.7900000000009</v>
      </c>
      <c r="BO26" s="115">
        <v>-9074.5300000000007</v>
      </c>
      <c r="BP26" s="115">
        <v>-9207.35</v>
      </c>
      <c r="BQ26" s="115">
        <v>-35597.06</v>
      </c>
      <c r="BR26" s="115">
        <v>-8599.68</v>
      </c>
      <c r="BS26" s="115"/>
      <c r="BT26" s="117"/>
      <c r="BU26" s="118" t="s">
        <v>709</v>
      </c>
      <c r="BV26" s="119">
        <v>20</v>
      </c>
    </row>
    <row r="27" spans="1:74" s="112" customFormat="1" ht="11.65" customHeight="1" x14ac:dyDescent="0.15">
      <c r="A27" s="113">
        <v>21</v>
      </c>
      <c r="C27" s="120" t="s">
        <v>710</v>
      </c>
      <c r="D27" s="115">
        <v>455.13</v>
      </c>
      <c r="E27" s="115">
        <v>454.2</v>
      </c>
      <c r="F27" s="115">
        <v>529.54999999999995</v>
      </c>
      <c r="G27" s="115">
        <v>495</v>
      </c>
      <c r="H27" s="116">
        <v>1933.88</v>
      </c>
      <c r="I27" s="115">
        <v>592.97</v>
      </c>
      <c r="J27" s="115">
        <v>657.58</v>
      </c>
      <c r="K27" s="115">
        <v>669.42</v>
      </c>
      <c r="L27" s="200">
        <v>661.15</v>
      </c>
      <c r="M27" s="201"/>
      <c r="N27" s="116">
        <v>2581.12</v>
      </c>
      <c r="O27" s="115">
        <v>780.08</v>
      </c>
      <c r="P27" s="115">
        <v>675.35</v>
      </c>
      <c r="Q27" s="115">
        <v>599.54999999999995</v>
      </c>
      <c r="R27" s="115">
        <v>594.65</v>
      </c>
      <c r="S27" s="115">
        <v>2649.63</v>
      </c>
      <c r="T27" s="115">
        <v>857.68</v>
      </c>
      <c r="U27" s="115">
        <v>602.99</v>
      </c>
      <c r="V27" s="115">
        <v>474.69</v>
      </c>
      <c r="W27" s="115">
        <v>666.41</v>
      </c>
      <c r="X27" s="115">
        <v>2601.77</v>
      </c>
      <c r="Y27" s="115">
        <v>390.85</v>
      </c>
      <c r="Z27" s="115">
        <v>680.95</v>
      </c>
      <c r="AA27" s="115">
        <v>634.21</v>
      </c>
      <c r="AB27" s="115">
        <v>423.6</v>
      </c>
      <c r="AC27" s="115">
        <v>2129.61</v>
      </c>
      <c r="AD27" s="115">
        <v>467.77</v>
      </c>
      <c r="AE27" s="115">
        <v>722.47</v>
      </c>
      <c r="AF27" s="115">
        <v>705.34</v>
      </c>
      <c r="AG27" s="115">
        <v>926.11</v>
      </c>
      <c r="AH27" s="115">
        <v>2821.7</v>
      </c>
      <c r="AI27" s="115">
        <v>712.68</v>
      </c>
      <c r="AJ27" s="115">
        <v>860.83</v>
      </c>
      <c r="AK27" s="115">
        <v>1176.6099999999999</v>
      </c>
      <c r="AL27" s="115">
        <v>1298.3399999999999</v>
      </c>
      <c r="AM27" s="115">
        <v>4048.45</v>
      </c>
      <c r="AN27" s="115">
        <v>1189.0999999999999</v>
      </c>
      <c r="AO27" s="115">
        <v>1374.75</v>
      </c>
      <c r="AP27" s="115">
        <v>1403.38</v>
      </c>
      <c r="AQ27" s="115">
        <v>1607.7</v>
      </c>
      <c r="AR27" s="115">
        <v>5574.92</v>
      </c>
      <c r="AS27" s="115">
        <v>2041.62</v>
      </c>
      <c r="AT27" s="115">
        <v>2533.85</v>
      </c>
      <c r="AU27" s="115">
        <v>1765.75</v>
      </c>
      <c r="AV27" s="115">
        <v>2960.61</v>
      </c>
      <c r="AW27" s="115">
        <v>9301.83</v>
      </c>
      <c r="AX27" s="115">
        <v>1434.86</v>
      </c>
      <c r="AY27" s="115">
        <v>2310.9499999999998</v>
      </c>
      <c r="AZ27" s="115">
        <v>1660.58</v>
      </c>
      <c r="BA27" s="115">
        <v>1966.11</v>
      </c>
      <c r="BB27" s="115">
        <v>7372.5</v>
      </c>
      <c r="BC27" s="115">
        <v>1035.08</v>
      </c>
      <c r="BD27" s="115">
        <v>1404.07</v>
      </c>
      <c r="BE27" s="115">
        <v>1250.68</v>
      </c>
      <c r="BF27" s="115">
        <v>1532.1</v>
      </c>
      <c r="BG27" s="115">
        <v>5221.9399999999996</v>
      </c>
      <c r="BH27" s="115">
        <v>1350.81</v>
      </c>
      <c r="BI27" s="115">
        <v>1774.85</v>
      </c>
      <c r="BJ27" s="115">
        <v>1803.84</v>
      </c>
      <c r="BK27" s="115">
        <v>1809.19</v>
      </c>
      <c r="BL27" s="115">
        <v>6738.68</v>
      </c>
      <c r="BM27" s="115">
        <v>1543.06</v>
      </c>
      <c r="BN27" s="115">
        <v>1810.02</v>
      </c>
      <c r="BO27" s="115">
        <v>1976.95</v>
      </c>
      <c r="BP27" s="115">
        <v>1976.25</v>
      </c>
      <c r="BQ27" s="115">
        <v>7306.28</v>
      </c>
      <c r="BR27" s="115">
        <v>1793.51</v>
      </c>
      <c r="BS27" s="115"/>
      <c r="BT27" s="117"/>
      <c r="BU27" s="121" t="s">
        <v>711</v>
      </c>
      <c r="BV27" s="119">
        <v>21</v>
      </c>
    </row>
    <row r="28" spans="1:74" s="112" customFormat="1" ht="11.65" customHeight="1" x14ac:dyDescent="0.15">
      <c r="A28" s="113">
        <v>22</v>
      </c>
      <c r="C28" s="120" t="s">
        <v>712</v>
      </c>
      <c r="D28" s="115">
        <v>-4467.96</v>
      </c>
      <c r="E28" s="115">
        <v>-4760.66</v>
      </c>
      <c r="F28" s="115">
        <v>-6058.31</v>
      </c>
      <c r="G28" s="115">
        <v>-7345.1</v>
      </c>
      <c r="H28" s="116">
        <v>-22632.04</v>
      </c>
      <c r="I28" s="115">
        <v>-6093.76</v>
      </c>
      <c r="J28" s="115">
        <v>-7393.48</v>
      </c>
      <c r="K28" s="115">
        <v>-8064.84</v>
      </c>
      <c r="L28" s="200">
        <v>-7576.2</v>
      </c>
      <c r="M28" s="201"/>
      <c r="N28" s="116">
        <v>-29128.28</v>
      </c>
      <c r="O28" s="115">
        <v>-6796.02</v>
      </c>
      <c r="P28" s="115">
        <v>-7724.52</v>
      </c>
      <c r="Q28" s="115">
        <v>-7516.14</v>
      </c>
      <c r="R28" s="115">
        <v>-7240.78</v>
      </c>
      <c r="S28" s="115">
        <v>-29277.45</v>
      </c>
      <c r="T28" s="115">
        <v>-6910.05</v>
      </c>
      <c r="U28" s="115">
        <v>-7623.1</v>
      </c>
      <c r="V28" s="115">
        <v>-7280.53</v>
      </c>
      <c r="W28" s="115">
        <v>-7838.45</v>
      </c>
      <c r="X28" s="115">
        <v>-29652.13</v>
      </c>
      <c r="Y28" s="115">
        <v>-7620.96</v>
      </c>
      <c r="Z28" s="115">
        <v>-8593.5</v>
      </c>
      <c r="AA28" s="115">
        <v>-7949.81</v>
      </c>
      <c r="AB28" s="115">
        <v>-7667.95</v>
      </c>
      <c r="AC28" s="115">
        <v>-31832.22</v>
      </c>
      <c r="AD28" s="115">
        <v>-7584.14</v>
      </c>
      <c r="AE28" s="115">
        <v>-7968.55</v>
      </c>
      <c r="AF28" s="115">
        <v>-8157.25</v>
      </c>
      <c r="AG28" s="115">
        <v>-7490.89</v>
      </c>
      <c r="AH28" s="115">
        <v>-31200.83</v>
      </c>
      <c r="AI28" s="115">
        <v>-8003.38</v>
      </c>
      <c r="AJ28" s="115">
        <v>-8830.44</v>
      </c>
      <c r="AK28" s="115">
        <v>-9300.39</v>
      </c>
      <c r="AL28" s="115">
        <v>-7561.27</v>
      </c>
      <c r="AM28" s="115">
        <v>-33695.480000000003</v>
      </c>
      <c r="AN28" s="115">
        <v>-8866.7199999999993</v>
      </c>
      <c r="AO28" s="115">
        <v>-9521.2800000000007</v>
      </c>
      <c r="AP28" s="115">
        <v>-9957.7000000000007</v>
      </c>
      <c r="AQ28" s="115">
        <v>-9359.7900000000009</v>
      </c>
      <c r="AR28" s="115">
        <v>-37705.5</v>
      </c>
      <c r="AS28" s="115">
        <v>-9407.14</v>
      </c>
      <c r="AT28" s="115">
        <v>-10581.12</v>
      </c>
      <c r="AU28" s="115">
        <v>-9737.61</v>
      </c>
      <c r="AV28" s="115">
        <v>-10391.120000000001</v>
      </c>
      <c r="AW28" s="115">
        <v>-40116.99</v>
      </c>
      <c r="AX28" s="115">
        <v>-9563.34</v>
      </c>
      <c r="AY28" s="115">
        <v>-11209.87</v>
      </c>
      <c r="AZ28" s="115">
        <v>-10083.98</v>
      </c>
      <c r="BA28" s="115">
        <v>-10289.98</v>
      </c>
      <c r="BB28" s="115">
        <v>-41147.160000000003</v>
      </c>
      <c r="BC28" s="115">
        <v>-8946.76</v>
      </c>
      <c r="BD28" s="115">
        <v>-7562.39</v>
      </c>
      <c r="BE28" s="115">
        <v>-8649.2199999999993</v>
      </c>
      <c r="BF28" s="115">
        <v>-8974.14</v>
      </c>
      <c r="BG28" s="115">
        <v>-34132.51</v>
      </c>
      <c r="BH28" s="115">
        <v>-8103.98</v>
      </c>
      <c r="BI28" s="115">
        <v>-9798.07</v>
      </c>
      <c r="BJ28" s="115">
        <v>-10078.26</v>
      </c>
      <c r="BK28" s="115">
        <v>-10719</v>
      </c>
      <c r="BL28" s="115">
        <v>-38699.31</v>
      </c>
      <c r="BM28" s="115">
        <v>-9409.4500000000007</v>
      </c>
      <c r="BN28" s="115">
        <v>-11258.81</v>
      </c>
      <c r="BO28" s="115">
        <v>-11051.48</v>
      </c>
      <c r="BP28" s="115">
        <v>-11183.6</v>
      </c>
      <c r="BQ28" s="115">
        <v>-42903.34</v>
      </c>
      <c r="BR28" s="115">
        <v>-10393.19</v>
      </c>
      <c r="BS28" s="115"/>
      <c r="BT28" s="117"/>
      <c r="BU28" s="121" t="s">
        <v>713</v>
      </c>
      <c r="BV28" s="119">
        <v>22</v>
      </c>
    </row>
    <row r="29" spans="1:74" s="112" customFormat="1" ht="11.65" customHeight="1" x14ac:dyDescent="0.15">
      <c r="A29" s="113">
        <v>23</v>
      </c>
      <c r="C29" s="114" t="s">
        <v>714</v>
      </c>
      <c r="D29" s="115">
        <v>1079.94</v>
      </c>
      <c r="E29" s="115">
        <v>1098.3</v>
      </c>
      <c r="F29" s="115">
        <v>1151.33</v>
      </c>
      <c r="G29" s="115">
        <v>1300.73</v>
      </c>
      <c r="H29" s="116">
        <v>4630.3</v>
      </c>
      <c r="I29" s="115">
        <v>1029.42</v>
      </c>
      <c r="J29" s="115">
        <v>959.51</v>
      </c>
      <c r="K29" s="115">
        <v>1045.0999999999999</v>
      </c>
      <c r="L29" s="200">
        <v>1176.48</v>
      </c>
      <c r="M29" s="201"/>
      <c r="N29" s="116">
        <v>4210.51</v>
      </c>
      <c r="O29" s="115">
        <v>1030.33</v>
      </c>
      <c r="P29" s="115">
        <v>924.11</v>
      </c>
      <c r="Q29" s="115">
        <v>860.1</v>
      </c>
      <c r="R29" s="115">
        <v>1279.8399999999999</v>
      </c>
      <c r="S29" s="115">
        <v>4094.38</v>
      </c>
      <c r="T29" s="115">
        <v>1076.1400000000001</v>
      </c>
      <c r="U29" s="115">
        <v>1002.52</v>
      </c>
      <c r="V29" s="115">
        <v>861.68</v>
      </c>
      <c r="W29" s="115">
        <v>1237.81</v>
      </c>
      <c r="X29" s="115">
        <v>4178.1499999999996</v>
      </c>
      <c r="Y29" s="115">
        <v>1085.21</v>
      </c>
      <c r="Z29" s="115">
        <v>1534.15</v>
      </c>
      <c r="AA29" s="115">
        <v>1203.8399999999999</v>
      </c>
      <c r="AB29" s="115">
        <v>1396.67</v>
      </c>
      <c r="AC29" s="115">
        <v>5219.87</v>
      </c>
      <c r="AD29" s="115">
        <v>1427.72</v>
      </c>
      <c r="AE29" s="115">
        <v>1425.66</v>
      </c>
      <c r="AF29" s="115">
        <v>1273.1400000000001</v>
      </c>
      <c r="AG29" s="115">
        <v>1381.97</v>
      </c>
      <c r="AH29" s="115">
        <v>5508.49</v>
      </c>
      <c r="AI29" s="115">
        <v>1230.57</v>
      </c>
      <c r="AJ29" s="115">
        <v>1116.45</v>
      </c>
      <c r="AK29" s="115">
        <v>1004.29</v>
      </c>
      <c r="AL29" s="115">
        <v>1109.1400000000001</v>
      </c>
      <c r="AM29" s="115">
        <v>4460.4399999999996</v>
      </c>
      <c r="AN29" s="115">
        <v>1125.4000000000001</v>
      </c>
      <c r="AO29" s="115">
        <v>992.11</v>
      </c>
      <c r="AP29" s="115">
        <v>1147.76</v>
      </c>
      <c r="AQ29" s="115">
        <v>1234.9100000000001</v>
      </c>
      <c r="AR29" s="115">
        <v>4500.18</v>
      </c>
      <c r="AS29" s="115">
        <v>1443.61</v>
      </c>
      <c r="AT29" s="115">
        <v>1632.5</v>
      </c>
      <c r="AU29" s="115">
        <v>1777.58</v>
      </c>
      <c r="AV29" s="115">
        <v>2041.72</v>
      </c>
      <c r="AW29" s="115">
        <v>6895.41</v>
      </c>
      <c r="AX29" s="115">
        <v>1830.96</v>
      </c>
      <c r="AY29" s="115">
        <v>1998.01</v>
      </c>
      <c r="AZ29" s="115">
        <v>1826.24</v>
      </c>
      <c r="BA29" s="115">
        <v>1973.72</v>
      </c>
      <c r="BB29" s="115">
        <v>7628.92</v>
      </c>
      <c r="BC29" s="115">
        <v>1691.65</v>
      </c>
      <c r="BD29" s="115">
        <v>1440.35</v>
      </c>
      <c r="BE29" s="115">
        <v>1371.28</v>
      </c>
      <c r="BF29" s="115">
        <v>1428.23</v>
      </c>
      <c r="BG29" s="115">
        <v>5931.51</v>
      </c>
      <c r="BH29" s="115">
        <v>1431.67</v>
      </c>
      <c r="BI29" s="115">
        <v>1464.76</v>
      </c>
      <c r="BJ29" s="115">
        <v>1417.43</v>
      </c>
      <c r="BK29" s="115">
        <v>1949.97</v>
      </c>
      <c r="BL29" s="115">
        <v>6263.84</v>
      </c>
      <c r="BM29" s="115">
        <v>1494.13</v>
      </c>
      <c r="BN29" s="115">
        <v>1523.12</v>
      </c>
      <c r="BO29" s="115">
        <v>1408.66</v>
      </c>
      <c r="BP29" s="115">
        <v>1931.14</v>
      </c>
      <c r="BQ29" s="115">
        <v>6357.05</v>
      </c>
      <c r="BR29" s="115">
        <v>1469.37</v>
      </c>
      <c r="BS29" s="115"/>
      <c r="BT29" s="117"/>
      <c r="BU29" s="118" t="s">
        <v>715</v>
      </c>
      <c r="BV29" s="119">
        <v>23</v>
      </c>
    </row>
    <row r="30" spans="1:74" s="112" customFormat="1" ht="11.65" customHeight="1" x14ac:dyDescent="0.15">
      <c r="A30" s="113">
        <v>24</v>
      </c>
      <c r="C30" s="120" t="s">
        <v>710</v>
      </c>
      <c r="D30" s="115">
        <v>1815.07</v>
      </c>
      <c r="E30" s="115">
        <v>1815.93</v>
      </c>
      <c r="F30" s="115">
        <v>1883.44</v>
      </c>
      <c r="G30" s="115">
        <v>2056.8000000000002</v>
      </c>
      <c r="H30" s="116">
        <v>7571.25</v>
      </c>
      <c r="I30" s="115">
        <v>1829.59</v>
      </c>
      <c r="J30" s="115">
        <v>1840.59</v>
      </c>
      <c r="K30" s="115">
        <v>1908.08</v>
      </c>
      <c r="L30" s="200">
        <v>2057.36</v>
      </c>
      <c r="M30" s="201"/>
      <c r="N30" s="116">
        <v>7635.63</v>
      </c>
      <c r="O30" s="115">
        <v>1908.99</v>
      </c>
      <c r="P30" s="115">
        <v>1908.39</v>
      </c>
      <c r="Q30" s="115">
        <v>1962.39</v>
      </c>
      <c r="R30" s="115">
        <v>2286.9699999999998</v>
      </c>
      <c r="S30" s="115">
        <v>8066.75</v>
      </c>
      <c r="T30" s="115">
        <v>2037.77</v>
      </c>
      <c r="U30" s="115">
        <v>2059.56</v>
      </c>
      <c r="V30" s="115">
        <v>2036.15</v>
      </c>
      <c r="W30" s="115">
        <v>2374.8200000000002</v>
      </c>
      <c r="X30" s="115">
        <v>8508.2999999999993</v>
      </c>
      <c r="Y30" s="115">
        <v>2084.44</v>
      </c>
      <c r="Z30" s="115">
        <v>2504.5</v>
      </c>
      <c r="AA30" s="115">
        <v>2305.83</v>
      </c>
      <c r="AB30" s="115">
        <v>2478.77</v>
      </c>
      <c r="AC30" s="115">
        <v>9373.5400000000009</v>
      </c>
      <c r="AD30" s="115">
        <v>2521.23</v>
      </c>
      <c r="AE30" s="115">
        <v>2645.39</v>
      </c>
      <c r="AF30" s="115">
        <v>2539.6999999999998</v>
      </c>
      <c r="AG30" s="115">
        <v>2655.27</v>
      </c>
      <c r="AH30" s="115">
        <v>10361.58</v>
      </c>
      <c r="AI30" s="115">
        <v>2447.46</v>
      </c>
      <c r="AJ30" s="115">
        <v>2539.7800000000002</v>
      </c>
      <c r="AK30" s="115">
        <v>2372.69</v>
      </c>
      <c r="AL30" s="115">
        <v>2471.73</v>
      </c>
      <c r="AM30" s="115">
        <v>9831.66</v>
      </c>
      <c r="AN30" s="115">
        <v>2342.7399999999998</v>
      </c>
      <c r="AO30" s="115">
        <v>2489.11</v>
      </c>
      <c r="AP30" s="115">
        <v>2521.33</v>
      </c>
      <c r="AQ30" s="115">
        <v>2613.52</v>
      </c>
      <c r="AR30" s="115">
        <v>9966.7000000000007</v>
      </c>
      <c r="AS30" s="115">
        <v>2865.39</v>
      </c>
      <c r="AT30" s="115">
        <v>3128.32</v>
      </c>
      <c r="AU30" s="115">
        <v>3005.3</v>
      </c>
      <c r="AV30" s="115">
        <v>3221.3</v>
      </c>
      <c r="AW30" s="115">
        <v>12220.3</v>
      </c>
      <c r="AX30" s="115">
        <v>2982.87</v>
      </c>
      <c r="AY30" s="115">
        <v>3224.95</v>
      </c>
      <c r="AZ30" s="115">
        <v>3191.9</v>
      </c>
      <c r="BA30" s="115">
        <v>3276.81</v>
      </c>
      <c r="BB30" s="115">
        <v>12676.53</v>
      </c>
      <c r="BC30" s="115">
        <v>2803.11</v>
      </c>
      <c r="BD30" s="115">
        <v>2577.67</v>
      </c>
      <c r="BE30" s="115">
        <v>2499.96</v>
      </c>
      <c r="BF30" s="115">
        <v>2742.99</v>
      </c>
      <c r="BG30" s="115">
        <v>10623.74</v>
      </c>
      <c r="BH30" s="115">
        <v>2480.41</v>
      </c>
      <c r="BI30" s="115">
        <v>2618.44</v>
      </c>
      <c r="BJ30" s="115">
        <v>2585.84</v>
      </c>
      <c r="BK30" s="115">
        <v>3118.84</v>
      </c>
      <c r="BL30" s="115">
        <v>10803.53</v>
      </c>
      <c r="BM30" s="115">
        <v>2560.3000000000002</v>
      </c>
      <c r="BN30" s="115">
        <v>2721.34</v>
      </c>
      <c r="BO30" s="115">
        <v>2671.16</v>
      </c>
      <c r="BP30" s="115">
        <v>3248.1</v>
      </c>
      <c r="BQ30" s="115">
        <v>11200.91</v>
      </c>
      <c r="BR30" s="115">
        <v>2818.37</v>
      </c>
      <c r="BS30" s="115"/>
      <c r="BT30" s="117"/>
      <c r="BU30" s="121" t="s">
        <v>711</v>
      </c>
      <c r="BV30" s="119">
        <v>24</v>
      </c>
    </row>
    <row r="31" spans="1:74" s="112" customFormat="1" ht="11.65" customHeight="1" x14ac:dyDescent="0.15">
      <c r="A31" s="113">
        <v>25</v>
      </c>
      <c r="C31" s="120" t="s">
        <v>712</v>
      </c>
      <c r="D31" s="115">
        <v>-735.13</v>
      </c>
      <c r="E31" s="115">
        <v>-717.64</v>
      </c>
      <c r="F31" s="115">
        <v>-732.11</v>
      </c>
      <c r="G31" s="115">
        <v>-756.08</v>
      </c>
      <c r="H31" s="116">
        <v>-2940.95</v>
      </c>
      <c r="I31" s="115">
        <v>-800.17</v>
      </c>
      <c r="J31" s="115">
        <v>-881.08</v>
      </c>
      <c r="K31" s="115">
        <v>-862.98</v>
      </c>
      <c r="L31" s="200">
        <v>-880.88</v>
      </c>
      <c r="M31" s="201"/>
      <c r="N31" s="116">
        <v>-3425.12</v>
      </c>
      <c r="O31" s="115">
        <v>-878.67</v>
      </c>
      <c r="P31" s="115">
        <v>-984.29</v>
      </c>
      <c r="Q31" s="115">
        <v>-1102.28</v>
      </c>
      <c r="R31" s="115">
        <v>-1007.13</v>
      </c>
      <c r="S31" s="115">
        <v>-3972.37</v>
      </c>
      <c r="T31" s="115">
        <v>-961.63</v>
      </c>
      <c r="U31" s="115">
        <v>-1057.04</v>
      </c>
      <c r="V31" s="115">
        <v>-1174.47</v>
      </c>
      <c r="W31" s="115">
        <v>-1137.01</v>
      </c>
      <c r="X31" s="115">
        <v>-4330.1499999999996</v>
      </c>
      <c r="Y31" s="115">
        <v>-999.23</v>
      </c>
      <c r="Z31" s="115">
        <v>-970.35</v>
      </c>
      <c r="AA31" s="115">
        <v>-1101.99</v>
      </c>
      <c r="AB31" s="115">
        <v>-1082.1099999999999</v>
      </c>
      <c r="AC31" s="115">
        <v>-4153.67</v>
      </c>
      <c r="AD31" s="115">
        <v>-1093.5</v>
      </c>
      <c r="AE31" s="115">
        <v>-1219.73</v>
      </c>
      <c r="AF31" s="115">
        <v>-1266.56</v>
      </c>
      <c r="AG31" s="115">
        <v>-1273.3</v>
      </c>
      <c r="AH31" s="115">
        <v>-4853.09</v>
      </c>
      <c r="AI31" s="115">
        <v>-1216.8900000000001</v>
      </c>
      <c r="AJ31" s="115">
        <v>-1423.33</v>
      </c>
      <c r="AK31" s="115">
        <v>-1368.4</v>
      </c>
      <c r="AL31" s="115">
        <v>-1362.59</v>
      </c>
      <c r="AM31" s="115">
        <v>-5371.22</v>
      </c>
      <c r="AN31" s="115">
        <v>-1217.3399999999999</v>
      </c>
      <c r="AO31" s="115">
        <v>-1497</v>
      </c>
      <c r="AP31" s="115">
        <v>-1373.57</v>
      </c>
      <c r="AQ31" s="115">
        <v>-1378.61</v>
      </c>
      <c r="AR31" s="115">
        <v>-5466.52</v>
      </c>
      <c r="AS31" s="115">
        <v>-1421.78</v>
      </c>
      <c r="AT31" s="115">
        <v>-1495.81</v>
      </c>
      <c r="AU31" s="115">
        <v>-1227.72</v>
      </c>
      <c r="AV31" s="115">
        <v>-1179.57</v>
      </c>
      <c r="AW31" s="115">
        <v>-5324.89</v>
      </c>
      <c r="AX31" s="115">
        <v>-1151.9100000000001</v>
      </c>
      <c r="AY31" s="115">
        <v>-1226.94</v>
      </c>
      <c r="AZ31" s="115">
        <v>-1365.67</v>
      </c>
      <c r="BA31" s="115">
        <v>-1303.0899999999999</v>
      </c>
      <c r="BB31" s="115">
        <v>-5047.6099999999997</v>
      </c>
      <c r="BC31" s="115">
        <v>-1111.46</v>
      </c>
      <c r="BD31" s="115">
        <v>-1137.32</v>
      </c>
      <c r="BE31" s="115">
        <v>-1128.68</v>
      </c>
      <c r="BF31" s="115">
        <v>-1314.77</v>
      </c>
      <c r="BG31" s="115">
        <v>-4692.2299999999996</v>
      </c>
      <c r="BH31" s="115">
        <v>-1048.74</v>
      </c>
      <c r="BI31" s="115">
        <v>-1153.67</v>
      </c>
      <c r="BJ31" s="115">
        <v>-1168.4100000000001</v>
      </c>
      <c r="BK31" s="115">
        <v>-1168.8699999999999</v>
      </c>
      <c r="BL31" s="115">
        <v>-4539.6899999999996</v>
      </c>
      <c r="BM31" s="115">
        <v>-1066.17</v>
      </c>
      <c r="BN31" s="115">
        <v>-1198.22</v>
      </c>
      <c r="BO31" s="115">
        <v>-1262.5</v>
      </c>
      <c r="BP31" s="115">
        <v>-1316.96</v>
      </c>
      <c r="BQ31" s="115">
        <v>-4843.8500000000004</v>
      </c>
      <c r="BR31" s="115">
        <v>-1348.99</v>
      </c>
      <c r="BS31" s="115"/>
      <c r="BT31" s="117"/>
      <c r="BU31" s="121" t="s">
        <v>713</v>
      </c>
      <c r="BV31" s="119">
        <v>25</v>
      </c>
    </row>
    <row r="32" spans="1:74" s="112" customFormat="1" ht="11.65" customHeight="1" x14ac:dyDescent="0.15">
      <c r="A32" s="113">
        <v>26</v>
      </c>
      <c r="C32" s="126" t="s">
        <v>716</v>
      </c>
      <c r="D32" s="115">
        <v>18.3</v>
      </c>
      <c r="E32" s="115">
        <v>2.04</v>
      </c>
      <c r="F32" s="115">
        <v>3.83</v>
      </c>
      <c r="G32" s="115">
        <v>25.67</v>
      </c>
      <c r="H32" s="116">
        <v>49.85</v>
      </c>
      <c r="I32" s="115">
        <v>0.64</v>
      </c>
      <c r="J32" s="115">
        <v>4.4400000000000004</v>
      </c>
      <c r="K32" s="115">
        <v>5.08</v>
      </c>
      <c r="L32" s="200">
        <v>22.73</v>
      </c>
      <c r="M32" s="201"/>
      <c r="N32" s="116">
        <v>32.89</v>
      </c>
      <c r="O32" s="116">
        <v>2.46</v>
      </c>
      <c r="P32" s="116">
        <v>5.58</v>
      </c>
      <c r="Q32" s="116">
        <v>7.38</v>
      </c>
      <c r="R32" s="116">
        <v>35.14</v>
      </c>
      <c r="S32" s="116">
        <v>50.57</v>
      </c>
      <c r="T32" s="116">
        <v>1.25</v>
      </c>
      <c r="U32" s="116">
        <v>7.11</v>
      </c>
      <c r="V32" s="116">
        <v>4.74</v>
      </c>
      <c r="W32" s="116">
        <v>32.19</v>
      </c>
      <c r="X32" s="116">
        <v>45.29</v>
      </c>
      <c r="Y32" s="116">
        <v>1.23</v>
      </c>
      <c r="Z32" s="116">
        <v>7.21</v>
      </c>
      <c r="AA32" s="116">
        <v>3.25</v>
      </c>
      <c r="AB32" s="116">
        <v>14.87</v>
      </c>
      <c r="AC32" s="116">
        <v>26.57</v>
      </c>
      <c r="AD32" s="116">
        <v>0.93</v>
      </c>
      <c r="AE32" s="116">
        <v>0.28999999999999998</v>
      </c>
      <c r="AF32" s="116">
        <v>1.67</v>
      </c>
      <c r="AG32" s="116">
        <v>13.75</v>
      </c>
      <c r="AH32" s="116">
        <v>16.63</v>
      </c>
      <c r="AI32" s="116">
        <v>0.63</v>
      </c>
      <c r="AJ32" s="116">
        <v>5.5</v>
      </c>
      <c r="AK32" s="116">
        <v>5.84</v>
      </c>
      <c r="AL32" s="116">
        <v>28.75</v>
      </c>
      <c r="AM32" s="116">
        <v>40.71</v>
      </c>
      <c r="AN32" s="116">
        <v>0.09</v>
      </c>
      <c r="AO32" s="116">
        <v>4.6500000000000004</v>
      </c>
      <c r="AP32" s="116">
        <v>19.04</v>
      </c>
      <c r="AQ32" s="116">
        <v>22.41</v>
      </c>
      <c r="AR32" s="116">
        <v>46.2</v>
      </c>
      <c r="AS32" s="116">
        <v>57.92</v>
      </c>
      <c r="AT32" s="116">
        <v>2.44</v>
      </c>
      <c r="AU32" s="116">
        <v>7.67</v>
      </c>
      <c r="AV32" s="116">
        <v>29.12</v>
      </c>
      <c r="AW32" s="116">
        <v>97.16</v>
      </c>
      <c r="AX32" s="116">
        <v>0.84</v>
      </c>
      <c r="AY32" s="116">
        <v>5.19</v>
      </c>
      <c r="AZ32" s="116">
        <v>12.9</v>
      </c>
      <c r="BA32" s="116">
        <v>20.13</v>
      </c>
      <c r="BB32" s="116">
        <v>39.06</v>
      </c>
      <c r="BC32" s="116">
        <v>0.81</v>
      </c>
      <c r="BD32" s="116">
        <v>5.6</v>
      </c>
      <c r="BE32" s="116">
        <v>6.72</v>
      </c>
      <c r="BF32" s="116">
        <v>23.79</v>
      </c>
      <c r="BG32" s="116">
        <v>36.909999999999997</v>
      </c>
      <c r="BH32" s="116">
        <v>2.21</v>
      </c>
      <c r="BI32" s="116">
        <v>4.91</v>
      </c>
      <c r="BJ32" s="116">
        <v>9.9600000000000009</v>
      </c>
      <c r="BK32" s="116">
        <v>63.07</v>
      </c>
      <c r="BL32" s="116">
        <v>80.150000000000006</v>
      </c>
      <c r="BM32" s="116">
        <v>0.88</v>
      </c>
      <c r="BN32" s="116">
        <v>3.04</v>
      </c>
      <c r="BO32" s="116">
        <v>2.4300000000000002</v>
      </c>
      <c r="BP32" s="116">
        <v>445.1</v>
      </c>
      <c r="BQ32" s="116">
        <v>451.44</v>
      </c>
      <c r="BR32" s="116">
        <v>1.46</v>
      </c>
      <c r="BS32" s="116"/>
      <c r="BT32" s="117"/>
      <c r="BU32" s="127" t="s">
        <v>717</v>
      </c>
      <c r="BV32" s="119">
        <v>26</v>
      </c>
    </row>
    <row r="33" spans="1:74" s="112" customFormat="1" ht="11.65" customHeight="1" x14ac:dyDescent="0.15">
      <c r="A33" s="113">
        <v>27</v>
      </c>
      <c r="C33" s="114" t="s">
        <v>710</v>
      </c>
      <c r="D33" s="115">
        <v>18.3</v>
      </c>
      <c r="E33" s="115">
        <v>2.04</v>
      </c>
      <c r="F33" s="115">
        <v>3.83</v>
      </c>
      <c r="G33" s="115">
        <v>25.67</v>
      </c>
      <c r="H33" s="116">
        <v>49.85</v>
      </c>
      <c r="I33" s="115">
        <v>0.64</v>
      </c>
      <c r="J33" s="115">
        <v>4.4400000000000004</v>
      </c>
      <c r="K33" s="115">
        <v>5.08</v>
      </c>
      <c r="L33" s="200">
        <v>22.73</v>
      </c>
      <c r="M33" s="201"/>
      <c r="N33" s="116">
        <v>32.89</v>
      </c>
      <c r="O33" s="115">
        <v>2.46</v>
      </c>
      <c r="P33" s="115">
        <v>5.58</v>
      </c>
      <c r="Q33" s="115">
        <v>7.38</v>
      </c>
      <c r="R33" s="115">
        <v>35.14</v>
      </c>
      <c r="S33" s="115">
        <v>50.57</v>
      </c>
      <c r="T33" s="115">
        <v>1.25</v>
      </c>
      <c r="U33" s="115">
        <v>7.11</v>
      </c>
      <c r="V33" s="115">
        <v>4.74</v>
      </c>
      <c r="W33" s="115">
        <v>32.19</v>
      </c>
      <c r="X33" s="115">
        <v>45.29</v>
      </c>
      <c r="Y33" s="115">
        <v>1.23</v>
      </c>
      <c r="Z33" s="115">
        <v>7.21</v>
      </c>
      <c r="AA33" s="115">
        <v>3.25</v>
      </c>
      <c r="AB33" s="115">
        <v>14.87</v>
      </c>
      <c r="AC33" s="115">
        <v>26.57</v>
      </c>
      <c r="AD33" s="115">
        <v>0.93</v>
      </c>
      <c r="AE33" s="115">
        <v>0.28999999999999998</v>
      </c>
      <c r="AF33" s="115">
        <v>1.67</v>
      </c>
      <c r="AG33" s="115">
        <v>13.75</v>
      </c>
      <c r="AH33" s="115">
        <v>16.63</v>
      </c>
      <c r="AI33" s="115">
        <v>0.63</v>
      </c>
      <c r="AJ33" s="115">
        <v>5.5</v>
      </c>
      <c r="AK33" s="115">
        <v>5.84</v>
      </c>
      <c r="AL33" s="115">
        <v>28.75</v>
      </c>
      <c r="AM33" s="115">
        <v>40.71</v>
      </c>
      <c r="AN33" s="115">
        <v>0.09</v>
      </c>
      <c r="AO33" s="115">
        <v>4.6500000000000004</v>
      </c>
      <c r="AP33" s="115">
        <v>19.04</v>
      </c>
      <c r="AQ33" s="115">
        <v>22.41</v>
      </c>
      <c r="AR33" s="115">
        <v>46.2</v>
      </c>
      <c r="AS33" s="115">
        <v>57.92</v>
      </c>
      <c r="AT33" s="115">
        <v>2.44</v>
      </c>
      <c r="AU33" s="115">
        <v>7.67</v>
      </c>
      <c r="AV33" s="115">
        <v>29.12</v>
      </c>
      <c r="AW33" s="115">
        <v>97.16</v>
      </c>
      <c r="AX33" s="115">
        <v>0.84</v>
      </c>
      <c r="AY33" s="115">
        <v>5.19</v>
      </c>
      <c r="AZ33" s="115">
        <v>12.9</v>
      </c>
      <c r="BA33" s="115">
        <v>20.13</v>
      </c>
      <c r="BB33" s="115">
        <v>39.06</v>
      </c>
      <c r="BC33" s="115">
        <v>0.81</v>
      </c>
      <c r="BD33" s="115">
        <v>5.6</v>
      </c>
      <c r="BE33" s="115">
        <v>6.72</v>
      </c>
      <c r="BF33" s="115">
        <v>23.79</v>
      </c>
      <c r="BG33" s="115">
        <v>36.909999999999997</v>
      </c>
      <c r="BH33" s="115">
        <v>2.21</v>
      </c>
      <c r="BI33" s="115">
        <v>4.91</v>
      </c>
      <c r="BJ33" s="115">
        <v>9.9600000000000009</v>
      </c>
      <c r="BK33" s="115">
        <v>63.07</v>
      </c>
      <c r="BL33" s="115">
        <v>80.150000000000006</v>
      </c>
      <c r="BM33" s="115">
        <v>0.88</v>
      </c>
      <c r="BN33" s="115">
        <v>3.04</v>
      </c>
      <c r="BO33" s="115">
        <v>2.4300000000000002</v>
      </c>
      <c r="BP33" s="115">
        <v>445.1</v>
      </c>
      <c r="BQ33" s="115">
        <v>451.44</v>
      </c>
      <c r="BR33" s="115">
        <v>1.46</v>
      </c>
      <c r="BS33" s="115"/>
      <c r="BT33" s="117"/>
      <c r="BU33" s="118" t="s">
        <v>711</v>
      </c>
      <c r="BV33" s="119">
        <v>27</v>
      </c>
    </row>
    <row r="34" spans="1:74" s="112" customFormat="1" ht="11.65" customHeight="1" x14ac:dyDescent="0.15">
      <c r="A34" s="113">
        <v>28</v>
      </c>
      <c r="C34" s="114" t="s">
        <v>712</v>
      </c>
      <c r="D34" s="115" t="s">
        <v>646</v>
      </c>
      <c r="E34" s="115" t="s">
        <v>646</v>
      </c>
      <c r="F34" s="115" t="s">
        <v>646</v>
      </c>
      <c r="G34" s="115" t="s">
        <v>646</v>
      </c>
      <c r="H34" s="116" t="s">
        <v>646</v>
      </c>
      <c r="I34" s="115" t="s">
        <v>646</v>
      </c>
      <c r="J34" s="115" t="s">
        <v>646</v>
      </c>
      <c r="K34" s="115" t="s">
        <v>646</v>
      </c>
      <c r="L34" s="200" t="s">
        <v>646</v>
      </c>
      <c r="M34" s="201"/>
      <c r="N34" s="116" t="s">
        <v>646</v>
      </c>
      <c r="O34" s="115" t="s">
        <v>646</v>
      </c>
      <c r="P34" s="115" t="s">
        <v>646</v>
      </c>
      <c r="Q34" s="115" t="s">
        <v>646</v>
      </c>
      <c r="R34" s="115" t="s">
        <v>646</v>
      </c>
      <c r="S34" s="115" t="s">
        <v>646</v>
      </c>
      <c r="T34" s="115" t="s">
        <v>646</v>
      </c>
      <c r="U34" s="115" t="s">
        <v>646</v>
      </c>
      <c r="V34" s="115" t="s">
        <v>646</v>
      </c>
      <c r="W34" s="115" t="s">
        <v>646</v>
      </c>
      <c r="X34" s="115" t="s">
        <v>646</v>
      </c>
      <c r="Y34" s="115" t="s">
        <v>646</v>
      </c>
      <c r="Z34" s="115" t="s">
        <v>646</v>
      </c>
      <c r="AA34" s="115" t="s">
        <v>646</v>
      </c>
      <c r="AB34" s="115" t="s">
        <v>646</v>
      </c>
      <c r="AC34" s="115" t="s">
        <v>646</v>
      </c>
      <c r="AD34" s="115" t="s">
        <v>646</v>
      </c>
      <c r="AE34" s="115" t="s">
        <v>646</v>
      </c>
      <c r="AF34" s="115" t="s">
        <v>646</v>
      </c>
      <c r="AG34" s="115" t="s">
        <v>646</v>
      </c>
      <c r="AH34" s="115" t="s">
        <v>646</v>
      </c>
      <c r="AI34" s="115" t="s">
        <v>646</v>
      </c>
      <c r="AJ34" s="115" t="s">
        <v>646</v>
      </c>
      <c r="AK34" s="115" t="s">
        <v>646</v>
      </c>
      <c r="AL34" s="115" t="s">
        <v>646</v>
      </c>
      <c r="AM34" s="115" t="s">
        <v>646</v>
      </c>
      <c r="AN34" s="115" t="s">
        <v>646</v>
      </c>
      <c r="AO34" s="115" t="s">
        <v>646</v>
      </c>
      <c r="AP34" s="115" t="s">
        <v>646</v>
      </c>
      <c r="AQ34" s="115" t="s">
        <v>646</v>
      </c>
      <c r="AR34" s="115" t="s">
        <v>646</v>
      </c>
      <c r="AS34" s="115" t="s">
        <v>646</v>
      </c>
      <c r="AT34" s="115" t="s">
        <v>646</v>
      </c>
      <c r="AU34" s="115" t="s">
        <v>646</v>
      </c>
      <c r="AV34" s="115" t="s">
        <v>646</v>
      </c>
      <c r="AW34" s="115" t="s">
        <v>646</v>
      </c>
      <c r="AX34" s="115" t="s">
        <v>646</v>
      </c>
      <c r="AY34" s="115" t="s">
        <v>646</v>
      </c>
      <c r="AZ34" s="115" t="s">
        <v>646</v>
      </c>
      <c r="BA34" s="115" t="s">
        <v>646</v>
      </c>
      <c r="BB34" s="115" t="s">
        <v>646</v>
      </c>
      <c r="BC34" s="115" t="s">
        <v>646</v>
      </c>
      <c r="BD34" s="115" t="s">
        <v>646</v>
      </c>
      <c r="BE34" s="115" t="s">
        <v>646</v>
      </c>
      <c r="BF34" s="115" t="s">
        <v>646</v>
      </c>
      <c r="BG34" s="115" t="s">
        <v>646</v>
      </c>
      <c r="BH34" s="115" t="s">
        <v>646</v>
      </c>
      <c r="BI34" s="115" t="s">
        <v>646</v>
      </c>
      <c r="BJ34" s="115" t="s">
        <v>646</v>
      </c>
      <c r="BK34" s="115" t="s">
        <v>646</v>
      </c>
      <c r="BL34" s="115" t="s">
        <v>646</v>
      </c>
      <c r="BM34" s="115" t="s">
        <v>646</v>
      </c>
      <c r="BN34" s="115" t="s">
        <v>646</v>
      </c>
      <c r="BO34" s="115" t="s">
        <v>646</v>
      </c>
      <c r="BP34" s="115" t="s">
        <v>646</v>
      </c>
      <c r="BQ34" s="115" t="s">
        <v>646</v>
      </c>
      <c r="BR34" s="115" t="s">
        <v>646</v>
      </c>
      <c r="BS34" s="115"/>
      <c r="BT34" s="117"/>
      <c r="BU34" s="118" t="s">
        <v>713</v>
      </c>
      <c r="BV34" s="119">
        <v>28</v>
      </c>
    </row>
    <row r="35" spans="1:74" s="112" customFormat="1" ht="11.65" customHeight="1" x14ac:dyDescent="0.15">
      <c r="A35" s="113">
        <v>29</v>
      </c>
      <c r="C35" s="126" t="s">
        <v>718</v>
      </c>
      <c r="D35" s="115">
        <v>5569.27</v>
      </c>
      <c r="E35" s="115">
        <v>3734.41</v>
      </c>
      <c r="F35" s="115">
        <v>7404.25</v>
      </c>
      <c r="G35" s="115">
        <v>9768.2000000000007</v>
      </c>
      <c r="H35" s="116">
        <v>26476.13</v>
      </c>
      <c r="I35" s="115">
        <v>4763.82</v>
      </c>
      <c r="J35" s="115">
        <v>11579.04</v>
      </c>
      <c r="K35" s="115">
        <v>-9461.2800000000007</v>
      </c>
      <c r="L35" s="200">
        <v>6721.75</v>
      </c>
      <c r="M35" s="201"/>
      <c r="N35" s="116">
        <v>13603.33</v>
      </c>
      <c r="O35" s="116">
        <v>2120.0300000000002</v>
      </c>
      <c r="P35" s="116">
        <v>4998.3500000000004</v>
      </c>
      <c r="Q35" s="116">
        <v>5818.33</v>
      </c>
      <c r="R35" s="116">
        <v>11921.36</v>
      </c>
      <c r="S35" s="116">
        <v>24858.06</v>
      </c>
      <c r="T35" s="116">
        <v>35.46</v>
      </c>
      <c r="U35" s="116">
        <v>8689.4699999999993</v>
      </c>
      <c r="V35" s="116">
        <v>4568.5</v>
      </c>
      <c r="W35" s="116">
        <v>8632.15</v>
      </c>
      <c r="X35" s="116">
        <v>21925.58</v>
      </c>
      <c r="Y35" s="116">
        <v>6462.77</v>
      </c>
      <c r="Z35" s="116">
        <v>14345.34</v>
      </c>
      <c r="AA35" s="116">
        <v>14568.8</v>
      </c>
      <c r="AB35" s="116">
        <v>9539.17</v>
      </c>
      <c r="AC35" s="116">
        <v>44916.08</v>
      </c>
      <c r="AD35" s="116">
        <v>5610.69</v>
      </c>
      <c r="AE35" s="116">
        <v>1998.35</v>
      </c>
      <c r="AF35" s="116">
        <v>60.2</v>
      </c>
      <c r="AG35" s="116">
        <v>9173.86</v>
      </c>
      <c r="AH35" s="116">
        <v>16843.099999999999</v>
      </c>
      <c r="AI35" s="116">
        <v>4418.57</v>
      </c>
      <c r="AJ35" s="116">
        <v>7101.69</v>
      </c>
      <c r="AK35" s="116">
        <v>10058.94</v>
      </c>
      <c r="AL35" s="116">
        <v>7726.43</v>
      </c>
      <c r="AM35" s="116">
        <v>29305.64</v>
      </c>
      <c r="AN35" s="116">
        <v>6652.03</v>
      </c>
      <c r="AO35" s="116">
        <v>5343.76</v>
      </c>
      <c r="AP35" s="116">
        <v>9578.5300000000007</v>
      </c>
      <c r="AQ35" s="116">
        <v>7111.52</v>
      </c>
      <c r="AR35" s="116">
        <v>28685.84</v>
      </c>
      <c r="AS35" s="116">
        <v>2135.86</v>
      </c>
      <c r="AT35" s="116">
        <v>3110.7</v>
      </c>
      <c r="AU35" s="116">
        <v>4000.78</v>
      </c>
      <c r="AV35" s="116">
        <v>15874.68</v>
      </c>
      <c r="AW35" s="116">
        <v>25122.03</v>
      </c>
      <c r="AX35" s="116">
        <v>9875.23</v>
      </c>
      <c r="AY35" s="116">
        <v>6738.64</v>
      </c>
      <c r="AZ35" s="116">
        <v>7421</v>
      </c>
      <c r="BA35" s="116">
        <v>12528.72</v>
      </c>
      <c r="BB35" s="116">
        <v>36563.589999999997</v>
      </c>
      <c r="BC35" s="116">
        <v>-2997.82</v>
      </c>
      <c r="BD35" s="116">
        <v>10983.85</v>
      </c>
      <c r="BE35" s="116">
        <v>856.17</v>
      </c>
      <c r="BF35" s="116">
        <v>-957.85</v>
      </c>
      <c r="BG35" s="116">
        <v>7884.35</v>
      </c>
      <c r="BH35" s="116">
        <v>5834.9</v>
      </c>
      <c r="BI35" s="116">
        <v>1538.28</v>
      </c>
      <c r="BJ35" s="116">
        <v>7313.79</v>
      </c>
      <c r="BK35" s="116">
        <v>-2194.7199999999998</v>
      </c>
      <c r="BL35" s="116">
        <v>12492.25</v>
      </c>
      <c r="BM35" s="116">
        <v>-1810.9</v>
      </c>
      <c r="BN35" s="116">
        <v>-1386.33</v>
      </c>
      <c r="BO35" s="116">
        <v>-5559.35</v>
      </c>
      <c r="BP35" s="116">
        <v>-119.51</v>
      </c>
      <c r="BQ35" s="116">
        <v>-8876.08</v>
      </c>
      <c r="BR35" s="116">
        <v>3379.08</v>
      </c>
      <c r="BS35" s="116"/>
      <c r="BT35" s="117"/>
      <c r="BU35" s="127" t="s">
        <v>719</v>
      </c>
      <c r="BV35" s="119">
        <v>29</v>
      </c>
    </row>
    <row r="36" spans="1:74" s="112" customFormat="1" ht="11.65" customHeight="1" x14ac:dyDescent="0.15">
      <c r="A36" s="113">
        <v>30</v>
      </c>
      <c r="C36" s="114" t="s">
        <v>720</v>
      </c>
      <c r="D36" s="115">
        <v>-4160.5200000000004</v>
      </c>
      <c r="E36" s="115">
        <v>-510.27</v>
      </c>
      <c r="F36" s="115">
        <v>-4341.8500000000004</v>
      </c>
      <c r="G36" s="115">
        <v>1718.42</v>
      </c>
      <c r="H36" s="116">
        <v>-7294.22</v>
      </c>
      <c r="I36" s="115">
        <v>-4103.18</v>
      </c>
      <c r="J36" s="115">
        <v>-1214.74</v>
      </c>
      <c r="K36" s="115">
        <v>-11590.31</v>
      </c>
      <c r="L36" s="200">
        <v>454.77</v>
      </c>
      <c r="M36" s="201"/>
      <c r="N36" s="116">
        <v>-16453.46</v>
      </c>
      <c r="O36" s="115">
        <v>-5651.65</v>
      </c>
      <c r="P36" s="115">
        <v>-3910.84</v>
      </c>
      <c r="Q36" s="115">
        <v>-2868.44</v>
      </c>
      <c r="R36" s="115">
        <v>-5540.34</v>
      </c>
      <c r="S36" s="115">
        <v>-17971.27</v>
      </c>
      <c r="T36" s="115">
        <v>-9700.5</v>
      </c>
      <c r="U36" s="115">
        <v>1778.61</v>
      </c>
      <c r="V36" s="115">
        <v>-4940.8100000000004</v>
      </c>
      <c r="W36" s="115">
        <v>-2604.36</v>
      </c>
      <c r="X36" s="115">
        <v>-15467.05</v>
      </c>
      <c r="Y36" s="115">
        <v>-5392.56</v>
      </c>
      <c r="Z36" s="115">
        <v>-2960.29</v>
      </c>
      <c r="AA36" s="115">
        <v>-3786.42</v>
      </c>
      <c r="AB36" s="115">
        <v>1353.06</v>
      </c>
      <c r="AC36" s="115">
        <v>-10786.21</v>
      </c>
      <c r="AD36" s="115">
        <v>-8293.86</v>
      </c>
      <c r="AE36" s="115">
        <v>-9155.3700000000008</v>
      </c>
      <c r="AF36" s="115">
        <v>-3707.54</v>
      </c>
      <c r="AG36" s="115">
        <v>-331.87</v>
      </c>
      <c r="AH36" s="115">
        <v>-21488.65</v>
      </c>
      <c r="AI36" s="115">
        <v>-658.84</v>
      </c>
      <c r="AJ36" s="115">
        <v>-4767.84</v>
      </c>
      <c r="AK36" s="115">
        <v>3085.8</v>
      </c>
      <c r="AL36" s="115">
        <v>18260.8</v>
      </c>
      <c r="AM36" s="115">
        <v>15919.91</v>
      </c>
      <c r="AN36" s="115">
        <v>-4283.62</v>
      </c>
      <c r="AO36" s="115">
        <v>-7808.48</v>
      </c>
      <c r="AP36" s="115">
        <v>-4002.32</v>
      </c>
      <c r="AQ36" s="115">
        <v>-2315.2800000000002</v>
      </c>
      <c r="AR36" s="115">
        <v>-18409.7</v>
      </c>
      <c r="AS36" s="115">
        <v>-6315.78</v>
      </c>
      <c r="AT36" s="115">
        <v>-3109.12</v>
      </c>
      <c r="AU36" s="115">
        <v>-7545.9</v>
      </c>
      <c r="AV36" s="115">
        <v>-2215.04</v>
      </c>
      <c r="AW36" s="115">
        <v>-19185.84</v>
      </c>
      <c r="AX36" s="115">
        <v>-6829.12</v>
      </c>
      <c r="AY36" s="115">
        <v>-3799.3</v>
      </c>
      <c r="AZ36" s="115">
        <v>-3779.12</v>
      </c>
      <c r="BA36" s="115">
        <v>-931.96</v>
      </c>
      <c r="BB36" s="115">
        <v>-15339.5</v>
      </c>
      <c r="BC36" s="115">
        <v>-4669.0600000000004</v>
      </c>
      <c r="BD36" s="115">
        <v>-1448.05</v>
      </c>
      <c r="BE36" s="115">
        <v>-2487.7800000000002</v>
      </c>
      <c r="BF36" s="115">
        <v>-8225.9</v>
      </c>
      <c r="BG36" s="115">
        <v>-16830.79</v>
      </c>
      <c r="BH36" s="115">
        <v>-3863.99</v>
      </c>
      <c r="BI36" s="115">
        <v>-4294.99</v>
      </c>
      <c r="BJ36" s="115">
        <v>-6559.89</v>
      </c>
      <c r="BK36" s="115">
        <v>1004.11</v>
      </c>
      <c r="BL36" s="115">
        <v>-13714.77</v>
      </c>
      <c r="BM36" s="115">
        <v>-7432.96</v>
      </c>
      <c r="BN36" s="115">
        <v>-5188.8</v>
      </c>
      <c r="BO36" s="115">
        <v>-8598.33</v>
      </c>
      <c r="BP36" s="115">
        <v>-2816.65</v>
      </c>
      <c r="BQ36" s="115">
        <v>-24036.75</v>
      </c>
      <c r="BR36" s="115">
        <v>-4244.74</v>
      </c>
      <c r="BS36" s="115"/>
      <c r="BT36" s="117"/>
      <c r="BU36" s="118" t="s">
        <v>721</v>
      </c>
      <c r="BV36" s="119">
        <v>30</v>
      </c>
    </row>
    <row r="37" spans="1:74" s="112" customFormat="1" ht="11.65" customHeight="1" x14ac:dyDescent="0.15">
      <c r="A37" s="113">
        <v>31</v>
      </c>
      <c r="C37" s="114" t="s">
        <v>722</v>
      </c>
      <c r="D37" s="115">
        <v>9729.7900000000009</v>
      </c>
      <c r="E37" s="115">
        <v>4244.68</v>
      </c>
      <c r="F37" s="115">
        <v>11746.1</v>
      </c>
      <c r="G37" s="115">
        <v>8049.77</v>
      </c>
      <c r="H37" s="116">
        <v>33770.35</v>
      </c>
      <c r="I37" s="115">
        <v>8867.01</v>
      </c>
      <c r="J37" s="115">
        <v>12793.79</v>
      </c>
      <c r="K37" s="115">
        <v>2129.0300000000002</v>
      </c>
      <c r="L37" s="200">
        <v>6266.97</v>
      </c>
      <c r="M37" s="201"/>
      <c r="N37" s="116">
        <v>30056.799999999999</v>
      </c>
      <c r="O37" s="115">
        <v>7771.68</v>
      </c>
      <c r="P37" s="115">
        <v>8909.19</v>
      </c>
      <c r="Q37" s="115">
        <v>8686.77</v>
      </c>
      <c r="R37" s="115">
        <v>17461.7</v>
      </c>
      <c r="S37" s="115">
        <v>42829.33</v>
      </c>
      <c r="T37" s="115">
        <v>9735.9599999999991</v>
      </c>
      <c r="U37" s="115">
        <v>6910.85</v>
      </c>
      <c r="V37" s="115">
        <v>9509.31</v>
      </c>
      <c r="W37" s="115">
        <v>11236.51</v>
      </c>
      <c r="X37" s="115">
        <v>37392.629999999997</v>
      </c>
      <c r="Y37" s="115">
        <v>11855.33</v>
      </c>
      <c r="Z37" s="115">
        <v>17305.63</v>
      </c>
      <c r="AA37" s="115">
        <v>18355.22</v>
      </c>
      <c r="AB37" s="115">
        <v>8186.11</v>
      </c>
      <c r="AC37" s="115">
        <v>55702.29</v>
      </c>
      <c r="AD37" s="115">
        <v>13904.55</v>
      </c>
      <c r="AE37" s="115">
        <v>11153.72</v>
      </c>
      <c r="AF37" s="115">
        <v>3767.75</v>
      </c>
      <c r="AG37" s="115">
        <v>9505.74</v>
      </c>
      <c r="AH37" s="115">
        <v>38331.75</v>
      </c>
      <c r="AI37" s="115">
        <v>5077.42</v>
      </c>
      <c r="AJ37" s="115">
        <v>11869.53</v>
      </c>
      <c r="AK37" s="115">
        <v>6973.14</v>
      </c>
      <c r="AL37" s="115">
        <v>-10534.36</v>
      </c>
      <c r="AM37" s="115">
        <v>13385.73</v>
      </c>
      <c r="AN37" s="115">
        <v>10935.65</v>
      </c>
      <c r="AO37" s="115">
        <v>13152.24</v>
      </c>
      <c r="AP37" s="115">
        <v>13580.86</v>
      </c>
      <c r="AQ37" s="115">
        <v>9426.7999999999993</v>
      </c>
      <c r="AR37" s="115">
        <v>47095.55</v>
      </c>
      <c r="AS37" s="115">
        <v>8451.64</v>
      </c>
      <c r="AT37" s="115">
        <v>6219.82</v>
      </c>
      <c r="AU37" s="115">
        <v>11546.69</v>
      </c>
      <c r="AV37" s="115">
        <v>18089.72</v>
      </c>
      <c r="AW37" s="115">
        <v>44307.87</v>
      </c>
      <c r="AX37" s="115">
        <v>16704.349999999999</v>
      </c>
      <c r="AY37" s="115">
        <v>10537.94</v>
      </c>
      <c r="AZ37" s="115">
        <v>11200.12</v>
      </c>
      <c r="BA37" s="115">
        <v>13460.68</v>
      </c>
      <c r="BB37" s="115">
        <v>51903.08</v>
      </c>
      <c r="BC37" s="115">
        <v>1671.24</v>
      </c>
      <c r="BD37" s="115">
        <v>12431.9</v>
      </c>
      <c r="BE37" s="115">
        <v>3343.95</v>
      </c>
      <c r="BF37" s="115">
        <v>7268.05</v>
      </c>
      <c r="BG37" s="115">
        <v>24715.14</v>
      </c>
      <c r="BH37" s="115">
        <v>9698.89</v>
      </c>
      <c r="BI37" s="115">
        <v>5833.27</v>
      </c>
      <c r="BJ37" s="115">
        <v>13873.68</v>
      </c>
      <c r="BK37" s="115">
        <v>-3198.83</v>
      </c>
      <c r="BL37" s="115">
        <v>26207.01</v>
      </c>
      <c r="BM37" s="115">
        <v>5622.07</v>
      </c>
      <c r="BN37" s="115">
        <v>3802.47</v>
      </c>
      <c r="BO37" s="115">
        <v>3038.99</v>
      </c>
      <c r="BP37" s="115">
        <v>2697.15</v>
      </c>
      <c r="BQ37" s="115">
        <v>15160.67</v>
      </c>
      <c r="BR37" s="115">
        <v>7623.81</v>
      </c>
      <c r="BS37" s="115"/>
      <c r="BT37" s="117"/>
      <c r="BU37" s="118" t="s">
        <v>723</v>
      </c>
      <c r="BV37" s="119">
        <v>31</v>
      </c>
    </row>
    <row r="38" spans="1:74" s="112" customFormat="1" ht="11.65" customHeight="1" x14ac:dyDescent="0.15">
      <c r="A38" s="113">
        <v>32</v>
      </c>
      <c r="C38" s="114" t="s">
        <v>724</v>
      </c>
      <c r="D38" s="115">
        <v>2555.9</v>
      </c>
      <c r="E38" s="115">
        <v>2367.5700000000002</v>
      </c>
      <c r="F38" s="115">
        <v>1763.93</v>
      </c>
      <c r="G38" s="115">
        <v>4418.93</v>
      </c>
      <c r="H38" s="116">
        <v>11106.33</v>
      </c>
      <c r="I38" s="115">
        <v>3781.76</v>
      </c>
      <c r="J38" s="115">
        <v>2507.2800000000002</v>
      </c>
      <c r="K38" s="115">
        <v>2118.92</v>
      </c>
      <c r="L38" s="200">
        <v>3120.44</v>
      </c>
      <c r="M38" s="201"/>
      <c r="N38" s="116">
        <v>11528.39</v>
      </c>
      <c r="O38" s="115">
        <v>1550.34</v>
      </c>
      <c r="P38" s="115">
        <v>3652.59</v>
      </c>
      <c r="Q38" s="115">
        <v>4451.93</v>
      </c>
      <c r="R38" s="115">
        <v>4061.37</v>
      </c>
      <c r="S38" s="115">
        <v>13716.23</v>
      </c>
      <c r="T38" s="115">
        <v>3261.15</v>
      </c>
      <c r="U38" s="115">
        <v>3323.23</v>
      </c>
      <c r="V38" s="115">
        <v>5415.11</v>
      </c>
      <c r="W38" s="115">
        <v>170.56</v>
      </c>
      <c r="X38" s="115">
        <v>12170.06</v>
      </c>
      <c r="Y38" s="115">
        <v>2011.9</v>
      </c>
      <c r="Z38" s="115">
        <v>4245</v>
      </c>
      <c r="AA38" s="115">
        <v>5795.52</v>
      </c>
      <c r="AB38" s="115">
        <v>2680.78</v>
      </c>
      <c r="AC38" s="115">
        <v>14733.2</v>
      </c>
      <c r="AD38" s="115">
        <v>2319.29</v>
      </c>
      <c r="AE38" s="115">
        <v>3982.45</v>
      </c>
      <c r="AF38" s="115">
        <v>1607.66</v>
      </c>
      <c r="AG38" s="115">
        <v>2795.09</v>
      </c>
      <c r="AH38" s="115">
        <v>10704.48</v>
      </c>
      <c r="AI38" s="115">
        <v>2827.06</v>
      </c>
      <c r="AJ38" s="115">
        <v>3173.65</v>
      </c>
      <c r="AK38" s="115">
        <v>6594.3</v>
      </c>
      <c r="AL38" s="115">
        <v>3540.9</v>
      </c>
      <c r="AM38" s="115">
        <v>16135.92</v>
      </c>
      <c r="AN38" s="115">
        <v>2645.92</v>
      </c>
      <c r="AO38" s="115">
        <v>4469.12</v>
      </c>
      <c r="AP38" s="115">
        <v>6967.51</v>
      </c>
      <c r="AQ38" s="115">
        <v>4419.49</v>
      </c>
      <c r="AR38" s="115">
        <v>18502.04</v>
      </c>
      <c r="AS38" s="115">
        <v>4737.0600000000004</v>
      </c>
      <c r="AT38" s="115">
        <v>2423.56</v>
      </c>
      <c r="AU38" s="115">
        <v>4495.38</v>
      </c>
      <c r="AV38" s="115">
        <v>854.61</v>
      </c>
      <c r="AW38" s="115">
        <v>12510.61</v>
      </c>
      <c r="AX38" s="115">
        <v>5906.58</v>
      </c>
      <c r="AY38" s="115">
        <v>5765.8</v>
      </c>
      <c r="AZ38" s="115">
        <v>5246.07</v>
      </c>
      <c r="BA38" s="115">
        <v>3612.62</v>
      </c>
      <c r="BB38" s="115">
        <v>20531.07</v>
      </c>
      <c r="BC38" s="115">
        <v>4312.3900000000003</v>
      </c>
      <c r="BD38" s="115">
        <v>4487.76</v>
      </c>
      <c r="BE38" s="115">
        <v>992.31</v>
      </c>
      <c r="BF38" s="115">
        <v>4350.01</v>
      </c>
      <c r="BG38" s="115">
        <v>14142.47</v>
      </c>
      <c r="BH38" s="115">
        <v>4523.55</v>
      </c>
      <c r="BI38" s="115">
        <v>5391.1</v>
      </c>
      <c r="BJ38" s="115">
        <v>3480.63</v>
      </c>
      <c r="BK38" s="115">
        <v>3891.07</v>
      </c>
      <c r="BL38" s="115">
        <v>17286.349999999999</v>
      </c>
      <c r="BM38" s="115">
        <v>4541.91</v>
      </c>
      <c r="BN38" s="115">
        <v>3330.17</v>
      </c>
      <c r="BO38" s="115">
        <v>3409.16</v>
      </c>
      <c r="BP38" s="115">
        <v>3159.95</v>
      </c>
      <c r="BQ38" s="115">
        <v>14441.19</v>
      </c>
      <c r="BR38" s="115">
        <v>3400.93</v>
      </c>
      <c r="BS38" s="115"/>
      <c r="BT38" s="117"/>
      <c r="BU38" s="118" t="s">
        <v>725</v>
      </c>
      <c r="BV38" s="119">
        <v>32</v>
      </c>
    </row>
    <row r="39" spans="1:74" s="112" customFormat="1" ht="11.65" customHeight="1" x14ac:dyDescent="0.15">
      <c r="A39" s="113">
        <v>33</v>
      </c>
      <c r="C39" s="120" t="s">
        <v>726</v>
      </c>
      <c r="D39" s="115">
        <v>-998.72</v>
      </c>
      <c r="E39" s="115">
        <v>-1059.1099999999999</v>
      </c>
      <c r="F39" s="115">
        <v>-1419.97</v>
      </c>
      <c r="G39" s="115">
        <v>-707.88</v>
      </c>
      <c r="H39" s="116">
        <v>-4185.68</v>
      </c>
      <c r="I39" s="115">
        <v>-2345.2800000000002</v>
      </c>
      <c r="J39" s="115">
        <v>-3049.07</v>
      </c>
      <c r="K39" s="115">
        <v>-1813.14</v>
      </c>
      <c r="L39" s="200">
        <v>-1829.05</v>
      </c>
      <c r="M39" s="201"/>
      <c r="N39" s="116">
        <v>-9036.5400000000009</v>
      </c>
      <c r="O39" s="115">
        <v>-1842.81</v>
      </c>
      <c r="P39" s="115">
        <v>-1106.3900000000001</v>
      </c>
      <c r="Q39" s="115">
        <v>-2264.75</v>
      </c>
      <c r="R39" s="115">
        <v>-2270.61</v>
      </c>
      <c r="S39" s="115">
        <v>-7484.55</v>
      </c>
      <c r="T39" s="115">
        <v>-2028.29</v>
      </c>
      <c r="U39" s="115">
        <v>-2218.2600000000002</v>
      </c>
      <c r="V39" s="115">
        <v>-1779.81</v>
      </c>
      <c r="W39" s="115">
        <v>-5085.33</v>
      </c>
      <c r="X39" s="115">
        <v>-11111.69</v>
      </c>
      <c r="Y39" s="115">
        <v>-2883.04</v>
      </c>
      <c r="Z39" s="115">
        <v>-2406.98</v>
      </c>
      <c r="AA39" s="115">
        <v>-2226.2199999999998</v>
      </c>
      <c r="AB39" s="115">
        <v>-2871.3</v>
      </c>
      <c r="AC39" s="115">
        <v>-10387.530000000001</v>
      </c>
      <c r="AD39" s="115">
        <v>-3392.44</v>
      </c>
      <c r="AE39" s="115">
        <v>-3275.81</v>
      </c>
      <c r="AF39" s="115">
        <v>-1265.6600000000001</v>
      </c>
      <c r="AG39" s="115">
        <v>-1140.74</v>
      </c>
      <c r="AH39" s="115">
        <v>-9074.65</v>
      </c>
      <c r="AI39" s="115">
        <v>-370.36</v>
      </c>
      <c r="AJ39" s="115">
        <v>-1371.5</v>
      </c>
      <c r="AK39" s="115">
        <v>465.75</v>
      </c>
      <c r="AL39" s="115">
        <v>12870.31</v>
      </c>
      <c r="AM39" s="115">
        <v>11594.2</v>
      </c>
      <c r="AN39" s="115">
        <v>-374.09</v>
      </c>
      <c r="AO39" s="115">
        <v>241.58</v>
      </c>
      <c r="AP39" s="115">
        <v>-1129.3499999999999</v>
      </c>
      <c r="AQ39" s="115">
        <v>-746.42</v>
      </c>
      <c r="AR39" s="115">
        <v>-2008.27</v>
      </c>
      <c r="AS39" s="115">
        <v>-679.17</v>
      </c>
      <c r="AT39" s="115">
        <v>-1701.2</v>
      </c>
      <c r="AU39" s="115">
        <v>-2306.31</v>
      </c>
      <c r="AV39" s="115">
        <v>-1712.54</v>
      </c>
      <c r="AW39" s="115">
        <v>-6399.22</v>
      </c>
      <c r="AX39" s="115">
        <v>-826.25</v>
      </c>
      <c r="AY39" s="115">
        <v>-1605.66</v>
      </c>
      <c r="AZ39" s="115">
        <v>-615.47</v>
      </c>
      <c r="BA39" s="115">
        <v>-1415.1</v>
      </c>
      <c r="BB39" s="115">
        <v>-4462.4799999999996</v>
      </c>
      <c r="BC39" s="115">
        <v>-701.86</v>
      </c>
      <c r="BD39" s="115">
        <v>-725.2</v>
      </c>
      <c r="BE39" s="115">
        <v>-2751.14</v>
      </c>
      <c r="BF39" s="115">
        <v>-854.4</v>
      </c>
      <c r="BG39" s="115">
        <v>-5032.6000000000004</v>
      </c>
      <c r="BH39" s="115">
        <v>-922.91</v>
      </c>
      <c r="BI39" s="115">
        <v>-799.93</v>
      </c>
      <c r="BJ39" s="115">
        <v>-1127.6400000000001</v>
      </c>
      <c r="BK39" s="115">
        <v>-1076.26</v>
      </c>
      <c r="BL39" s="115">
        <v>-3926.73</v>
      </c>
      <c r="BM39" s="115">
        <v>-1286.21</v>
      </c>
      <c r="BN39" s="115">
        <v>-1366.72</v>
      </c>
      <c r="BO39" s="115">
        <v>-2152.96</v>
      </c>
      <c r="BP39" s="115">
        <v>-1806.03</v>
      </c>
      <c r="BQ39" s="115">
        <v>-6611.92</v>
      </c>
      <c r="BR39" s="115">
        <v>-1885.6</v>
      </c>
      <c r="BS39" s="115"/>
      <c r="BT39" s="117"/>
      <c r="BU39" s="121" t="s">
        <v>727</v>
      </c>
      <c r="BV39" s="119">
        <v>33</v>
      </c>
    </row>
    <row r="40" spans="1:74" s="112" customFormat="1" ht="11.65" customHeight="1" x14ac:dyDescent="0.15">
      <c r="A40" s="113">
        <v>34</v>
      </c>
      <c r="C40" s="120" t="s">
        <v>728</v>
      </c>
      <c r="D40" s="115">
        <v>3554.61</v>
      </c>
      <c r="E40" s="115">
        <v>3426.69</v>
      </c>
      <c r="F40" s="115">
        <v>3183.9</v>
      </c>
      <c r="G40" s="115">
        <v>5126.8100000000004</v>
      </c>
      <c r="H40" s="116">
        <v>15292.01</v>
      </c>
      <c r="I40" s="115">
        <v>6127.04</v>
      </c>
      <c r="J40" s="115">
        <v>5556.35</v>
      </c>
      <c r="K40" s="115">
        <v>3932.06</v>
      </c>
      <c r="L40" s="200">
        <v>4949.4799999999996</v>
      </c>
      <c r="M40" s="201"/>
      <c r="N40" s="116">
        <v>20564.939999999999</v>
      </c>
      <c r="O40" s="115">
        <v>3393.16</v>
      </c>
      <c r="P40" s="115">
        <v>4758.9799999999996</v>
      </c>
      <c r="Q40" s="115">
        <v>6716.67</v>
      </c>
      <c r="R40" s="115">
        <v>6331.97</v>
      </c>
      <c r="S40" s="115">
        <v>21200.78</v>
      </c>
      <c r="T40" s="115">
        <v>5289.44</v>
      </c>
      <c r="U40" s="115">
        <v>5541.49</v>
      </c>
      <c r="V40" s="115">
        <v>7194.92</v>
      </c>
      <c r="W40" s="115">
        <v>5255.89</v>
      </c>
      <c r="X40" s="115">
        <v>23281.74</v>
      </c>
      <c r="Y40" s="115">
        <v>4894.9399999999996</v>
      </c>
      <c r="Z40" s="115">
        <v>6651.97</v>
      </c>
      <c r="AA40" s="115">
        <v>8021.74</v>
      </c>
      <c r="AB40" s="115">
        <v>5552.08</v>
      </c>
      <c r="AC40" s="115">
        <v>25120.73</v>
      </c>
      <c r="AD40" s="115">
        <v>5711.73</v>
      </c>
      <c r="AE40" s="115">
        <v>7258.25</v>
      </c>
      <c r="AF40" s="115">
        <v>2873.32</v>
      </c>
      <c r="AG40" s="115">
        <v>3935.83</v>
      </c>
      <c r="AH40" s="115">
        <v>19779.13</v>
      </c>
      <c r="AI40" s="115">
        <v>3197.42</v>
      </c>
      <c r="AJ40" s="115">
        <v>4545.1499999999996</v>
      </c>
      <c r="AK40" s="115">
        <v>6128.55</v>
      </c>
      <c r="AL40" s="115">
        <v>-9329.41</v>
      </c>
      <c r="AM40" s="115">
        <v>4541.71</v>
      </c>
      <c r="AN40" s="115">
        <v>3020.01</v>
      </c>
      <c r="AO40" s="115">
        <v>4227.53</v>
      </c>
      <c r="AP40" s="115">
        <v>8096.86</v>
      </c>
      <c r="AQ40" s="115">
        <v>5165.91</v>
      </c>
      <c r="AR40" s="115">
        <v>20510.310000000001</v>
      </c>
      <c r="AS40" s="115">
        <v>5416.23</v>
      </c>
      <c r="AT40" s="115">
        <v>4124.76</v>
      </c>
      <c r="AU40" s="115">
        <v>6801.69</v>
      </c>
      <c r="AV40" s="115">
        <v>2567.15</v>
      </c>
      <c r="AW40" s="115">
        <v>18909.830000000002</v>
      </c>
      <c r="AX40" s="115">
        <v>6732.83</v>
      </c>
      <c r="AY40" s="115">
        <v>7371.46</v>
      </c>
      <c r="AZ40" s="115">
        <v>5861.55</v>
      </c>
      <c r="BA40" s="115">
        <v>5027.72</v>
      </c>
      <c r="BB40" s="115">
        <v>24993.55</v>
      </c>
      <c r="BC40" s="115">
        <v>5014.24</v>
      </c>
      <c r="BD40" s="115">
        <v>5212.96</v>
      </c>
      <c r="BE40" s="115">
        <v>3743.46</v>
      </c>
      <c r="BF40" s="115">
        <v>5204.41</v>
      </c>
      <c r="BG40" s="115">
        <v>19175.080000000002</v>
      </c>
      <c r="BH40" s="115">
        <v>5446.46</v>
      </c>
      <c r="BI40" s="115">
        <v>6191.03</v>
      </c>
      <c r="BJ40" s="115">
        <v>4608.26</v>
      </c>
      <c r="BK40" s="115">
        <v>4967.33</v>
      </c>
      <c r="BL40" s="115">
        <v>21213.08</v>
      </c>
      <c r="BM40" s="115">
        <v>5828.12</v>
      </c>
      <c r="BN40" s="115">
        <v>4696.8900000000003</v>
      </c>
      <c r="BO40" s="115">
        <v>5562.12</v>
      </c>
      <c r="BP40" s="115">
        <v>4965.97</v>
      </c>
      <c r="BQ40" s="115">
        <v>21053.11</v>
      </c>
      <c r="BR40" s="115">
        <v>5286.53</v>
      </c>
      <c r="BS40" s="115"/>
      <c r="BT40" s="117"/>
      <c r="BU40" s="121" t="s">
        <v>729</v>
      </c>
      <c r="BV40" s="119">
        <v>34</v>
      </c>
    </row>
    <row r="41" spans="1:74" s="112" customFormat="1" ht="11.65" customHeight="1" x14ac:dyDescent="0.15">
      <c r="A41" s="113">
        <v>35</v>
      </c>
      <c r="C41" s="114" t="s">
        <v>730</v>
      </c>
      <c r="D41" s="115">
        <v>6159.35</v>
      </c>
      <c r="E41" s="115">
        <v>1088.67</v>
      </c>
      <c r="F41" s="115">
        <v>4517.08</v>
      </c>
      <c r="G41" s="115">
        <v>1436.89</v>
      </c>
      <c r="H41" s="116">
        <v>13201.98</v>
      </c>
      <c r="I41" s="115">
        <v>2919.99</v>
      </c>
      <c r="J41" s="115">
        <v>5212.53</v>
      </c>
      <c r="K41" s="115">
        <v>-4570.9399999999996</v>
      </c>
      <c r="L41" s="200">
        <v>244.8</v>
      </c>
      <c r="M41" s="201"/>
      <c r="N41" s="116">
        <v>3806.37</v>
      </c>
      <c r="O41" s="115">
        <v>2627.65</v>
      </c>
      <c r="P41" s="115">
        <v>3873.13</v>
      </c>
      <c r="Q41" s="115">
        <v>2515.73</v>
      </c>
      <c r="R41" s="115">
        <v>189.91</v>
      </c>
      <c r="S41" s="115">
        <v>9206.43</v>
      </c>
      <c r="T41" s="115">
        <v>3820.48</v>
      </c>
      <c r="U41" s="115">
        <v>3793.2</v>
      </c>
      <c r="V41" s="115">
        <v>1512.94</v>
      </c>
      <c r="W41" s="115">
        <v>1745.99</v>
      </c>
      <c r="X41" s="115">
        <v>10872.61</v>
      </c>
      <c r="Y41" s="115">
        <v>8729.9599999999991</v>
      </c>
      <c r="Z41" s="115">
        <v>8046.24</v>
      </c>
      <c r="AA41" s="115">
        <v>7408.86</v>
      </c>
      <c r="AB41" s="115">
        <v>1881.57</v>
      </c>
      <c r="AC41" s="115">
        <v>26066.63</v>
      </c>
      <c r="AD41" s="115">
        <v>8508.5300000000007</v>
      </c>
      <c r="AE41" s="115">
        <v>5528.46</v>
      </c>
      <c r="AF41" s="115">
        <v>-2187.61</v>
      </c>
      <c r="AG41" s="115">
        <v>4333.3</v>
      </c>
      <c r="AH41" s="115">
        <v>16182.68</v>
      </c>
      <c r="AI41" s="115">
        <v>4437.88</v>
      </c>
      <c r="AJ41" s="115">
        <v>8303.74</v>
      </c>
      <c r="AK41" s="115">
        <v>6562.88</v>
      </c>
      <c r="AL41" s="115">
        <v>-308.91000000000003</v>
      </c>
      <c r="AM41" s="115">
        <v>18995.580000000002</v>
      </c>
      <c r="AN41" s="115">
        <v>6536.1</v>
      </c>
      <c r="AO41" s="115">
        <v>8126.29</v>
      </c>
      <c r="AP41" s="115">
        <v>3840.03</v>
      </c>
      <c r="AQ41" s="115">
        <v>2556.59</v>
      </c>
      <c r="AR41" s="115">
        <v>21059.01</v>
      </c>
      <c r="AS41" s="115">
        <v>-1114.48</v>
      </c>
      <c r="AT41" s="115">
        <v>106.11</v>
      </c>
      <c r="AU41" s="115">
        <v>-135.34</v>
      </c>
      <c r="AV41" s="115">
        <v>10455.620000000001</v>
      </c>
      <c r="AW41" s="115">
        <v>9311.91</v>
      </c>
      <c r="AX41" s="115">
        <v>5525.31</v>
      </c>
      <c r="AY41" s="115">
        <v>4586.6400000000003</v>
      </c>
      <c r="AZ41" s="115">
        <v>4599.8599999999997</v>
      </c>
      <c r="BA41" s="115">
        <v>7278.48</v>
      </c>
      <c r="BB41" s="115">
        <v>21990.29</v>
      </c>
      <c r="BC41" s="115">
        <v>-6342.96</v>
      </c>
      <c r="BD41" s="115">
        <v>9743.7199999999993</v>
      </c>
      <c r="BE41" s="115">
        <v>-1984.12</v>
      </c>
      <c r="BF41" s="115">
        <v>1952.24</v>
      </c>
      <c r="BG41" s="115">
        <v>3368.89</v>
      </c>
      <c r="BH41" s="115">
        <v>4916.66</v>
      </c>
      <c r="BI41" s="115">
        <v>3993.4</v>
      </c>
      <c r="BJ41" s="115">
        <v>1198.75</v>
      </c>
      <c r="BK41" s="115">
        <v>-5023.24</v>
      </c>
      <c r="BL41" s="115">
        <v>5085.57</v>
      </c>
      <c r="BM41" s="115">
        <v>-3182.24</v>
      </c>
      <c r="BN41" s="115">
        <v>-449.45</v>
      </c>
      <c r="BO41" s="115">
        <v>-3120.67</v>
      </c>
      <c r="BP41" s="115">
        <v>-1724.26</v>
      </c>
      <c r="BQ41" s="115">
        <v>-8476.61</v>
      </c>
      <c r="BR41" s="115">
        <v>3014.85</v>
      </c>
      <c r="BS41" s="115"/>
      <c r="BT41" s="117"/>
      <c r="BU41" s="118" t="s">
        <v>731</v>
      </c>
      <c r="BV41" s="119">
        <v>35</v>
      </c>
    </row>
    <row r="42" spans="1:74" s="112" customFormat="1" ht="11.65" customHeight="1" x14ac:dyDescent="0.15">
      <c r="A42" s="113">
        <v>36</v>
      </c>
      <c r="C42" s="120" t="s">
        <v>726</v>
      </c>
      <c r="D42" s="115">
        <v>-409.34</v>
      </c>
      <c r="E42" s="115">
        <v>-152.04</v>
      </c>
      <c r="F42" s="115">
        <v>-1597.42</v>
      </c>
      <c r="G42" s="115">
        <v>-352.51</v>
      </c>
      <c r="H42" s="116">
        <v>-2511.3000000000002</v>
      </c>
      <c r="I42" s="115">
        <v>-828.72</v>
      </c>
      <c r="J42" s="115">
        <v>-508.32</v>
      </c>
      <c r="K42" s="115">
        <v>90.69</v>
      </c>
      <c r="L42" s="200">
        <v>56.91</v>
      </c>
      <c r="M42" s="201"/>
      <c r="N42" s="116">
        <v>-1189.45</v>
      </c>
      <c r="O42" s="115">
        <v>-457.37</v>
      </c>
      <c r="P42" s="115">
        <v>-185.13</v>
      </c>
      <c r="Q42" s="115">
        <v>30.64</v>
      </c>
      <c r="R42" s="115">
        <v>-4855.17</v>
      </c>
      <c r="S42" s="115">
        <v>-5467.02</v>
      </c>
      <c r="T42" s="115">
        <v>-965.13</v>
      </c>
      <c r="U42" s="115">
        <v>202.16</v>
      </c>
      <c r="V42" s="115">
        <v>-669.53</v>
      </c>
      <c r="W42" s="115">
        <v>159.72999999999999</v>
      </c>
      <c r="X42" s="115">
        <v>-1272.76</v>
      </c>
      <c r="Y42" s="115">
        <v>465.44</v>
      </c>
      <c r="Z42" s="115">
        <v>-991.4</v>
      </c>
      <c r="AA42" s="115">
        <v>1299.03</v>
      </c>
      <c r="AB42" s="115">
        <v>1813.67</v>
      </c>
      <c r="AC42" s="115">
        <v>2586.7399999999998</v>
      </c>
      <c r="AD42" s="115">
        <v>24.32</v>
      </c>
      <c r="AE42" s="115">
        <v>-737.21</v>
      </c>
      <c r="AF42" s="115">
        <v>-682.99</v>
      </c>
      <c r="AG42" s="115">
        <v>127.45</v>
      </c>
      <c r="AH42" s="115">
        <v>-1268.43</v>
      </c>
      <c r="AI42" s="115">
        <v>-166.82</v>
      </c>
      <c r="AJ42" s="115">
        <v>401.62</v>
      </c>
      <c r="AK42" s="115">
        <v>1937.63</v>
      </c>
      <c r="AL42" s="115">
        <v>45.63</v>
      </c>
      <c r="AM42" s="115">
        <v>2218.06</v>
      </c>
      <c r="AN42" s="115">
        <v>-1019.21</v>
      </c>
      <c r="AO42" s="115">
        <v>-223.02</v>
      </c>
      <c r="AP42" s="115">
        <v>-731.68</v>
      </c>
      <c r="AQ42" s="115">
        <v>-1381.87</v>
      </c>
      <c r="AR42" s="115">
        <v>-3355.78</v>
      </c>
      <c r="AS42" s="115">
        <v>-1408.85</v>
      </c>
      <c r="AT42" s="115">
        <v>-1251.0899999999999</v>
      </c>
      <c r="AU42" s="115">
        <v>-1477.78</v>
      </c>
      <c r="AV42" s="115">
        <v>-1033.58</v>
      </c>
      <c r="AW42" s="115">
        <v>-5171.3</v>
      </c>
      <c r="AX42" s="115">
        <v>123.27</v>
      </c>
      <c r="AY42" s="115">
        <v>-1.32</v>
      </c>
      <c r="AZ42" s="115">
        <v>-44.46</v>
      </c>
      <c r="BA42" s="115">
        <v>332.12</v>
      </c>
      <c r="BB42" s="115">
        <v>409.61</v>
      </c>
      <c r="BC42" s="115">
        <v>-88.12</v>
      </c>
      <c r="BD42" s="115">
        <v>-180.8</v>
      </c>
      <c r="BE42" s="115">
        <v>-276.64999999999998</v>
      </c>
      <c r="BF42" s="115">
        <v>-652.99</v>
      </c>
      <c r="BG42" s="115">
        <v>-1198.56</v>
      </c>
      <c r="BH42" s="115">
        <v>-323.52</v>
      </c>
      <c r="BI42" s="115">
        <v>-661.71</v>
      </c>
      <c r="BJ42" s="115">
        <v>-320.12</v>
      </c>
      <c r="BK42" s="115">
        <v>-472.2</v>
      </c>
      <c r="BL42" s="115">
        <v>-1777.55</v>
      </c>
      <c r="BM42" s="115">
        <v>-1376.9</v>
      </c>
      <c r="BN42" s="115">
        <v>-1299.8900000000001</v>
      </c>
      <c r="BO42" s="115">
        <v>-1623.69</v>
      </c>
      <c r="BP42" s="115">
        <v>-746.7</v>
      </c>
      <c r="BQ42" s="115">
        <v>-5047.18</v>
      </c>
      <c r="BR42" s="115">
        <v>-1260.32</v>
      </c>
      <c r="BS42" s="115"/>
      <c r="BT42" s="117"/>
      <c r="BU42" s="121" t="s">
        <v>727</v>
      </c>
      <c r="BV42" s="119">
        <v>36</v>
      </c>
    </row>
    <row r="43" spans="1:74" s="112" customFormat="1" ht="11.65" customHeight="1" x14ac:dyDescent="0.15">
      <c r="A43" s="113">
        <v>37</v>
      </c>
      <c r="C43" s="120" t="s">
        <v>728</v>
      </c>
      <c r="D43" s="115">
        <v>6568.68</v>
      </c>
      <c r="E43" s="115">
        <v>1240.71</v>
      </c>
      <c r="F43" s="115">
        <v>6114.49</v>
      </c>
      <c r="G43" s="115">
        <v>1789.41</v>
      </c>
      <c r="H43" s="116">
        <v>15713.28</v>
      </c>
      <c r="I43" s="115">
        <v>3748.71</v>
      </c>
      <c r="J43" s="115">
        <v>5720.85</v>
      </c>
      <c r="K43" s="115">
        <v>-4661.63</v>
      </c>
      <c r="L43" s="200">
        <v>187.89</v>
      </c>
      <c r="M43" s="201"/>
      <c r="N43" s="116">
        <v>4995.82</v>
      </c>
      <c r="O43" s="115">
        <v>3085.02</v>
      </c>
      <c r="P43" s="115">
        <v>4058.26</v>
      </c>
      <c r="Q43" s="115">
        <v>2485.09</v>
      </c>
      <c r="R43" s="115">
        <v>5045.08</v>
      </c>
      <c r="S43" s="115">
        <v>14673.45</v>
      </c>
      <c r="T43" s="115">
        <v>4785.6099999999997</v>
      </c>
      <c r="U43" s="115">
        <v>3591.04</v>
      </c>
      <c r="V43" s="115">
        <v>2182.46</v>
      </c>
      <c r="W43" s="115">
        <v>1586.26</v>
      </c>
      <c r="X43" s="115">
        <v>12145.37</v>
      </c>
      <c r="Y43" s="115">
        <v>8264.52</v>
      </c>
      <c r="Z43" s="115">
        <v>9037.64</v>
      </c>
      <c r="AA43" s="115">
        <v>6109.83</v>
      </c>
      <c r="AB43" s="115">
        <v>67.91</v>
      </c>
      <c r="AC43" s="115">
        <v>23479.89</v>
      </c>
      <c r="AD43" s="115">
        <v>8484.2099999999991</v>
      </c>
      <c r="AE43" s="115">
        <v>6265.67</v>
      </c>
      <c r="AF43" s="115">
        <v>-1504.62</v>
      </c>
      <c r="AG43" s="115">
        <v>4205.8500000000004</v>
      </c>
      <c r="AH43" s="115">
        <v>17451.11</v>
      </c>
      <c r="AI43" s="115">
        <v>4604.7</v>
      </c>
      <c r="AJ43" s="115">
        <v>7902.12</v>
      </c>
      <c r="AK43" s="115">
        <v>4625.24</v>
      </c>
      <c r="AL43" s="115">
        <v>-354.54</v>
      </c>
      <c r="AM43" s="115">
        <v>16777.53</v>
      </c>
      <c r="AN43" s="115">
        <v>7555.31</v>
      </c>
      <c r="AO43" s="115">
        <v>8349.31</v>
      </c>
      <c r="AP43" s="115">
        <v>4571.71</v>
      </c>
      <c r="AQ43" s="115">
        <v>3938.46</v>
      </c>
      <c r="AR43" s="115">
        <v>24414.79</v>
      </c>
      <c r="AS43" s="115">
        <v>294.37</v>
      </c>
      <c r="AT43" s="115">
        <v>1357.2</v>
      </c>
      <c r="AU43" s="115">
        <v>1342.44</v>
      </c>
      <c r="AV43" s="115">
        <v>11489.2</v>
      </c>
      <c r="AW43" s="115">
        <v>14483.2</v>
      </c>
      <c r="AX43" s="115">
        <v>5402.03</v>
      </c>
      <c r="AY43" s="115">
        <v>4587.96</v>
      </c>
      <c r="AZ43" s="115">
        <v>4644.32</v>
      </c>
      <c r="BA43" s="115">
        <v>6946.36</v>
      </c>
      <c r="BB43" s="115">
        <v>21580.67</v>
      </c>
      <c r="BC43" s="115">
        <v>-6254.83</v>
      </c>
      <c r="BD43" s="115">
        <v>9924.52</v>
      </c>
      <c r="BE43" s="115">
        <v>-1707.47</v>
      </c>
      <c r="BF43" s="115">
        <v>2605.23</v>
      </c>
      <c r="BG43" s="115">
        <v>4567.45</v>
      </c>
      <c r="BH43" s="115">
        <v>5240.18</v>
      </c>
      <c r="BI43" s="115">
        <v>4655.1099999999997</v>
      </c>
      <c r="BJ43" s="115">
        <v>1518.87</v>
      </c>
      <c r="BK43" s="115">
        <v>-4551.04</v>
      </c>
      <c r="BL43" s="115">
        <v>6863.12</v>
      </c>
      <c r="BM43" s="115">
        <v>-1805.34</v>
      </c>
      <c r="BN43" s="115">
        <v>850.44</v>
      </c>
      <c r="BO43" s="115">
        <v>-1496.98</v>
      </c>
      <c r="BP43" s="115">
        <v>-977.56</v>
      </c>
      <c r="BQ43" s="115">
        <v>-3429.43</v>
      </c>
      <c r="BR43" s="115">
        <v>4275.17</v>
      </c>
      <c r="BS43" s="115"/>
      <c r="BT43" s="117"/>
      <c r="BU43" s="121" t="s">
        <v>729</v>
      </c>
      <c r="BV43" s="119">
        <v>37</v>
      </c>
    </row>
    <row r="44" spans="1:74" s="112" customFormat="1" ht="11.65" customHeight="1" x14ac:dyDescent="0.15">
      <c r="A44" s="113">
        <v>38</v>
      </c>
      <c r="C44" s="122" t="s">
        <v>732</v>
      </c>
      <c r="D44" s="115">
        <v>6555.7</v>
      </c>
      <c r="E44" s="115">
        <v>997.1</v>
      </c>
      <c r="F44" s="115">
        <v>4819.6000000000004</v>
      </c>
      <c r="G44" s="115">
        <v>1153.6600000000001</v>
      </c>
      <c r="H44" s="116">
        <v>13526.06</v>
      </c>
      <c r="I44" s="115">
        <v>4382.91</v>
      </c>
      <c r="J44" s="115">
        <v>2963.75</v>
      </c>
      <c r="K44" s="115">
        <v>-4270.34</v>
      </c>
      <c r="L44" s="200">
        <v>-2249.81</v>
      </c>
      <c r="M44" s="201"/>
      <c r="N44" s="116">
        <v>826.5</v>
      </c>
      <c r="O44" s="115">
        <v>1304.19</v>
      </c>
      <c r="P44" s="115">
        <v>1626.28</v>
      </c>
      <c r="Q44" s="115">
        <v>1889.46</v>
      </c>
      <c r="R44" s="115">
        <v>4431.2700000000004</v>
      </c>
      <c r="S44" s="115">
        <v>9251.2000000000007</v>
      </c>
      <c r="T44" s="115">
        <v>1046.55</v>
      </c>
      <c r="U44" s="115">
        <v>3088</v>
      </c>
      <c r="V44" s="115">
        <v>3506.14</v>
      </c>
      <c r="W44" s="115">
        <v>2616.5700000000002</v>
      </c>
      <c r="X44" s="115">
        <v>10257.27</v>
      </c>
      <c r="Y44" s="115">
        <v>5917.13</v>
      </c>
      <c r="Z44" s="115">
        <v>2890.58</v>
      </c>
      <c r="AA44" s="115">
        <v>5298.46</v>
      </c>
      <c r="AB44" s="115">
        <v>1273.6600000000001</v>
      </c>
      <c r="AC44" s="115">
        <v>15379.83</v>
      </c>
      <c r="AD44" s="115">
        <v>6942</v>
      </c>
      <c r="AE44" s="115">
        <v>3808.36</v>
      </c>
      <c r="AF44" s="115">
        <v>907.97</v>
      </c>
      <c r="AG44" s="115">
        <v>5727.76</v>
      </c>
      <c r="AH44" s="115">
        <v>17386.099999999999</v>
      </c>
      <c r="AI44" s="115">
        <v>4918.8900000000003</v>
      </c>
      <c r="AJ44" s="115">
        <v>7212.57</v>
      </c>
      <c r="AK44" s="115">
        <v>3211.08</v>
      </c>
      <c r="AL44" s="115">
        <v>1492.11</v>
      </c>
      <c r="AM44" s="115">
        <v>16834.66</v>
      </c>
      <c r="AN44" s="115">
        <v>6436.7</v>
      </c>
      <c r="AO44" s="115">
        <v>4529.63</v>
      </c>
      <c r="AP44" s="115">
        <v>6106.67</v>
      </c>
      <c r="AQ44" s="115">
        <v>4804.43</v>
      </c>
      <c r="AR44" s="115">
        <v>21877.43</v>
      </c>
      <c r="AS44" s="115">
        <v>2568.87</v>
      </c>
      <c r="AT44" s="115">
        <v>893.67</v>
      </c>
      <c r="AU44" s="115">
        <v>1231.82</v>
      </c>
      <c r="AV44" s="115">
        <v>4809.2299999999996</v>
      </c>
      <c r="AW44" s="115">
        <v>9503.59</v>
      </c>
      <c r="AX44" s="115">
        <v>3780.27</v>
      </c>
      <c r="AY44" s="115">
        <v>4165.97</v>
      </c>
      <c r="AZ44" s="115">
        <v>2522.65</v>
      </c>
      <c r="BA44" s="115">
        <v>4503.83</v>
      </c>
      <c r="BB44" s="115">
        <v>14972.73</v>
      </c>
      <c r="BC44" s="115">
        <v>-8137.68</v>
      </c>
      <c r="BD44" s="115">
        <v>6845.07</v>
      </c>
      <c r="BE44" s="115">
        <v>461.4</v>
      </c>
      <c r="BF44" s="115">
        <v>2254.92</v>
      </c>
      <c r="BG44" s="115">
        <v>1423.71</v>
      </c>
      <c r="BH44" s="115">
        <v>1520.95</v>
      </c>
      <c r="BI44" s="115">
        <v>2517.58</v>
      </c>
      <c r="BJ44" s="115">
        <v>264.57</v>
      </c>
      <c r="BK44" s="115">
        <v>-4918.92</v>
      </c>
      <c r="BL44" s="115">
        <v>-615.82000000000005</v>
      </c>
      <c r="BM44" s="115">
        <v>-3484.82</v>
      </c>
      <c r="BN44" s="115">
        <v>-3006.53</v>
      </c>
      <c r="BO44" s="115">
        <v>-1198.93</v>
      </c>
      <c r="BP44" s="115">
        <v>800.8</v>
      </c>
      <c r="BQ44" s="115">
        <v>-6889.48</v>
      </c>
      <c r="BR44" s="115">
        <v>4539.01</v>
      </c>
      <c r="BS44" s="115"/>
      <c r="BT44" s="117"/>
      <c r="BU44" s="123" t="s">
        <v>733</v>
      </c>
      <c r="BV44" s="119">
        <v>38</v>
      </c>
    </row>
    <row r="45" spans="1:74" s="112" customFormat="1" ht="11.65" customHeight="1" x14ac:dyDescent="0.15">
      <c r="A45" s="113">
        <v>39</v>
      </c>
      <c r="C45" s="122" t="s">
        <v>734</v>
      </c>
      <c r="D45" s="115">
        <v>12.98</v>
      </c>
      <c r="E45" s="115">
        <v>243.61</v>
      </c>
      <c r="F45" s="115">
        <v>1294.9000000000001</v>
      </c>
      <c r="G45" s="115">
        <v>635.74</v>
      </c>
      <c r="H45" s="116">
        <v>2187.2199999999998</v>
      </c>
      <c r="I45" s="115">
        <v>-634.20000000000005</v>
      </c>
      <c r="J45" s="115">
        <v>2757.1</v>
      </c>
      <c r="K45" s="115">
        <v>-391.29</v>
      </c>
      <c r="L45" s="200">
        <v>2437.6999999999998</v>
      </c>
      <c r="M45" s="201"/>
      <c r="N45" s="116">
        <v>4169.3100000000004</v>
      </c>
      <c r="O45" s="115">
        <v>1780.83</v>
      </c>
      <c r="P45" s="115">
        <v>2431.98</v>
      </c>
      <c r="Q45" s="115">
        <v>595.63</v>
      </c>
      <c r="R45" s="115">
        <v>613.80999999999995</v>
      </c>
      <c r="S45" s="115">
        <v>5422.25</v>
      </c>
      <c r="T45" s="115">
        <v>3739.06</v>
      </c>
      <c r="U45" s="115">
        <v>503.03</v>
      </c>
      <c r="V45" s="115">
        <v>-1323.68</v>
      </c>
      <c r="W45" s="115">
        <v>-1030.32</v>
      </c>
      <c r="X45" s="115">
        <v>1888.1</v>
      </c>
      <c r="Y45" s="115">
        <v>2347.38</v>
      </c>
      <c r="Z45" s="115">
        <v>6147.06</v>
      </c>
      <c r="AA45" s="115">
        <v>811.37</v>
      </c>
      <c r="AB45" s="115">
        <v>-1205.75</v>
      </c>
      <c r="AC45" s="115">
        <v>8100.06</v>
      </c>
      <c r="AD45" s="115">
        <v>1542.21</v>
      </c>
      <c r="AE45" s="115">
        <v>2457.31</v>
      </c>
      <c r="AF45" s="115">
        <v>-2412.6</v>
      </c>
      <c r="AG45" s="115">
        <v>-1521.91</v>
      </c>
      <c r="AH45" s="115">
        <v>65.02</v>
      </c>
      <c r="AI45" s="115">
        <v>-314.19</v>
      </c>
      <c r="AJ45" s="115">
        <v>689.55</v>
      </c>
      <c r="AK45" s="115">
        <v>1414.17</v>
      </c>
      <c r="AL45" s="115">
        <v>-1846.66</v>
      </c>
      <c r="AM45" s="115">
        <v>-57.13</v>
      </c>
      <c r="AN45" s="115">
        <v>1118.6199999999999</v>
      </c>
      <c r="AO45" s="115">
        <v>3819.68</v>
      </c>
      <c r="AP45" s="115">
        <v>-1534.96</v>
      </c>
      <c r="AQ45" s="115">
        <v>-865.97</v>
      </c>
      <c r="AR45" s="115">
        <v>2537.37</v>
      </c>
      <c r="AS45" s="115">
        <v>-2274.5100000000002</v>
      </c>
      <c r="AT45" s="115">
        <v>463.53</v>
      </c>
      <c r="AU45" s="115">
        <v>110.62</v>
      </c>
      <c r="AV45" s="115">
        <v>6679.97</v>
      </c>
      <c r="AW45" s="115">
        <v>4979.62</v>
      </c>
      <c r="AX45" s="115">
        <v>1621.76</v>
      </c>
      <c r="AY45" s="115">
        <v>421.98</v>
      </c>
      <c r="AZ45" s="115">
        <v>2121.67</v>
      </c>
      <c r="BA45" s="115">
        <v>2442.5300000000002</v>
      </c>
      <c r="BB45" s="115">
        <v>6607.94</v>
      </c>
      <c r="BC45" s="115">
        <v>1882.85</v>
      </c>
      <c r="BD45" s="115">
        <v>3079.45</v>
      </c>
      <c r="BE45" s="115">
        <v>-2168.87</v>
      </c>
      <c r="BF45" s="115">
        <v>350.31</v>
      </c>
      <c r="BG45" s="115">
        <v>3143.74</v>
      </c>
      <c r="BH45" s="115">
        <v>3719.23</v>
      </c>
      <c r="BI45" s="115">
        <v>2137.5300000000002</v>
      </c>
      <c r="BJ45" s="115">
        <v>1254.3</v>
      </c>
      <c r="BK45" s="115">
        <v>367.88</v>
      </c>
      <c r="BL45" s="115">
        <v>7478.94</v>
      </c>
      <c r="BM45" s="115">
        <v>1679.48</v>
      </c>
      <c r="BN45" s="115">
        <v>3856.98</v>
      </c>
      <c r="BO45" s="115">
        <v>-298.05</v>
      </c>
      <c r="BP45" s="115">
        <v>-1778.36</v>
      </c>
      <c r="BQ45" s="115">
        <v>3460.05</v>
      </c>
      <c r="BR45" s="115">
        <v>-263.83999999999997</v>
      </c>
      <c r="BS45" s="115"/>
      <c r="BT45" s="117"/>
      <c r="BU45" s="123" t="s">
        <v>735</v>
      </c>
      <c r="BV45" s="119">
        <v>39</v>
      </c>
    </row>
    <row r="46" spans="1:74" s="112" customFormat="1" ht="11.65" customHeight="1" x14ac:dyDescent="0.15">
      <c r="A46" s="113">
        <v>40</v>
      </c>
      <c r="C46" s="114" t="s">
        <v>736</v>
      </c>
      <c r="D46" s="115">
        <v>-74.36</v>
      </c>
      <c r="E46" s="115">
        <v>-30.1</v>
      </c>
      <c r="F46" s="115">
        <v>-56.05</v>
      </c>
      <c r="G46" s="115">
        <v>66.12</v>
      </c>
      <c r="H46" s="116">
        <v>-94.39</v>
      </c>
      <c r="I46" s="115">
        <v>-70.17</v>
      </c>
      <c r="J46" s="115">
        <v>-42.59</v>
      </c>
      <c r="K46" s="115">
        <v>116.51</v>
      </c>
      <c r="L46" s="200">
        <v>65.599999999999994</v>
      </c>
      <c r="M46" s="201"/>
      <c r="N46" s="116">
        <v>69.349999999999994</v>
      </c>
      <c r="O46" s="115">
        <v>29.4</v>
      </c>
      <c r="P46" s="115">
        <v>7.64</v>
      </c>
      <c r="Q46" s="115">
        <v>27.85</v>
      </c>
      <c r="R46" s="115">
        <v>-51.9</v>
      </c>
      <c r="S46" s="115">
        <v>12.99</v>
      </c>
      <c r="T46" s="115">
        <v>-100.95</v>
      </c>
      <c r="U46" s="115">
        <v>20.34</v>
      </c>
      <c r="V46" s="115">
        <v>-235.21</v>
      </c>
      <c r="W46" s="115">
        <v>-18.54</v>
      </c>
      <c r="X46" s="115">
        <v>-334.36</v>
      </c>
      <c r="Y46" s="115">
        <v>-140.36000000000001</v>
      </c>
      <c r="Z46" s="115">
        <v>45.25</v>
      </c>
      <c r="AA46" s="115">
        <v>-20.13</v>
      </c>
      <c r="AB46" s="115">
        <v>-40.31</v>
      </c>
      <c r="AC46" s="115">
        <v>-155.55000000000001</v>
      </c>
      <c r="AD46" s="115">
        <v>92.88</v>
      </c>
      <c r="AE46" s="115">
        <v>-2.87</v>
      </c>
      <c r="AF46" s="115">
        <v>230.87</v>
      </c>
      <c r="AG46" s="115">
        <v>-300.92</v>
      </c>
      <c r="AH46" s="115">
        <v>19.96</v>
      </c>
      <c r="AI46" s="115">
        <v>-21.84</v>
      </c>
      <c r="AJ46" s="115">
        <v>-24.68</v>
      </c>
      <c r="AK46" s="115">
        <v>-28.13</v>
      </c>
      <c r="AL46" s="115">
        <v>65.61</v>
      </c>
      <c r="AM46" s="115">
        <v>-9.0500000000000007</v>
      </c>
      <c r="AN46" s="115">
        <v>-71.98</v>
      </c>
      <c r="AO46" s="115">
        <v>24.66</v>
      </c>
      <c r="AP46" s="115">
        <v>-11.61</v>
      </c>
      <c r="AQ46" s="115">
        <v>-68.83</v>
      </c>
      <c r="AR46" s="115">
        <v>-127.77</v>
      </c>
      <c r="AS46" s="115">
        <v>60.14</v>
      </c>
      <c r="AT46" s="115">
        <v>12.04</v>
      </c>
      <c r="AU46" s="115">
        <v>90.92</v>
      </c>
      <c r="AV46" s="115">
        <v>-129.5</v>
      </c>
      <c r="AW46" s="115">
        <v>33.61</v>
      </c>
      <c r="AX46" s="115">
        <v>81.25</v>
      </c>
      <c r="AY46" s="115">
        <v>9.8800000000000008</v>
      </c>
      <c r="AZ46" s="115">
        <v>86.05</v>
      </c>
      <c r="BA46" s="115">
        <v>9.2100000000000009</v>
      </c>
      <c r="BB46" s="115">
        <v>186.4</v>
      </c>
      <c r="BC46" s="115">
        <v>-326.45</v>
      </c>
      <c r="BD46" s="115">
        <v>124.7</v>
      </c>
      <c r="BE46" s="115">
        <v>18.02</v>
      </c>
      <c r="BF46" s="115">
        <v>201.46</v>
      </c>
      <c r="BG46" s="115">
        <v>17.73</v>
      </c>
      <c r="BH46" s="115">
        <v>110.06</v>
      </c>
      <c r="BI46" s="115">
        <v>23.75</v>
      </c>
      <c r="BJ46" s="115">
        <v>172.24</v>
      </c>
      <c r="BK46" s="115">
        <v>26.65</v>
      </c>
      <c r="BL46" s="115">
        <v>332.71</v>
      </c>
      <c r="BM46" s="115">
        <v>136.76</v>
      </c>
      <c r="BN46" s="115">
        <v>-86.05</v>
      </c>
      <c r="BO46" s="115">
        <v>8.5500000000000007</v>
      </c>
      <c r="BP46" s="115">
        <v>-10.9</v>
      </c>
      <c r="BQ46" s="115">
        <v>48.36</v>
      </c>
      <c r="BR46" s="115">
        <v>204.92</v>
      </c>
      <c r="BS46" s="115"/>
      <c r="BT46" s="117"/>
      <c r="BU46" s="118" t="s">
        <v>737</v>
      </c>
      <c r="BV46" s="119">
        <v>40</v>
      </c>
    </row>
    <row r="47" spans="1:74" s="112" customFormat="1" ht="11.65" customHeight="1" x14ac:dyDescent="0.15">
      <c r="A47" s="113">
        <v>41</v>
      </c>
      <c r="C47" s="114" t="s">
        <v>738</v>
      </c>
      <c r="D47" s="115">
        <v>-3071.62</v>
      </c>
      <c r="E47" s="115">
        <v>308.27999999999997</v>
      </c>
      <c r="F47" s="115">
        <v>1179.29</v>
      </c>
      <c r="G47" s="115">
        <v>3846.25</v>
      </c>
      <c r="H47" s="116">
        <v>2262.1999999999998</v>
      </c>
      <c r="I47" s="115">
        <v>-1867.76</v>
      </c>
      <c r="J47" s="115">
        <v>3901.82</v>
      </c>
      <c r="K47" s="115">
        <v>-7125.76</v>
      </c>
      <c r="L47" s="200">
        <v>3290.92</v>
      </c>
      <c r="M47" s="201"/>
      <c r="N47" s="116">
        <v>-1800.78</v>
      </c>
      <c r="O47" s="115">
        <v>-2087.37</v>
      </c>
      <c r="P47" s="115">
        <v>-2535.02</v>
      </c>
      <c r="Q47" s="115">
        <v>-1177.18</v>
      </c>
      <c r="R47" s="115">
        <v>7721.99</v>
      </c>
      <c r="S47" s="115">
        <v>1922.42</v>
      </c>
      <c r="T47" s="115">
        <v>-6945.22</v>
      </c>
      <c r="U47" s="115">
        <v>1552.7</v>
      </c>
      <c r="V47" s="115">
        <v>-2124.33</v>
      </c>
      <c r="W47" s="115">
        <v>6734.13</v>
      </c>
      <c r="X47" s="115">
        <v>-782.72</v>
      </c>
      <c r="Y47" s="115">
        <v>-4138.7299999999996</v>
      </c>
      <c r="Z47" s="115">
        <v>2008.85</v>
      </c>
      <c r="AA47" s="115">
        <v>1384.55</v>
      </c>
      <c r="AB47" s="115">
        <v>5017.12</v>
      </c>
      <c r="AC47" s="115">
        <v>4271.8</v>
      </c>
      <c r="AD47" s="115">
        <v>-5310.01</v>
      </c>
      <c r="AE47" s="115">
        <v>-7509.69</v>
      </c>
      <c r="AF47" s="115">
        <v>409.29</v>
      </c>
      <c r="AG47" s="115">
        <v>2346.39</v>
      </c>
      <c r="AH47" s="115">
        <v>-10064.02</v>
      </c>
      <c r="AI47" s="115">
        <v>-2824.52</v>
      </c>
      <c r="AJ47" s="115">
        <v>-4351.0200000000004</v>
      </c>
      <c r="AK47" s="115">
        <v>-3070.11</v>
      </c>
      <c r="AL47" s="115">
        <v>4428.83</v>
      </c>
      <c r="AM47" s="115">
        <v>-5816.82</v>
      </c>
      <c r="AN47" s="115">
        <v>-2458.0100000000002</v>
      </c>
      <c r="AO47" s="115">
        <v>-7276.31</v>
      </c>
      <c r="AP47" s="115">
        <v>-1217.3900000000001</v>
      </c>
      <c r="AQ47" s="115">
        <v>204.27</v>
      </c>
      <c r="AR47" s="115">
        <v>-10747.44</v>
      </c>
      <c r="AS47" s="115">
        <v>-1546.87</v>
      </c>
      <c r="AT47" s="115">
        <v>568.99</v>
      </c>
      <c r="AU47" s="115">
        <v>-450.18</v>
      </c>
      <c r="AV47" s="115">
        <v>4693.95</v>
      </c>
      <c r="AW47" s="115">
        <v>3265.9</v>
      </c>
      <c r="AX47" s="115">
        <v>-1637.91</v>
      </c>
      <c r="AY47" s="115">
        <v>-3623.68</v>
      </c>
      <c r="AZ47" s="115">
        <v>-2510.98</v>
      </c>
      <c r="BA47" s="115">
        <v>1628.4</v>
      </c>
      <c r="BB47" s="115">
        <v>-6144.17</v>
      </c>
      <c r="BC47" s="115">
        <v>-640.79999999999995</v>
      </c>
      <c r="BD47" s="115">
        <v>-3372.33</v>
      </c>
      <c r="BE47" s="115">
        <v>1829.95</v>
      </c>
      <c r="BF47" s="115">
        <v>-7461.56</v>
      </c>
      <c r="BG47" s="115">
        <v>-9644.74</v>
      </c>
      <c r="BH47" s="115">
        <v>-3715.38</v>
      </c>
      <c r="BI47" s="115">
        <v>-7869.98</v>
      </c>
      <c r="BJ47" s="115">
        <v>2462.17</v>
      </c>
      <c r="BK47" s="115">
        <v>-1089.2</v>
      </c>
      <c r="BL47" s="115">
        <v>-10212.379999999999</v>
      </c>
      <c r="BM47" s="115">
        <v>-3307.34</v>
      </c>
      <c r="BN47" s="115">
        <v>-4181</v>
      </c>
      <c r="BO47" s="115">
        <v>-5856.4</v>
      </c>
      <c r="BP47" s="115">
        <v>-1544.29</v>
      </c>
      <c r="BQ47" s="115">
        <v>-14889.02</v>
      </c>
      <c r="BR47" s="115">
        <v>-3241.62</v>
      </c>
      <c r="BS47" s="115"/>
      <c r="BT47" s="117"/>
      <c r="BU47" s="118" t="s">
        <v>739</v>
      </c>
      <c r="BV47" s="119">
        <v>41</v>
      </c>
    </row>
    <row r="48" spans="1:74" s="112" customFormat="1" ht="11.65" customHeight="1" x14ac:dyDescent="0.15">
      <c r="A48" s="113">
        <v>42</v>
      </c>
      <c r="C48" s="120" t="s">
        <v>726</v>
      </c>
      <c r="D48" s="115">
        <v>-2764.04</v>
      </c>
      <c r="E48" s="115">
        <v>551.78</v>
      </c>
      <c r="F48" s="115">
        <v>-1959.64</v>
      </c>
      <c r="G48" s="115">
        <v>2446.64</v>
      </c>
      <c r="H48" s="116">
        <v>-1725.26</v>
      </c>
      <c r="I48" s="115">
        <v>-1002.27</v>
      </c>
      <c r="J48" s="115">
        <v>2303.14</v>
      </c>
      <c r="K48" s="115">
        <v>-9977.11</v>
      </c>
      <c r="L48" s="200">
        <v>1921.77</v>
      </c>
      <c r="M48" s="201"/>
      <c r="N48" s="116">
        <v>-6754.48</v>
      </c>
      <c r="O48" s="115">
        <v>-3487.12</v>
      </c>
      <c r="P48" s="115">
        <v>-2724.1</v>
      </c>
      <c r="Q48" s="115">
        <v>-698.04</v>
      </c>
      <c r="R48" s="115">
        <v>1556.26</v>
      </c>
      <c r="S48" s="115">
        <v>-5352.99</v>
      </c>
      <c r="T48" s="115">
        <v>-6758.67</v>
      </c>
      <c r="U48" s="115">
        <v>3691.43</v>
      </c>
      <c r="V48" s="115">
        <v>-2513.25</v>
      </c>
      <c r="W48" s="115">
        <v>2153.11</v>
      </c>
      <c r="X48" s="115">
        <v>-3427.38</v>
      </c>
      <c r="Y48" s="115">
        <v>-3213.62</v>
      </c>
      <c r="Z48" s="115">
        <v>374.33</v>
      </c>
      <c r="AA48" s="115">
        <v>-2870.72</v>
      </c>
      <c r="AB48" s="115">
        <v>2283.17</v>
      </c>
      <c r="AC48" s="115">
        <v>-3426.84</v>
      </c>
      <c r="AD48" s="115">
        <v>-5130.6099999999997</v>
      </c>
      <c r="AE48" s="115">
        <v>-5371.31</v>
      </c>
      <c r="AF48" s="115">
        <v>-1954.94</v>
      </c>
      <c r="AG48" s="115">
        <v>644.72</v>
      </c>
      <c r="AH48" s="115">
        <v>-11812.13</v>
      </c>
      <c r="AI48" s="115">
        <v>-398.11</v>
      </c>
      <c r="AJ48" s="115">
        <v>-3968.55</v>
      </c>
      <c r="AK48" s="115">
        <v>522.22</v>
      </c>
      <c r="AL48" s="115">
        <v>5343.52</v>
      </c>
      <c r="AM48" s="115">
        <v>1499.07</v>
      </c>
      <c r="AN48" s="115">
        <v>-3075.45</v>
      </c>
      <c r="AO48" s="115">
        <v>-7949.98</v>
      </c>
      <c r="AP48" s="115">
        <v>-2229.91</v>
      </c>
      <c r="AQ48" s="115">
        <v>-231.92</v>
      </c>
      <c r="AR48" s="115">
        <v>-13487.25</v>
      </c>
      <c r="AS48" s="115">
        <v>-4417.88</v>
      </c>
      <c r="AT48" s="115">
        <v>-306.24</v>
      </c>
      <c r="AU48" s="115">
        <v>-4003.89</v>
      </c>
      <c r="AV48" s="115">
        <v>494.6</v>
      </c>
      <c r="AW48" s="115">
        <v>-8233.41</v>
      </c>
      <c r="AX48" s="115">
        <v>-6458.52</v>
      </c>
      <c r="AY48" s="115">
        <v>-2320.71</v>
      </c>
      <c r="AZ48" s="115">
        <v>-3294.6</v>
      </c>
      <c r="BA48" s="115">
        <v>-129.03</v>
      </c>
      <c r="BB48" s="115">
        <v>-12202.86</v>
      </c>
      <c r="BC48" s="115">
        <v>-4172.05</v>
      </c>
      <c r="BD48" s="115">
        <v>-1198.8599999999999</v>
      </c>
      <c r="BE48" s="115">
        <v>438.11</v>
      </c>
      <c r="BF48" s="115">
        <v>-6975.7</v>
      </c>
      <c r="BG48" s="115">
        <v>-11908.5</v>
      </c>
      <c r="BH48" s="115">
        <v>-2967.54</v>
      </c>
      <c r="BI48" s="115">
        <v>-2999.9</v>
      </c>
      <c r="BJ48" s="115">
        <v>-5341.83</v>
      </c>
      <c r="BK48" s="115">
        <v>1822.87</v>
      </c>
      <c r="BL48" s="115">
        <v>-9486.4</v>
      </c>
      <c r="BM48" s="115">
        <v>-5091.29</v>
      </c>
      <c r="BN48" s="115">
        <v>-2742.77</v>
      </c>
      <c r="BO48" s="115">
        <v>-5149.6400000000003</v>
      </c>
      <c r="BP48" s="115">
        <v>-728.79</v>
      </c>
      <c r="BQ48" s="115">
        <v>-13712.49</v>
      </c>
      <c r="BR48" s="115">
        <v>-1688.85</v>
      </c>
      <c r="BS48" s="115"/>
      <c r="BT48" s="117"/>
      <c r="BU48" s="121" t="s">
        <v>727</v>
      </c>
      <c r="BV48" s="119">
        <v>42</v>
      </c>
    </row>
    <row r="49" spans="1:74" s="112" customFormat="1" ht="11.65" customHeight="1" x14ac:dyDescent="0.15">
      <c r="A49" s="113">
        <v>43</v>
      </c>
      <c r="C49" s="120" t="s">
        <v>728</v>
      </c>
      <c r="D49" s="115">
        <v>-307.58</v>
      </c>
      <c r="E49" s="115">
        <v>-243.5</v>
      </c>
      <c r="F49" s="115">
        <v>3138.93</v>
      </c>
      <c r="G49" s="115">
        <v>1399.61</v>
      </c>
      <c r="H49" s="116">
        <v>3987.46</v>
      </c>
      <c r="I49" s="115">
        <v>-865.48</v>
      </c>
      <c r="J49" s="115">
        <v>1598.68</v>
      </c>
      <c r="K49" s="115">
        <v>2851.35</v>
      </c>
      <c r="L49" s="200">
        <v>1369.15</v>
      </c>
      <c r="M49" s="201"/>
      <c r="N49" s="116">
        <v>4953.6899999999996</v>
      </c>
      <c r="O49" s="115">
        <v>1399.75</v>
      </c>
      <c r="P49" s="115">
        <v>189.08</v>
      </c>
      <c r="Q49" s="115">
        <v>-479.14</v>
      </c>
      <c r="R49" s="115">
        <v>6165.72</v>
      </c>
      <c r="S49" s="115">
        <v>7275.42</v>
      </c>
      <c r="T49" s="115">
        <v>-186.55</v>
      </c>
      <c r="U49" s="115">
        <v>-2138.7399999999998</v>
      </c>
      <c r="V49" s="115">
        <v>388.92</v>
      </c>
      <c r="W49" s="115">
        <v>4581.0200000000004</v>
      </c>
      <c r="X49" s="115">
        <v>2644.66</v>
      </c>
      <c r="Y49" s="115">
        <v>-925.11</v>
      </c>
      <c r="Z49" s="115">
        <v>1634.52</v>
      </c>
      <c r="AA49" s="115">
        <v>4255.2700000000004</v>
      </c>
      <c r="AB49" s="115">
        <v>2733.95</v>
      </c>
      <c r="AC49" s="115">
        <v>7698.63</v>
      </c>
      <c r="AD49" s="115">
        <v>-179.4</v>
      </c>
      <c r="AE49" s="115">
        <v>-2138.38</v>
      </c>
      <c r="AF49" s="115">
        <v>2364.23</v>
      </c>
      <c r="AG49" s="115">
        <v>1701.67</v>
      </c>
      <c r="AH49" s="115">
        <v>1748.12</v>
      </c>
      <c r="AI49" s="115">
        <v>-2426.41</v>
      </c>
      <c r="AJ49" s="115">
        <v>-382.46</v>
      </c>
      <c r="AK49" s="115">
        <v>-3592.33</v>
      </c>
      <c r="AL49" s="115">
        <v>-914.68</v>
      </c>
      <c r="AM49" s="115">
        <v>-7315.88</v>
      </c>
      <c r="AN49" s="115">
        <v>617.44000000000005</v>
      </c>
      <c r="AO49" s="115">
        <v>673.67</v>
      </c>
      <c r="AP49" s="115">
        <v>1012.52</v>
      </c>
      <c r="AQ49" s="115">
        <v>436.19</v>
      </c>
      <c r="AR49" s="115">
        <v>2739.81</v>
      </c>
      <c r="AS49" s="115">
        <v>2871.01</v>
      </c>
      <c r="AT49" s="115">
        <v>875.23</v>
      </c>
      <c r="AU49" s="115">
        <v>3553.72</v>
      </c>
      <c r="AV49" s="115">
        <v>4199.3500000000004</v>
      </c>
      <c r="AW49" s="115">
        <v>11499.31</v>
      </c>
      <c r="AX49" s="115">
        <v>4820.6000000000004</v>
      </c>
      <c r="AY49" s="115">
        <v>-1302.96</v>
      </c>
      <c r="AZ49" s="115">
        <v>783.61</v>
      </c>
      <c r="BA49" s="115">
        <v>1757.44</v>
      </c>
      <c r="BB49" s="115">
        <v>6058.69</v>
      </c>
      <c r="BC49" s="115">
        <v>3531.24</v>
      </c>
      <c r="BD49" s="115">
        <v>-2173.4699999999998</v>
      </c>
      <c r="BE49" s="115">
        <v>1391.84</v>
      </c>
      <c r="BF49" s="115">
        <v>-485.86</v>
      </c>
      <c r="BG49" s="115">
        <v>2263.7600000000002</v>
      </c>
      <c r="BH49" s="115">
        <v>-747.84</v>
      </c>
      <c r="BI49" s="115">
        <v>-4870.07</v>
      </c>
      <c r="BJ49" s="115">
        <v>7804</v>
      </c>
      <c r="BK49" s="115">
        <v>-2912.07</v>
      </c>
      <c r="BL49" s="115">
        <v>-725.98</v>
      </c>
      <c r="BM49" s="115">
        <v>1783.96</v>
      </c>
      <c r="BN49" s="115">
        <v>-1438.23</v>
      </c>
      <c r="BO49" s="115">
        <v>-706.76</v>
      </c>
      <c r="BP49" s="115">
        <v>-815.5</v>
      </c>
      <c r="BQ49" s="115">
        <v>-1176.53</v>
      </c>
      <c r="BR49" s="115">
        <v>-1552.77</v>
      </c>
      <c r="BS49" s="115"/>
      <c r="BT49" s="117"/>
      <c r="BU49" s="121" t="s">
        <v>729</v>
      </c>
      <c r="BV49" s="119">
        <v>43</v>
      </c>
    </row>
    <row r="50" spans="1:74" s="112" customFormat="1" ht="11.65" customHeight="1" x14ac:dyDescent="0.15">
      <c r="A50" s="113">
        <v>44</v>
      </c>
      <c r="C50" s="122" t="s">
        <v>732</v>
      </c>
      <c r="D50" s="115">
        <v>147.29</v>
      </c>
      <c r="E50" s="115">
        <v>-879.3</v>
      </c>
      <c r="F50" s="115">
        <v>1093.1199999999999</v>
      </c>
      <c r="G50" s="115">
        <v>1394.93</v>
      </c>
      <c r="H50" s="116">
        <v>1756.04</v>
      </c>
      <c r="I50" s="115">
        <v>95.29</v>
      </c>
      <c r="J50" s="115">
        <v>-1401.8</v>
      </c>
      <c r="K50" s="115">
        <v>-711.87</v>
      </c>
      <c r="L50" s="200">
        <v>-239.79</v>
      </c>
      <c r="M50" s="201"/>
      <c r="N50" s="116">
        <v>-2258.17</v>
      </c>
      <c r="O50" s="115">
        <v>-220.32</v>
      </c>
      <c r="P50" s="115">
        <v>-1637.52</v>
      </c>
      <c r="Q50" s="115">
        <v>-296.29000000000002</v>
      </c>
      <c r="R50" s="115">
        <v>4607.4399999999996</v>
      </c>
      <c r="S50" s="115">
        <v>2453.31</v>
      </c>
      <c r="T50" s="115">
        <v>-206.74</v>
      </c>
      <c r="U50" s="115">
        <v>-1996.9</v>
      </c>
      <c r="V50" s="115">
        <v>439.8</v>
      </c>
      <c r="W50" s="115">
        <v>388.2</v>
      </c>
      <c r="X50" s="115">
        <v>-1375.64</v>
      </c>
      <c r="Y50" s="115">
        <v>-1534.48</v>
      </c>
      <c r="Z50" s="115">
        <v>-295.16000000000003</v>
      </c>
      <c r="AA50" s="115">
        <v>-612.66</v>
      </c>
      <c r="AB50" s="115">
        <v>-1766.29</v>
      </c>
      <c r="AC50" s="115">
        <v>-4208.6000000000004</v>
      </c>
      <c r="AD50" s="115">
        <v>-1143.8900000000001</v>
      </c>
      <c r="AE50" s="115">
        <v>-1366.46</v>
      </c>
      <c r="AF50" s="115">
        <v>1664.59</v>
      </c>
      <c r="AG50" s="115">
        <v>655.9</v>
      </c>
      <c r="AH50" s="115">
        <v>-189.86</v>
      </c>
      <c r="AI50" s="115">
        <v>-24.63</v>
      </c>
      <c r="AJ50" s="115">
        <v>-1254.6400000000001</v>
      </c>
      <c r="AK50" s="115">
        <v>-1094.0999999999999</v>
      </c>
      <c r="AL50" s="115">
        <v>4.78</v>
      </c>
      <c r="AM50" s="115">
        <v>-2368.59</v>
      </c>
      <c r="AN50" s="115">
        <v>120.57</v>
      </c>
      <c r="AO50" s="115">
        <v>-923.47</v>
      </c>
      <c r="AP50" s="115">
        <v>47.53</v>
      </c>
      <c r="AQ50" s="115">
        <v>-597.42999999999995</v>
      </c>
      <c r="AR50" s="115">
        <v>-1352.81</v>
      </c>
      <c r="AS50" s="115">
        <v>650.04</v>
      </c>
      <c r="AT50" s="115">
        <v>-1724.01</v>
      </c>
      <c r="AU50" s="115">
        <v>306.14</v>
      </c>
      <c r="AV50" s="115">
        <v>-215.3</v>
      </c>
      <c r="AW50" s="115">
        <v>-983.13</v>
      </c>
      <c r="AX50" s="115">
        <v>-766.79</v>
      </c>
      <c r="AY50" s="115">
        <v>-645.48</v>
      </c>
      <c r="AZ50" s="115">
        <v>-444.8</v>
      </c>
      <c r="BA50" s="115">
        <v>-698.22</v>
      </c>
      <c r="BB50" s="115">
        <v>-2555.2800000000002</v>
      </c>
      <c r="BC50" s="115">
        <v>-340.62</v>
      </c>
      <c r="BD50" s="115">
        <v>-412.59</v>
      </c>
      <c r="BE50" s="115">
        <v>1446.55</v>
      </c>
      <c r="BF50" s="115">
        <v>1295.94</v>
      </c>
      <c r="BG50" s="115">
        <v>1989.29</v>
      </c>
      <c r="BH50" s="115">
        <v>-249.89</v>
      </c>
      <c r="BI50" s="115">
        <v>-1239.33</v>
      </c>
      <c r="BJ50" s="115">
        <v>6018</v>
      </c>
      <c r="BK50" s="115">
        <v>404.13</v>
      </c>
      <c r="BL50" s="115">
        <v>4932.92</v>
      </c>
      <c r="BM50" s="115">
        <v>1203.21</v>
      </c>
      <c r="BN50" s="115">
        <v>-551.28</v>
      </c>
      <c r="BO50" s="115">
        <v>-688.38</v>
      </c>
      <c r="BP50" s="115">
        <v>1463.12</v>
      </c>
      <c r="BQ50" s="115">
        <v>1426.67</v>
      </c>
      <c r="BR50" s="115">
        <v>581.30999999999995</v>
      </c>
      <c r="BS50" s="115"/>
      <c r="BT50" s="117"/>
      <c r="BU50" s="123" t="s">
        <v>733</v>
      </c>
      <c r="BV50" s="119">
        <v>44</v>
      </c>
    </row>
    <row r="51" spans="1:74" s="112" customFormat="1" ht="11.65" customHeight="1" x14ac:dyDescent="0.15">
      <c r="A51" s="113">
        <v>45</v>
      </c>
      <c r="C51" s="122" t="s">
        <v>734</v>
      </c>
      <c r="D51" s="115">
        <v>-454.86</v>
      </c>
      <c r="E51" s="115">
        <v>635.79999999999995</v>
      </c>
      <c r="F51" s="115">
        <v>2045.81</v>
      </c>
      <c r="G51" s="115">
        <v>4.68</v>
      </c>
      <c r="H51" s="116">
        <v>2231.42</v>
      </c>
      <c r="I51" s="115">
        <v>-960.77</v>
      </c>
      <c r="J51" s="115">
        <v>3000.48</v>
      </c>
      <c r="K51" s="115">
        <v>3563.22</v>
      </c>
      <c r="L51" s="200">
        <v>1608.94</v>
      </c>
      <c r="M51" s="201"/>
      <c r="N51" s="116">
        <v>7211.87</v>
      </c>
      <c r="O51" s="115">
        <v>1620.07</v>
      </c>
      <c r="P51" s="115">
        <v>1826.6</v>
      </c>
      <c r="Q51" s="115">
        <v>-182.85</v>
      </c>
      <c r="R51" s="115">
        <v>1558.29</v>
      </c>
      <c r="S51" s="115">
        <v>4822.1099999999997</v>
      </c>
      <c r="T51" s="115">
        <v>20.190000000000001</v>
      </c>
      <c r="U51" s="115">
        <v>-141.84</v>
      </c>
      <c r="V51" s="115">
        <v>-50.87</v>
      </c>
      <c r="W51" s="115">
        <v>4192.82</v>
      </c>
      <c r="X51" s="115">
        <v>4020.31</v>
      </c>
      <c r="Y51" s="115">
        <v>609.37</v>
      </c>
      <c r="Z51" s="115">
        <v>1929.68</v>
      </c>
      <c r="AA51" s="115">
        <v>4867.93</v>
      </c>
      <c r="AB51" s="115">
        <v>4500.25</v>
      </c>
      <c r="AC51" s="115">
        <v>11907.23</v>
      </c>
      <c r="AD51" s="115">
        <v>964.49</v>
      </c>
      <c r="AE51" s="115">
        <v>-771.92</v>
      </c>
      <c r="AF51" s="115">
        <v>699.64</v>
      </c>
      <c r="AG51" s="115">
        <v>1045.77</v>
      </c>
      <c r="AH51" s="115">
        <v>1937.98</v>
      </c>
      <c r="AI51" s="115">
        <v>-2401.7800000000002</v>
      </c>
      <c r="AJ51" s="115">
        <v>872.18</v>
      </c>
      <c r="AK51" s="115">
        <v>-2498.23</v>
      </c>
      <c r="AL51" s="115">
        <v>-919.46</v>
      </c>
      <c r="AM51" s="115">
        <v>-4947.29</v>
      </c>
      <c r="AN51" s="115">
        <v>496.87</v>
      </c>
      <c r="AO51" s="115">
        <v>1597.14</v>
      </c>
      <c r="AP51" s="115">
        <v>964.99</v>
      </c>
      <c r="AQ51" s="115">
        <v>1033.6199999999999</v>
      </c>
      <c r="AR51" s="115">
        <v>4092.62</v>
      </c>
      <c r="AS51" s="115">
        <v>2220.9699999999998</v>
      </c>
      <c r="AT51" s="115">
        <v>2599.2399999999998</v>
      </c>
      <c r="AU51" s="115">
        <v>3247.58</v>
      </c>
      <c r="AV51" s="115">
        <v>4414.6499999999996</v>
      </c>
      <c r="AW51" s="115">
        <v>12482.44</v>
      </c>
      <c r="AX51" s="115">
        <v>5587.39</v>
      </c>
      <c r="AY51" s="115">
        <v>-657.48</v>
      </c>
      <c r="AZ51" s="115">
        <v>1228.4100000000001</v>
      </c>
      <c r="BA51" s="115">
        <v>2455.66</v>
      </c>
      <c r="BB51" s="115">
        <v>8613.9699999999993</v>
      </c>
      <c r="BC51" s="115">
        <v>3871.86</v>
      </c>
      <c r="BD51" s="115">
        <v>-1760.88</v>
      </c>
      <c r="BE51" s="115">
        <v>-54.71</v>
      </c>
      <c r="BF51" s="115">
        <v>-1781.8</v>
      </c>
      <c r="BG51" s="115">
        <v>274.47000000000003</v>
      </c>
      <c r="BH51" s="115">
        <v>-497.95</v>
      </c>
      <c r="BI51" s="115">
        <v>-3630.75</v>
      </c>
      <c r="BJ51" s="115">
        <v>1786</v>
      </c>
      <c r="BK51" s="115">
        <v>-3316.2</v>
      </c>
      <c r="BL51" s="115">
        <v>-5658.9</v>
      </c>
      <c r="BM51" s="115">
        <v>580.75</v>
      </c>
      <c r="BN51" s="115">
        <v>-886.95</v>
      </c>
      <c r="BO51" s="115">
        <v>-18.38</v>
      </c>
      <c r="BP51" s="115">
        <v>-2278.62</v>
      </c>
      <c r="BQ51" s="115">
        <v>-2603.1999999999998</v>
      </c>
      <c r="BR51" s="115">
        <v>-2134.08</v>
      </c>
      <c r="BS51" s="115"/>
      <c r="BT51" s="117"/>
      <c r="BU51" s="123" t="s">
        <v>735</v>
      </c>
      <c r="BV51" s="119">
        <v>45</v>
      </c>
    </row>
    <row r="52" spans="1:74" s="112" customFormat="1" ht="11.65" customHeight="1" x14ac:dyDescent="0.15">
      <c r="A52" s="113">
        <v>46</v>
      </c>
      <c r="C52" s="126" t="s">
        <v>740</v>
      </c>
      <c r="D52" s="115">
        <v>7478.09</v>
      </c>
      <c r="E52" s="115">
        <v>5078.0200000000004</v>
      </c>
      <c r="F52" s="115">
        <v>8450.7099999999991</v>
      </c>
      <c r="G52" s="115">
        <v>10663.44</v>
      </c>
      <c r="H52" s="116">
        <v>31670.26</v>
      </c>
      <c r="I52" s="115">
        <v>7711.15</v>
      </c>
      <c r="J52" s="115">
        <v>11856.81</v>
      </c>
      <c r="K52" s="115">
        <v>-8689.84</v>
      </c>
      <c r="L52" s="200">
        <v>4443.18</v>
      </c>
      <c r="M52" s="201"/>
      <c r="N52" s="116">
        <v>15321.3</v>
      </c>
      <c r="O52" s="116">
        <v>-1069.03</v>
      </c>
      <c r="P52" s="116">
        <v>-3145.46</v>
      </c>
      <c r="Q52" s="116">
        <v>560.98</v>
      </c>
      <c r="R52" s="116">
        <v>4144.01</v>
      </c>
      <c r="S52" s="116">
        <v>490.5</v>
      </c>
      <c r="T52" s="116">
        <v>-5970.64</v>
      </c>
      <c r="U52" s="116">
        <v>-1429.07</v>
      </c>
      <c r="V52" s="116">
        <v>-4067.06</v>
      </c>
      <c r="W52" s="116">
        <v>4328.1899999999996</v>
      </c>
      <c r="X52" s="116">
        <v>-7138.58</v>
      </c>
      <c r="Y52" s="116">
        <v>1537.33</v>
      </c>
      <c r="Z52" s="116">
        <v>4767.8</v>
      </c>
      <c r="AA52" s="116">
        <v>7534.64</v>
      </c>
      <c r="AB52" s="116">
        <v>3593.02</v>
      </c>
      <c r="AC52" s="116">
        <v>17432.79</v>
      </c>
      <c r="AD52" s="116">
        <v>1298.04</v>
      </c>
      <c r="AE52" s="116">
        <v>-2279.91</v>
      </c>
      <c r="AF52" s="116">
        <v>-4161.8100000000004</v>
      </c>
      <c r="AG52" s="116">
        <v>4484.68</v>
      </c>
      <c r="AH52" s="116">
        <v>-659.01</v>
      </c>
      <c r="AI52" s="116">
        <v>-214.81</v>
      </c>
      <c r="AJ52" s="116">
        <v>1537.05</v>
      </c>
      <c r="AK52" s="116">
        <v>5113.79</v>
      </c>
      <c r="AL52" s="116">
        <v>5958.07</v>
      </c>
      <c r="AM52" s="116">
        <v>12394.09</v>
      </c>
      <c r="AN52" s="116">
        <v>4628.7</v>
      </c>
      <c r="AO52" s="116">
        <v>979.56</v>
      </c>
      <c r="AP52" s="116">
        <v>5360.98</v>
      </c>
      <c r="AQ52" s="116">
        <v>1567.16</v>
      </c>
      <c r="AR52" s="116">
        <v>12536.41</v>
      </c>
      <c r="AS52" s="116">
        <v>-2743.69</v>
      </c>
      <c r="AT52" s="116">
        <v>-4671.03</v>
      </c>
      <c r="AU52" s="116">
        <v>-4371.84</v>
      </c>
      <c r="AV52" s="116">
        <v>6372.62</v>
      </c>
      <c r="AW52" s="116">
        <v>-5413.94</v>
      </c>
      <c r="AX52" s="116">
        <v>3325.81</v>
      </c>
      <c r="AY52" s="116">
        <v>-1455.36</v>
      </c>
      <c r="AZ52" s="116">
        <v>-47.02</v>
      </c>
      <c r="BA52" s="116">
        <v>4500.41</v>
      </c>
      <c r="BB52" s="116">
        <v>6323.85</v>
      </c>
      <c r="BC52" s="116">
        <v>-6363.72</v>
      </c>
      <c r="BD52" s="116">
        <v>8076.24</v>
      </c>
      <c r="BE52" s="116">
        <v>1859.47</v>
      </c>
      <c r="BF52" s="116">
        <v>-84</v>
      </c>
      <c r="BG52" s="116">
        <v>3487.99</v>
      </c>
      <c r="BH52" s="116">
        <v>4697.4399999999996</v>
      </c>
      <c r="BI52" s="116">
        <v>-338.29</v>
      </c>
      <c r="BJ52" s="116">
        <v>12344.2</v>
      </c>
      <c r="BK52" s="116">
        <v>-620.24</v>
      </c>
      <c r="BL52" s="116">
        <v>16083.11</v>
      </c>
      <c r="BM52" s="116">
        <v>-1259.3499999999999</v>
      </c>
      <c r="BN52" s="116">
        <v>2465.81</v>
      </c>
      <c r="BO52" s="116">
        <v>-1012.11</v>
      </c>
      <c r="BP52" s="116">
        <v>4506.66</v>
      </c>
      <c r="BQ52" s="116">
        <v>4701.01</v>
      </c>
      <c r="BR52" s="116">
        <v>6352.09</v>
      </c>
      <c r="BS52" s="116"/>
      <c r="BT52" s="117"/>
      <c r="BU52" s="127" t="s">
        <v>740</v>
      </c>
      <c r="BV52" s="119">
        <v>46</v>
      </c>
    </row>
    <row r="53" spans="1:74" s="112" customFormat="1" ht="11.65" customHeight="1" x14ac:dyDescent="0.15">
      <c r="A53" s="113">
        <v>47</v>
      </c>
      <c r="C53" s="126" t="s">
        <v>741</v>
      </c>
      <c r="D53" s="115">
        <v>-857.37</v>
      </c>
      <c r="E53" s="115">
        <v>342.53</v>
      </c>
      <c r="F53" s="115">
        <v>-1495.84</v>
      </c>
      <c r="G53" s="115">
        <v>683.52</v>
      </c>
      <c r="H53" s="116">
        <v>-1327.16</v>
      </c>
      <c r="I53" s="115">
        <v>-45.09</v>
      </c>
      <c r="J53" s="115">
        <v>19.59</v>
      </c>
      <c r="K53" s="115">
        <v>4730.24</v>
      </c>
      <c r="L53" s="200">
        <v>-8169.42</v>
      </c>
      <c r="M53" s="201"/>
      <c r="N53" s="116">
        <v>-3464.68</v>
      </c>
      <c r="O53" s="116">
        <v>35.380000000000003</v>
      </c>
      <c r="P53" s="116">
        <v>334.65</v>
      </c>
      <c r="Q53" s="116">
        <v>273.33999999999997</v>
      </c>
      <c r="R53" s="116">
        <v>-918.74</v>
      </c>
      <c r="S53" s="116">
        <v>-275.38</v>
      </c>
      <c r="T53" s="116">
        <v>-644.20000000000005</v>
      </c>
      <c r="U53" s="116">
        <v>-1047.7</v>
      </c>
      <c r="V53" s="116">
        <v>1421.83</v>
      </c>
      <c r="W53" s="116">
        <v>83.92</v>
      </c>
      <c r="X53" s="116">
        <v>-186.15</v>
      </c>
      <c r="Y53" s="116">
        <v>528.91999999999996</v>
      </c>
      <c r="Z53" s="116">
        <v>-471.12</v>
      </c>
      <c r="AA53" s="116">
        <v>-1059.22</v>
      </c>
      <c r="AB53" s="116">
        <v>-1182.78</v>
      </c>
      <c r="AC53" s="116">
        <v>-2184.1999999999998</v>
      </c>
      <c r="AD53" s="116">
        <v>5.0999999999999996</v>
      </c>
      <c r="AE53" s="116">
        <v>-645.27</v>
      </c>
      <c r="AF53" s="116">
        <v>-403.54</v>
      </c>
      <c r="AG53" s="116">
        <v>604.66</v>
      </c>
      <c r="AH53" s="116">
        <v>-439.04</v>
      </c>
      <c r="AI53" s="116">
        <v>-71.959999999999994</v>
      </c>
      <c r="AJ53" s="116">
        <v>624.91999999999996</v>
      </c>
      <c r="AK53" s="116">
        <v>594.47</v>
      </c>
      <c r="AL53" s="116">
        <v>-1452.67</v>
      </c>
      <c r="AM53" s="116">
        <v>-305.23</v>
      </c>
      <c r="AN53" s="116">
        <v>-114.5</v>
      </c>
      <c r="AO53" s="116">
        <v>-240.98</v>
      </c>
      <c r="AP53" s="116">
        <v>-1.6</v>
      </c>
      <c r="AQ53" s="116">
        <v>-593.29</v>
      </c>
      <c r="AR53" s="116">
        <v>-950.36</v>
      </c>
      <c r="AS53" s="116">
        <v>-1110.94</v>
      </c>
      <c r="AT53" s="116">
        <v>362.28</v>
      </c>
      <c r="AU53" s="116">
        <v>-14.47</v>
      </c>
      <c r="AV53" s="116">
        <v>-954.23</v>
      </c>
      <c r="AW53" s="116">
        <v>-1717.35</v>
      </c>
      <c r="AX53" s="116">
        <v>-906.42</v>
      </c>
      <c r="AY53" s="116">
        <v>-521.38</v>
      </c>
      <c r="AZ53" s="116">
        <v>1.1599999999999999</v>
      </c>
      <c r="BA53" s="116">
        <v>-221.27</v>
      </c>
      <c r="BB53" s="116">
        <v>-1647.91</v>
      </c>
      <c r="BC53" s="116">
        <v>-2181.21</v>
      </c>
      <c r="BD53" s="116">
        <v>1169.21</v>
      </c>
      <c r="BE53" s="116">
        <v>193.1</v>
      </c>
      <c r="BF53" s="116">
        <v>-72.400000000000006</v>
      </c>
      <c r="BG53" s="116">
        <v>-891.3</v>
      </c>
      <c r="BH53" s="116">
        <v>-632.89</v>
      </c>
      <c r="BI53" s="116">
        <v>-111.66</v>
      </c>
      <c r="BJ53" s="116">
        <v>-1654.07</v>
      </c>
      <c r="BK53" s="116">
        <v>-223.67</v>
      </c>
      <c r="BL53" s="116">
        <v>-2622.3</v>
      </c>
      <c r="BM53" s="116">
        <v>-557.36</v>
      </c>
      <c r="BN53" s="116">
        <v>-76.319999999999993</v>
      </c>
      <c r="BO53" s="116">
        <v>-291.57</v>
      </c>
      <c r="BP53" s="116">
        <v>223.71</v>
      </c>
      <c r="BQ53" s="116">
        <v>-701.55</v>
      </c>
      <c r="BR53" s="116">
        <v>165.13</v>
      </c>
      <c r="BS53" s="116"/>
      <c r="BT53" s="117"/>
      <c r="BU53" s="127" t="s">
        <v>742</v>
      </c>
      <c r="BV53" s="119">
        <v>47</v>
      </c>
    </row>
    <row r="54" spans="1:74" s="112" customFormat="1" ht="11.65" customHeight="1" x14ac:dyDescent="0.15">
      <c r="A54" s="113">
        <v>48</v>
      </c>
      <c r="C54" s="126" t="s">
        <v>743</v>
      </c>
      <c r="D54" s="115">
        <v>6620.72</v>
      </c>
      <c r="E54" s="115">
        <v>5420.55</v>
      </c>
      <c r="F54" s="115">
        <v>6954.87</v>
      </c>
      <c r="G54" s="115">
        <v>11346.96</v>
      </c>
      <c r="H54" s="116">
        <v>30343.1</v>
      </c>
      <c r="I54" s="115">
        <v>7666.06</v>
      </c>
      <c r="J54" s="115">
        <v>11876.39</v>
      </c>
      <c r="K54" s="115">
        <v>-3959.6</v>
      </c>
      <c r="L54" s="200">
        <v>-3726.24</v>
      </c>
      <c r="M54" s="201"/>
      <c r="N54" s="116">
        <v>11856.61</v>
      </c>
      <c r="O54" s="116">
        <v>-1033.6600000000001</v>
      </c>
      <c r="P54" s="116">
        <v>-2810.81</v>
      </c>
      <c r="Q54" s="116">
        <v>834.32</v>
      </c>
      <c r="R54" s="116">
        <v>3225.26</v>
      </c>
      <c r="S54" s="116">
        <v>215.12</v>
      </c>
      <c r="T54" s="116">
        <v>-6614.84</v>
      </c>
      <c r="U54" s="116">
        <v>-2476.77</v>
      </c>
      <c r="V54" s="116">
        <v>-2645.23</v>
      </c>
      <c r="W54" s="116">
        <v>4412.1099999999997</v>
      </c>
      <c r="X54" s="116">
        <v>-7324.73</v>
      </c>
      <c r="Y54" s="116">
        <v>2066.25</v>
      </c>
      <c r="Z54" s="116">
        <v>4296.6899999999996</v>
      </c>
      <c r="AA54" s="116">
        <v>6475.41</v>
      </c>
      <c r="AB54" s="116">
        <v>2410.25</v>
      </c>
      <c r="AC54" s="116">
        <v>15248.59</v>
      </c>
      <c r="AD54" s="116">
        <v>1303.1400000000001</v>
      </c>
      <c r="AE54" s="116">
        <v>-2925.18</v>
      </c>
      <c r="AF54" s="116">
        <v>-4565.3500000000004</v>
      </c>
      <c r="AG54" s="116">
        <v>5089.34</v>
      </c>
      <c r="AH54" s="116">
        <v>-1098.05</v>
      </c>
      <c r="AI54" s="116">
        <v>-286.77</v>
      </c>
      <c r="AJ54" s="116">
        <v>2161.9699999999998</v>
      </c>
      <c r="AK54" s="116">
        <v>5708.26</v>
      </c>
      <c r="AL54" s="116">
        <v>4505.3999999999996</v>
      </c>
      <c r="AM54" s="116">
        <v>12088.87</v>
      </c>
      <c r="AN54" s="116">
        <v>4514.2</v>
      </c>
      <c r="AO54" s="116">
        <v>738.59</v>
      </c>
      <c r="AP54" s="116">
        <v>5359.38</v>
      </c>
      <c r="AQ54" s="116">
        <v>973.87</v>
      </c>
      <c r="AR54" s="116">
        <v>11586.04</v>
      </c>
      <c r="AS54" s="116">
        <v>-3854.63</v>
      </c>
      <c r="AT54" s="116">
        <v>-4308.74</v>
      </c>
      <c r="AU54" s="116">
        <v>-4386.3100000000004</v>
      </c>
      <c r="AV54" s="116">
        <v>5418.39</v>
      </c>
      <c r="AW54" s="116">
        <v>-7131.28</v>
      </c>
      <c r="AX54" s="116">
        <v>2419.39</v>
      </c>
      <c r="AY54" s="116">
        <v>-1976.73</v>
      </c>
      <c r="AZ54" s="116">
        <v>-45.86</v>
      </c>
      <c r="BA54" s="116">
        <v>4279.1400000000003</v>
      </c>
      <c r="BB54" s="116">
        <v>4675.93</v>
      </c>
      <c r="BC54" s="116">
        <v>-8544.93</v>
      </c>
      <c r="BD54" s="116">
        <v>9245.4500000000007</v>
      </c>
      <c r="BE54" s="116">
        <v>2052.5700000000002</v>
      </c>
      <c r="BF54" s="116">
        <v>-156.38999999999999</v>
      </c>
      <c r="BG54" s="116">
        <v>2596.6999999999998</v>
      </c>
      <c r="BH54" s="116">
        <v>4064.55</v>
      </c>
      <c r="BI54" s="116">
        <v>-449.95</v>
      </c>
      <c r="BJ54" s="116">
        <v>10690.13</v>
      </c>
      <c r="BK54" s="116">
        <v>-843.92</v>
      </c>
      <c r="BL54" s="116">
        <v>13460.81</v>
      </c>
      <c r="BM54" s="116">
        <v>-1816.72</v>
      </c>
      <c r="BN54" s="116">
        <v>2389.4899999999998</v>
      </c>
      <c r="BO54" s="116">
        <v>-1303.68</v>
      </c>
      <c r="BP54" s="116">
        <v>4730.37</v>
      </c>
      <c r="BQ54" s="116">
        <v>3999.46</v>
      </c>
      <c r="BR54" s="116">
        <v>6517.22</v>
      </c>
      <c r="BS54" s="116"/>
      <c r="BT54" s="117"/>
      <c r="BU54" s="127" t="s">
        <v>744</v>
      </c>
      <c r="BV54" s="119">
        <v>48</v>
      </c>
    </row>
    <row r="55" spans="1:74" s="112" customFormat="1" ht="11.65" customHeight="1" x14ac:dyDescent="0.15">
      <c r="A55" s="113">
        <v>49</v>
      </c>
      <c r="C55" s="126" t="s">
        <v>745</v>
      </c>
      <c r="D55" s="115">
        <v>-6620.72</v>
      </c>
      <c r="E55" s="115">
        <v>-5420.55</v>
      </c>
      <c r="F55" s="115">
        <v>-6954.87</v>
      </c>
      <c r="G55" s="115">
        <v>-11346.96</v>
      </c>
      <c r="H55" s="116">
        <v>-30343.1</v>
      </c>
      <c r="I55" s="115">
        <v>-7666.06</v>
      </c>
      <c r="J55" s="115">
        <v>-11876.39</v>
      </c>
      <c r="K55" s="115">
        <v>3959.6</v>
      </c>
      <c r="L55" s="200">
        <v>3726.24</v>
      </c>
      <c r="M55" s="201"/>
      <c r="N55" s="116">
        <v>-11856.61</v>
      </c>
      <c r="O55" s="116">
        <v>1033.6600000000001</v>
      </c>
      <c r="P55" s="116">
        <v>2810.81</v>
      </c>
      <c r="Q55" s="116">
        <v>-834.32</v>
      </c>
      <c r="R55" s="116">
        <v>-3225.26</v>
      </c>
      <c r="S55" s="116">
        <v>-215.12</v>
      </c>
      <c r="T55" s="116">
        <v>6614.84</v>
      </c>
      <c r="U55" s="116">
        <v>2476.77</v>
      </c>
      <c r="V55" s="116">
        <v>2645.23</v>
      </c>
      <c r="W55" s="116">
        <v>-4412.1099999999997</v>
      </c>
      <c r="X55" s="116">
        <v>7324.73</v>
      </c>
      <c r="Y55" s="116">
        <v>-2066.25</v>
      </c>
      <c r="Z55" s="116">
        <v>-4296.6899999999996</v>
      </c>
      <c r="AA55" s="116">
        <v>-6475.41</v>
      </c>
      <c r="AB55" s="116">
        <v>-2410.25</v>
      </c>
      <c r="AC55" s="116">
        <v>-15248.59</v>
      </c>
      <c r="AD55" s="116">
        <v>-1303.1400000000001</v>
      </c>
      <c r="AE55" s="116">
        <v>2925.18</v>
      </c>
      <c r="AF55" s="116">
        <v>4565.3500000000004</v>
      </c>
      <c r="AG55" s="116">
        <v>-5089.34</v>
      </c>
      <c r="AH55" s="116">
        <v>1098.05</v>
      </c>
      <c r="AI55" s="116">
        <v>286.77</v>
      </c>
      <c r="AJ55" s="116">
        <v>-2161.9699999999998</v>
      </c>
      <c r="AK55" s="116">
        <v>-5708.26</v>
      </c>
      <c r="AL55" s="116">
        <v>-4505.3999999999996</v>
      </c>
      <c r="AM55" s="116">
        <v>-12088.87</v>
      </c>
      <c r="AN55" s="116">
        <v>-4514.2</v>
      </c>
      <c r="AO55" s="116">
        <v>-738.59</v>
      </c>
      <c r="AP55" s="116">
        <v>-5359.38</v>
      </c>
      <c r="AQ55" s="116">
        <v>-973.87</v>
      </c>
      <c r="AR55" s="116">
        <v>-11586.04</v>
      </c>
      <c r="AS55" s="116">
        <v>3854.63</v>
      </c>
      <c r="AT55" s="116">
        <v>4308.74</v>
      </c>
      <c r="AU55" s="116">
        <v>4386.3100000000004</v>
      </c>
      <c r="AV55" s="116">
        <v>-5418.39</v>
      </c>
      <c r="AW55" s="116">
        <v>7131.28</v>
      </c>
      <c r="AX55" s="116">
        <v>-2419.39</v>
      </c>
      <c r="AY55" s="116">
        <v>1976.73</v>
      </c>
      <c r="AZ55" s="116">
        <v>45.86</v>
      </c>
      <c r="BA55" s="116">
        <v>-4279.1400000000003</v>
      </c>
      <c r="BB55" s="116">
        <v>-4675.93</v>
      </c>
      <c r="BC55" s="116">
        <v>8544.93</v>
      </c>
      <c r="BD55" s="116">
        <v>-9245.4500000000007</v>
      </c>
      <c r="BE55" s="116">
        <v>-2052.5700000000002</v>
      </c>
      <c r="BF55" s="116">
        <v>156.38999999999999</v>
      </c>
      <c r="BG55" s="116">
        <v>-2596.6999999999998</v>
      </c>
      <c r="BH55" s="116">
        <v>-4064.55</v>
      </c>
      <c r="BI55" s="116">
        <v>449.95</v>
      </c>
      <c r="BJ55" s="116">
        <v>-10690.13</v>
      </c>
      <c r="BK55" s="116">
        <v>843.92</v>
      </c>
      <c r="BL55" s="116">
        <v>-13460.81</v>
      </c>
      <c r="BM55" s="116">
        <v>1816.72</v>
      </c>
      <c r="BN55" s="116">
        <v>-2389.4899999999998</v>
      </c>
      <c r="BO55" s="116">
        <v>1303.68</v>
      </c>
      <c r="BP55" s="116">
        <v>-4730.37</v>
      </c>
      <c r="BQ55" s="116">
        <v>-3999.46</v>
      </c>
      <c r="BR55" s="116">
        <v>-6517.22</v>
      </c>
      <c r="BS55" s="116"/>
      <c r="BT55" s="117"/>
      <c r="BU55" s="127" t="s">
        <v>746</v>
      </c>
      <c r="BV55" s="119">
        <v>49</v>
      </c>
    </row>
    <row r="56" spans="1:74" s="112" customFormat="1" ht="11.65" customHeight="1" x14ac:dyDescent="0.15">
      <c r="A56" s="113">
        <v>50</v>
      </c>
      <c r="C56" s="114" t="s">
        <v>747</v>
      </c>
      <c r="D56" s="115">
        <v>-6620.72</v>
      </c>
      <c r="E56" s="115">
        <v>-5420.55</v>
      </c>
      <c r="F56" s="115">
        <v>-6954.87</v>
      </c>
      <c r="G56" s="115">
        <v>-11346.96</v>
      </c>
      <c r="H56" s="116">
        <v>-30343.1</v>
      </c>
      <c r="I56" s="115">
        <v>-7666.06</v>
      </c>
      <c r="J56" s="115">
        <v>-11876.39</v>
      </c>
      <c r="K56" s="115">
        <v>3959.6</v>
      </c>
      <c r="L56" s="200">
        <v>3726.24</v>
      </c>
      <c r="M56" s="201"/>
      <c r="N56" s="116">
        <v>-11856.61</v>
      </c>
      <c r="O56" s="115">
        <v>1033.6600000000001</v>
      </c>
      <c r="P56" s="115">
        <v>2810.81</v>
      </c>
      <c r="Q56" s="115">
        <v>-834.32</v>
      </c>
      <c r="R56" s="115">
        <v>-3225.26</v>
      </c>
      <c r="S56" s="115">
        <v>-215.12</v>
      </c>
      <c r="T56" s="115">
        <v>6614.84</v>
      </c>
      <c r="U56" s="115">
        <v>2476.77</v>
      </c>
      <c r="V56" s="115">
        <v>2645.23</v>
      </c>
      <c r="W56" s="115">
        <v>-4412.1099999999997</v>
      </c>
      <c r="X56" s="115">
        <v>7324.73</v>
      </c>
      <c r="Y56" s="115">
        <v>-2066.25</v>
      </c>
      <c r="Z56" s="115">
        <v>-4296.6899999999996</v>
      </c>
      <c r="AA56" s="115">
        <v>-6475.41</v>
      </c>
      <c r="AB56" s="115">
        <v>-2410.25</v>
      </c>
      <c r="AC56" s="115">
        <v>-15248.59</v>
      </c>
      <c r="AD56" s="115">
        <v>-1303.1400000000001</v>
      </c>
      <c r="AE56" s="115">
        <v>2925.18</v>
      </c>
      <c r="AF56" s="115">
        <v>4565.3500000000004</v>
      </c>
      <c r="AG56" s="115">
        <v>-5089.34</v>
      </c>
      <c r="AH56" s="115">
        <v>1098.05</v>
      </c>
      <c r="AI56" s="115">
        <v>286.77</v>
      </c>
      <c r="AJ56" s="115">
        <v>-2161.9699999999998</v>
      </c>
      <c r="AK56" s="115">
        <v>-5708.26</v>
      </c>
      <c r="AL56" s="115">
        <v>-4505.3999999999996</v>
      </c>
      <c r="AM56" s="115">
        <v>-12088.87</v>
      </c>
      <c r="AN56" s="115">
        <v>-4514.2</v>
      </c>
      <c r="AO56" s="115">
        <v>-738.59</v>
      </c>
      <c r="AP56" s="115">
        <v>-5359.38</v>
      </c>
      <c r="AQ56" s="115">
        <v>-973.87</v>
      </c>
      <c r="AR56" s="115">
        <v>-11586.04</v>
      </c>
      <c r="AS56" s="115">
        <v>3854.63</v>
      </c>
      <c r="AT56" s="115">
        <v>4308.74</v>
      </c>
      <c r="AU56" s="115">
        <v>4386.3100000000004</v>
      </c>
      <c r="AV56" s="115">
        <v>-5418.39</v>
      </c>
      <c r="AW56" s="115">
        <v>7131.28</v>
      </c>
      <c r="AX56" s="115">
        <v>-2419.39</v>
      </c>
      <c r="AY56" s="115">
        <v>1976.73</v>
      </c>
      <c r="AZ56" s="115">
        <v>45.86</v>
      </c>
      <c r="BA56" s="115">
        <v>-4279.1400000000003</v>
      </c>
      <c r="BB56" s="115">
        <v>-4675.93</v>
      </c>
      <c r="BC56" s="115">
        <v>8544.93</v>
      </c>
      <c r="BD56" s="115">
        <v>-9245.4500000000007</v>
      </c>
      <c r="BE56" s="115">
        <v>-2052.5700000000002</v>
      </c>
      <c r="BF56" s="115">
        <v>156.38999999999999</v>
      </c>
      <c r="BG56" s="115">
        <v>-2596.6999999999998</v>
      </c>
      <c r="BH56" s="115">
        <v>-4064.55</v>
      </c>
      <c r="BI56" s="115">
        <v>449.95</v>
      </c>
      <c r="BJ56" s="115">
        <v>-10690.13</v>
      </c>
      <c r="BK56" s="115">
        <v>843.92</v>
      </c>
      <c r="BL56" s="115">
        <v>-13460.81</v>
      </c>
      <c r="BM56" s="115">
        <v>1816.72</v>
      </c>
      <c r="BN56" s="115">
        <v>-2389.4899999999998</v>
      </c>
      <c r="BO56" s="115">
        <v>1303.68</v>
      </c>
      <c r="BP56" s="115">
        <v>-4730.37</v>
      </c>
      <c r="BQ56" s="115">
        <v>-3999.46</v>
      </c>
      <c r="BR56" s="115">
        <v>-6517.22</v>
      </c>
      <c r="BS56" s="115"/>
      <c r="BT56" s="117"/>
      <c r="BU56" s="118" t="s">
        <v>748</v>
      </c>
      <c r="BV56" s="119">
        <v>50</v>
      </c>
    </row>
    <row r="57" spans="1:74" s="112" customFormat="1" ht="11.65" customHeight="1" x14ac:dyDescent="0.15">
      <c r="A57" s="113">
        <v>51</v>
      </c>
      <c r="C57" s="114" t="s">
        <v>749</v>
      </c>
      <c r="D57" s="115" t="s">
        <v>646</v>
      </c>
      <c r="E57" s="115" t="s">
        <v>646</v>
      </c>
      <c r="F57" s="115" t="s">
        <v>646</v>
      </c>
      <c r="G57" s="115" t="s">
        <v>646</v>
      </c>
      <c r="H57" s="116" t="s">
        <v>646</v>
      </c>
      <c r="I57" s="115" t="s">
        <v>646</v>
      </c>
      <c r="J57" s="115" t="s">
        <v>646</v>
      </c>
      <c r="K57" s="115" t="s">
        <v>646</v>
      </c>
      <c r="L57" s="200" t="s">
        <v>646</v>
      </c>
      <c r="M57" s="201"/>
      <c r="N57" s="116" t="s">
        <v>646</v>
      </c>
      <c r="O57" s="115" t="s">
        <v>646</v>
      </c>
      <c r="P57" s="115" t="s">
        <v>646</v>
      </c>
      <c r="Q57" s="115" t="s">
        <v>646</v>
      </c>
      <c r="R57" s="115" t="s">
        <v>646</v>
      </c>
      <c r="S57" s="115" t="s">
        <v>646</v>
      </c>
      <c r="T57" s="115" t="s">
        <v>646</v>
      </c>
      <c r="U57" s="115" t="s">
        <v>646</v>
      </c>
      <c r="V57" s="115" t="s">
        <v>646</v>
      </c>
      <c r="W57" s="115" t="s">
        <v>646</v>
      </c>
      <c r="X57" s="115" t="s">
        <v>646</v>
      </c>
      <c r="Y57" s="115" t="s">
        <v>646</v>
      </c>
      <c r="Z57" s="115" t="s">
        <v>646</v>
      </c>
      <c r="AA57" s="115" t="s">
        <v>646</v>
      </c>
      <c r="AB57" s="115" t="s">
        <v>646</v>
      </c>
      <c r="AC57" s="115" t="s">
        <v>646</v>
      </c>
      <c r="AD57" s="115" t="s">
        <v>646</v>
      </c>
      <c r="AE57" s="115" t="s">
        <v>646</v>
      </c>
      <c r="AF57" s="115" t="s">
        <v>646</v>
      </c>
      <c r="AG57" s="115" t="s">
        <v>646</v>
      </c>
      <c r="AH57" s="115" t="s">
        <v>646</v>
      </c>
      <c r="AI57" s="115" t="s">
        <v>646</v>
      </c>
      <c r="AJ57" s="115" t="s">
        <v>646</v>
      </c>
      <c r="AK57" s="115" t="s">
        <v>646</v>
      </c>
      <c r="AL57" s="115" t="s">
        <v>646</v>
      </c>
      <c r="AM57" s="115" t="s">
        <v>646</v>
      </c>
      <c r="AN57" s="115" t="s">
        <v>646</v>
      </c>
      <c r="AO57" s="115" t="s">
        <v>646</v>
      </c>
      <c r="AP57" s="115" t="s">
        <v>646</v>
      </c>
      <c r="AQ57" s="115" t="s">
        <v>646</v>
      </c>
      <c r="AR57" s="115" t="s">
        <v>646</v>
      </c>
      <c r="AS57" s="115" t="s">
        <v>646</v>
      </c>
      <c r="AT57" s="115" t="s">
        <v>646</v>
      </c>
      <c r="AU57" s="115" t="s">
        <v>646</v>
      </c>
      <c r="AV57" s="115" t="s">
        <v>646</v>
      </c>
      <c r="AW57" s="115" t="s">
        <v>646</v>
      </c>
      <c r="AX57" s="115" t="s">
        <v>646</v>
      </c>
      <c r="AY57" s="115" t="s">
        <v>646</v>
      </c>
      <c r="AZ57" s="115" t="s">
        <v>646</v>
      </c>
      <c r="BA57" s="115" t="s">
        <v>646</v>
      </c>
      <c r="BB57" s="115" t="s">
        <v>646</v>
      </c>
      <c r="BC57" s="115" t="s">
        <v>646</v>
      </c>
      <c r="BD57" s="115" t="s">
        <v>646</v>
      </c>
      <c r="BE57" s="115" t="s">
        <v>646</v>
      </c>
      <c r="BF57" s="115" t="s">
        <v>646</v>
      </c>
      <c r="BG57" s="115" t="s">
        <v>646</v>
      </c>
      <c r="BH57" s="115" t="s">
        <v>646</v>
      </c>
      <c r="BI57" s="115" t="s">
        <v>646</v>
      </c>
      <c r="BJ57" s="115" t="s">
        <v>646</v>
      </c>
      <c r="BK57" s="115" t="s">
        <v>646</v>
      </c>
      <c r="BL57" s="115" t="s">
        <v>646</v>
      </c>
      <c r="BM57" s="115" t="s">
        <v>646</v>
      </c>
      <c r="BN57" s="115" t="s">
        <v>646</v>
      </c>
      <c r="BO57" s="115" t="s">
        <v>646</v>
      </c>
      <c r="BP57" s="115" t="s">
        <v>646</v>
      </c>
      <c r="BQ57" s="115" t="s">
        <v>646</v>
      </c>
      <c r="BR57" s="115" t="s">
        <v>646</v>
      </c>
      <c r="BS57" s="115"/>
      <c r="BT57" s="117"/>
      <c r="BU57" s="118" t="s">
        <v>750</v>
      </c>
      <c r="BV57" s="119">
        <v>51</v>
      </c>
    </row>
    <row r="58" spans="1:74" s="112" customFormat="1" ht="11.65" customHeight="1" x14ac:dyDescent="0.15">
      <c r="A58" s="128">
        <v>52</v>
      </c>
      <c r="B58" s="129"/>
      <c r="C58" s="130" t="s">
        <v>751</v>
      </c>
      <c r="D58" s="131" t="s">
        <v>646</v>
      </c>
      <c r="E58" s="131" t="s">
        <v>646</v>
      </c>
      <c r="F58" s="131" t="s">
        <v>646</v>
      </c>
      <c r="G58" s="131" t="s">
        <v>646</v>
      </c>
      <c r="H58" s="132" t="s">
        <v>646</v>
      </c>
      <c r="I58" s="131" t="s">
        <v>646</v>
      </c>
      <c r="J58" s="131" t="s">
        <v>646</v>
      </c>
      <c r="K58" s="131" t="s">
        <v>646</v>
      </c>
      <c r="L58" s="208" t="s">
        <v>646</v>
      </c>
      <c r="M58" s="209"/>
      <c r="N58" s="132" t="s">
        <v>646</v>
      </c>
      <c r="O58" s="131" t="s">
        <v>646</v>
      </c>
      <c r="P58" s="131" t="s">
        <v>646</v>
      </c>
      <c r="Q58" s="131" t="s">
        <v>646</v>
      </c>
      <c r="R58" s="131" t="s">
        <v>646</v>
      </c>
      <c r="S58" s="131" t="s">
        <v>646</v>
      </c>
      <c r="T58" s="131" t="s">
        <v>646</v>
      </c>
      <c r="U58" s="131" t="s">
        <v>646</v>
      </c>
      <c r="V58" s="131" t="s">
        <v>646</v>
      </c>
      <c r="W58" s="131" t="s">
        <v>646</v>
      </c>
      <c r="X58" s="131" t="s">
        <v>646</v>
      </c>
      <c r="Y58" s="131" t="s">
        <v>646</v>
      </c>
      <c r="Z58" s="131" t="s">
        <v>646</v>
      </c>
      <c r="AA58" s="131" t="s">
        <v>646</v>
      </c>
      <c r="AB58" s="131" t="s">
        <v>646</v>
      </c>
      <c r="AC58" s="131" t="s">
        <v>646</v>
      </c>
      <c r="AD58" s="131" t="s">
        <v>646</v>
      </c>
      <c r="AE58" s="131" t="s">
        <v>646</v>
      </c>
      <c r="AF58" s="131" t="s">
        <v>646</v>
      </c>
      <c r="AG58" s="131" t="s">
        <v>646</v>
      </c>
      <c r="AH58" s="131" t="s">
        <v>646</v>
      </c>
      <c r="AI58" s="131" t="s">
        <v>646</v>
      </c>
      <c r="AJ58" s="131" t="s">
        <v>646</v>
      </c>
      <c r="AK58" s="131" t="s">
        <v>646</v>
      </c>
      <c r="AL58" s="131" t="s">
        <v>646</v>
      </c>
      <c r="AM58" s="131" t="s">
        <v>646</v>
      </c>
      <c r="AN58" s="131" t="s">
        <v>646</v>
      </c>
      <c r="AO58" s="131" t="s">
        <v>646</v>
      </c>
      <c r="AP58" s="131" t="s">
        <v>646</v>
      </c>
      <c r="AQ58" s="131" t="s">
        <v>646</v>
      </c>
      <c r="AR58" s="131" t="s">
        <v>646</v>
      </c>
      <c r="AS58" s="131" t="s">
        <v>646</v>
      </c>
      <c r="AT58" s="131" t="s">
        <v>646</v>
      </c>
      <c r="AU58" s="131" t="s">
        <v>646</v>
      </c>
      <c r="AV58" s="131" t="s">
        <v>646</v>
      </c>
      <c r="AW58" s="131" t="s">
        <v>646</v>
      </c>
      <c r="AX58" s="131" t="s">
        <v>646</v>
      </c>
      <c r="AY58" s="131" t="s">
        <v>646</v>
      </c>
      <c r="AZ58" s="131" t="s">
        <v>646</v>
      </c>
      <c r="BA58" s="131" t="s">
        <v>646</v>
      </c>
      <c r="BB58" s="131" t="s">
        <v>646</v>
      </c>
      <c r="BC58" s="131" t="s">
        <v>646</v>
      </c>
      <c r="BD58" s="131" t="s">
        <v>646</v>
      </c>
      <c r="BE58" s="131" t="s">
        <v>646</v>
      </c>
      <c r="BF58" s="131" t="s">
        <v>646</v>
      </c>
      <c r="BG58" s="131" t="s">
        <v>646</v>
      </c>
      <c r="BH58" s="131" t="s">
        <v>646</v>
      </c>
      <c r="BI58" s="131" t="s">
        <v>646</v>
      </c>
      <c r="BJ58" s="131" t="s">
        <v>646</v>
      </c>
      <c r="BK58" s="131" t="s">
        <v>646</v>
      </c>
      <c r="BL58" s="131" t="s">
        <v>646</v>
      </c>
      <c r="BM58" s="131" t="s">
        <v>646</v>
      </c>
      <c r="BN58" s="131" t="s">
        <v>646</v>
      </c>
      <c r="BO58" s="131" t="s">
        <v>646</v>
      </c>
      <c r="BP58" s="131" t="s">
        <v>646</v>
      </c>
      <c r="BQ58" s="131" t="s">
        <v>646</v>
      </c>
      <c r="BR58" s="131" t="s">
        <v>646</v>
      </c>
      <c r="BS58" s="131"/>
      <c r="BT58" s="133"/>
      <c r="BU58" s="134" t="s">
        <v>751</v>
      </c>
      <c r="BV58" s="135">
        <v>52</v>
      </c>
    </row>
    <row r="59" spans="1:74" s="112" customFormat="1" ht="12" customHeight="1" x14ac:dyDescent="0.15">
      <c r="A59" s="113">
        <v>53</v>
      </c>
      <c r="C59" s="126" t="s">
        <v>752</v>
      </c>
      <c r="D59" s="115"/>
      <c r="E59" s="115"/>
      <c r="F59" s="115"/>
      <c r="G59" s="115"/>
      <c r="H59" s="116"/>
      <c r="I59" s="115"/>
      <c r="J59" s="115"/>
      <c r="K59" s="115"/>
      <c r="L59" s="200"/>
      <c r="M59" s="201"/>
      <c r="N59" s="116"/>
      <c r="O59" s="115"/>
      <c r="P59" s="115"/>
      <c r="Q59" s="115"/>
      <c r="R59" s="115"/>
      <c r="S59" s="116"/>
      <c r="T59" s="115"/>
      <c r="U59" s="115"/>
      <c r="V59" s="115"/>
      <c r="W59" s="115"/>
      <c r="X59" s="116"/>
      <c r="Y59" s="115" t="s">
        <v>646</v>
      </c>
      <c r="Z59" s="115" t="s">
        <v>646</v>
      </c>
      <c r="AA59" s="115" t="s">
        <v>646</v>
      </c>
      <c r="AB59" s="115" t="s">
        <v>646</v>
      </c>
      <c r="AC59" s="116"/>
      <c r="AD59" s="115"/>
      <c r="AE59" s="115"/>
      <c r="AF59" s="115"/>
      <c r="AG59" s="115"/>
      <c r="AH59" s="116"/>
      <c r="AI59" s="115"/>
      <c r="AJ59" s="115"/>
      <c r="AK59" s="115"/>
      <c r="AL59" s="115"/>
      <c r="AM59" s="116"/>
      <c r="AN59" s="115"/>
      <c r="AO59" s="115"/>
      <c r="AP59" s="115"/>
      <c r="AQ59" s="115"/>
      <c r="AR59" s="116"/>
      <c r="AS59" s="115"/>
      <c r="AT59" s="115"/>
      <c r="AU59" s="115"/>
      <c r="AV59" s="115"/>
      <c r="AW59" s="116"/>
      <c r="AX59" s="115"/>
      <c r="AY59" s="115"/>
      <c r="AZ59" s="115"/>
      <c r="BA59" s="115"/>
      <c r="BB59" s="115"/>
      <c r="BC59" s="115"/>
      <c r="BD59" s="115"/>
      <c r="BE59" s="115"/>
      <c r="BF59" s="115"/>
      <c r="BG59" s="115"/>
      <c r="BH59" s="115"/>
      <c r="BI59" s="115"/>
      <c r="BJ59" s="115"/>
      <c r="BK59" s="115"/>
      <c r="BL59" s="115"/>
      <c r="BM59" s="115"/>
      <c r="BN59" s="115"/>
      <c r="BO59" s="115"/>
      <c r="BP59" s="115"/>
      <c r="BQ59" s="115"/>
      <c r="BR59" s="115"/>
      <c r="BS59" s="115"/>
      <c r="BT59" s="117"/>
      <c r="BU59" s="127" t="s">
        <v>752</v>
      </c>
      <c r="BV59" s="119">
        <v>53</v>
      </c>
    </row>
    <row r="60" spans="1:74" s="112" customFormat="1" ht="12" customHeight="1" x14ac:dyDescent="0.15">
      <c r="A60" s="113">
        <v>54</v>
      </c>
      <c r="C60" s="114" t="s">
        <v>753</v>
      </c>
      <c r="D60" s="115">
        <v>71823.179999999993</v>
      </c>
      <c r="E60" s="115">
        <v>76321.22</v>
      </c>
      <c r="F60" s="115">
        <v>86550.62</v>
      </c>
      <c r="G60" s="115">
        <v>96206.83</v>
      </c>
      <c r="H60" s="116">
        <v>96206.83</v>
      </c>
      <c r="I60" s="115">
        <v>105709.23</v>
      </c>
      <c r="J60" s="115">
        <v>119654.9</v>
      </c>
      <c r="K60" s="115">
        <v>114502.56</v>
      </c>
      <c r="L60" s="200">
        <v>110123</v>
      </c>
      <c r="M60" s="201"/>
      <c r="N60" s="116">
        <v>110123</v>
      </c>
      <c r="O60" s="115">
        <v>110493.45</v>
      </c>
      <c r="P60" s="115">
        <v>106502.19</v>
      </c>
      <c r="Q60" s="115">
        <v>110172.05</v>
      </c>
      <c r="R60" s="115">
        <v>112781.03</v>
      </c>
      <c r="S60" s="115">
        <v>112781.03</v>
      </c>
      <c r="T60" s="115">
        <v>104799.86</v>
      </c>
      <c r="U60" s="115">
        <v>98095.1</v>
      </c>
      <c r="V60" s="115">
        <v>95675.33</v>
      </c>
      <c r="W60" s="115">
        <v>99386.71</v>
      </c>
      <c r="X60" s="115">
        <v>99386.71</v>
      </c>
      <c r="Y60" s="115">
        <v>102591.87</v>
      </c>
      <c r="Z60" s="115">
        <v>107678.11</v>
      </c>
      <c r="AA60" s="115">
        <v>111164.46</v>
      </c>
      <c r="AB60" s="115">
        <v>111861.6</v>
      </c>
      <c r="AC60" s="115">
        <v>111861.6</v>
      </c>
      <c r="AD60" s="115">
        <v>111553.65</v>
      </c>
      <c r="AE60" s="115">
        <v>108029.62</v>
      </c>
      <c r="AF60" s="115">
        <v>101719.53</v>
      </c>
      <c r="AG60" s="115">
        <v>105931.02</v>
      </c>
      <c r="AH60" s="115">
        <v>105931.02</v>
      </c>
      <c r="AI60" s="115">
        <v>107542.59</v>
      </c>
      <c r="AJ60" s="115">
        <v>109788.72</v>
      </c>
      <c r="AK60" s="115">
        <v>115671.35</v>
      </c>
      <c r="AL60" s="115">
        <v>116361.53</v>
      </c>
      <c r="AM60" s="115">
        <v>116361.53</v>
      </c>
      <c r="AN60" s="115">
        <v>121805.61</v>
      </c>
      <c r="AO60" s="115">
        <v>123093.69</v>
      </c>
      <c r="AP60" s="115">
        <v>129402.34</v>
      </c>
      <c r="AQ60" s="115">
        <v>130196.35</v>
      </c>
      <c r="AR60" s="115">
        <v>130196.35</v>
      </c>
      <c r="AS60" s="115">
        <v>126003.2</v>
      </c>
      <c r="AT60" s="115">
        <v>119839.03</v>
      </c>
      <c r="AU60" s="115">
        <v>114847.52</v>
      </c>
      <c r="AV60" s="115">
        <v>120654.27</v>
      </c>
      <c r="AW60" s="115">
        <v>120654.27</v>
      </c>
      <c r="AX60" s="115">
        <v>124539.31</v>
      </c>
      <c r="AY60" s="115">
        <v>123823.27</v>
      </c>
      <c r="AZ60" s="115">
        <v>124332.33</v>
      </c>
      <c r="BA60" s="115">
        <v>129183.28</v>
      </c>
      <c r="BB60" s="115">
        <v>129183.28</v>
      </c>
      <c r="BC60" s="115">
        <v>120968.88</v>
      </c>
      <c r="BD60" s="115">
        <v>131718.35999999999</v>
      </c>
      <c r="BE60" s="115">
        <v>135153.15</v>
      </c>
      <c r="BF60" s="115">
        <v>135896.66</v>
      </c>
      <c r="BG60" s="115">
        <v>135896.66</v>
      </c>
      <c r="BH60" s="115">
        <v>137095.31</v>
      </c>
      <c r="BI60" s="115">
        <v>137092.51999999999</v>
      </c>
      <c r="BJ60" s="115">
        <v>146869.99</v>
      </c>
      <c r="BK60" s="115">
        <v>144905.38</v>
      </c>
      <c r="BL60" s="115">
        <v>144905.38</v>
      </c>
      <c r="BM60" s="115">
        <v>139128.75</v>
      </c>
      <c r="BN60" s="115">
        <v>136379.32999999999</v>
      </c>
      <c r="BO60" s="115">
        <v>130782.1</v>
      </c>
      <c r="BP60" s="115">
        <v>137233.26999999999</v>
      </c>
      <c r="BQ60" s="115">
        <v>137233.26999999999</v>
      </c>
      <c r="BR60" s="115">
        <v>145189.07</v>
      </c>
      <c r="BS60" s="115"/>
      <c r="BT60" s="117"/>
      <c r="BU60" s="118" t="s">
        <v>754</v>
      </c>
      <c r="BV60" s="119">
        <v>54</v>
      </c>
    </row>
    <row r="61" spans="1:74" s="112" customFormat="1" ht="18" x14ac:dyDescent="0.15">
      <c r="A61" s="136">
        <v>55</v>
      </c>
      <c r="C61" s="120" t="s">
        <v>755</v>
      </c>
      <c r="D61" s="117"/>
      <c r="E61" s="117"/>
      <c r="F61" s="117"/>
      <c r="G61" s="117">
        <v>7.56</v>
      </c>
      <c r="H61" s="103">
        <v>7.56</v>
      </c>
      <c r="I61" s="117">
        <v>7.85</v>
      </c>
      <c r="J61" s="117">
        <v>8.23</v>
      </c>
      <c r="K61" s="117">
        <v>7.38</v>
      </c>
      <c r="L61" s="202">
        <v>6.74</v>
      </c>
      <c r="M61" s="203"/>
      <c r="N61" s="103">
        <v>6.74</v>
      </c>
      <c r="O61" s="117">
        <v>6.4</v>
      </c>
      <c r="P61" s="117">
        <v>5.96</v>
      </c>
      <c r="Q61" s="117">
        <v>6.12</v>
      </c>
      <c r="R61" s="117">
        <v>6.15</v>
      </c>
      <c r="S61" s="117">
        <v>6.15</v>
      </c>
      <c r="T61" s="117">
        <v>5.73</v>
      </c>
      <c r="U61" s="117">
        <v>5.38</v>
      </c>
      <c r="V61" s="117">
        <v>5.2</v>
      </c>
      <c r="W61" s="117">
        <v>5.47</v>
      </c>
      <c r="X61" s="117">
        <v>5.47</v>
      </c>
      <c r="Y61" s="117">
        <v>5.73</v>
      </c>
      <c r="Z61" s="117">
        <v>6.05</v>
      </c>
      <c r="AA61" s="117">
        <v>6.31</v>
      </c>
      <c r="AB61" s="117">
        <v>6.45</v>
      </c>
      <c r="AC61" s="117">
        <v>6.45</v>
      </c>
      <c r="AD61" s="117">
        <v>6.64</v>
      </c>
      <c r="AE61" s="117">
        <v>6.77</v>
      </c>
      <c r="AF61" s="117">
        <v>6.75</v>
      </c>
      <c r="AG61" s="117">
        <v>7.39</v>
      </c>
      <c r="AH61" s="117">
        <v>7.39</v>
      </c>
      <c r="AI61" s="117">
        <v>7.72</v>
      </c>
      <c r="AJ61" s="117">
        <v>8.02</v>
      </c>
      <c r="AK61" s="117">
        <v>8.5</v>
      </c>
      <c r="AL61" s="117">
        <v>8.42</v>
      </c>
      <c r="AM61" s="117">
        <v>8.42</v>
      </c>
      <c r="AN61" s="117">
        <v>8.57</v>
      </c>
      <c r="AO61" s="117">
        <v>8.58</v>
      </c>
      <c r="AP61" s="117">
        <v>8.6</v>
      </c>
      <c r="AQ61" s="117">
        <v>8.27</v>
      </c>
      <c r="AR61" s="117">
        <v>8.27</v>
      </c>
      <c r="AS61" s="117">
        <v>7.63</v>
      </c>
      <c r="AT61" s="117">
        <v>6.9</v>
      </c>
      <c r="AU61" s="117">
        <v>6.27</v>
      </c>
      <c r="AV61" s="117">
        <v>6.43</v>
      </c>
      <c r="AW61" s="117">
        <v>6.43</v>
      </c>
      <c r="AX61" s="117">
        <v>6.69</v>
      </c>
      <c r="AY61" s="117">
        <v>6.75</v>
      </c>
      <c r="AZ61" s="117">
        <v>6.93</v>
      </c>
      <c r="BA61" s="117">
        <v>7.32</v>
      </c>
      <c r="BB61" s="117">
        <v>7.32</v>
      </c>
      <c r="BC61" s="117">
        <v>6.98</v>
      </c>
      <c r="BD61" s="117">
        <v>8.14</v>
      </c>
      <c r="BE61" s="117">
        <v>9.1199999999999992</v>
      </c>
      <c r="BF61" s="117">
        <v>9.76</v>
      </c>
      <c r="BG61" s="117">
        <v>9.76</v>
      </c>
      <c r="BH61" s="117">
        <v>9.66</v>
      </c>
      <c r="BI61" s="117">
        <v>8.7799999999999994</v>
      </c>
      <c r="BJ61" s="117">
        <v>8.64</v>
      </c>
      <c r="BK61" s="117">
        <v>7.77</v>
      </c>
      <c r="BL61" s="117">
        <v>7.77</v>
      </c>
      <c r="BM61" s="117">
        <v>6.97</v>
      </c>
      <c r="BN61" s="117">
        <v>6.41</v>
      </c>
      <c r="BO61" s="117">
        <v>5.73</v>
      </c>
      <c r="BP61" s="117">
        <v>5.9</v>
      </c>
      <c r="BQ61" s="117">
        <v>5.9</v>
      </c>
      <c r="BR61" s="117">
        <v>6.21</v>
      </c>
      <c r="BS61" s="117"/>
      <c r="BT61" s="117"/>
      <c r="BU61" s="121" t="s">
        <v>756</v>
      </c>
      <c r="BV61" s="119">
        <v>55</v>
      </c>
    </row>
    <row r="62" spans="1:74" s="112" customFormat="1" ht="12" customHeight="1" x14ac:dyDescent="0.15">
      <c r="A62" s="113">
        <v>56</v>
      </c>
      <c r="B62" s="137"/>
      <c r="C62" s="138" t="s">
        <v>757</v>
      </c>
      <c r="D62" s="139">
        <v>1.08</v>
      </c>
      <c r="E62" s="139">
        <v>0.71</v>
      </c>
      <c r="F62" s="139">
        <v>0.52</v>
      </c>
      <c r="G62" s="139">
        <v>0.44</v>
      </c>
      <c r="H62" s="139">
        <v>0.67</v>
      </c>
      <c r="I62" s="139">
        <v>1.42</v>
      </c>
      <c r="J62" s="139">
        <v>0.12</v>
      </c>
      <c r="K62" s="139">
        <v>0.32</v>
      </c>
      <c r="L62" s="204">
        <v>-1.02</v>
      </c>
      <c r="M62" s="205"/>
      <c r="N62" s="139">
        <v>0.19</v>
      </c>
      <c r="O62" s="139">
        <v>-1.4</v>
      </c>
      <c r="P62" s="139">
        <v>-3.5</v>
      </c>
      <c r="Q62" s="139">
        <v>-2.2400000000000002</v>
      </c>
      <c r="R62" s="139">
        <v>-3.46</v>
      </c>
      <c r="S62" s="139">
        <v>-2.65</v>
      </c>
      <c r="T62" s="139">
        <v>-2.61</v>
      </c>
      <c r="U62" s="139">
        <v>-4.24</v>
      </c>
      <c r="V62" s="139">
        <v>-3.71</v>
      </c>
      <c r="W62" s="139">
        <v>-2.0499999999999998</v>
      </c>
      <c r="X62" s="139">
        <v>-3.19</v>
      </c>
      <c r="Y62" s="139">
        <v>-2.33</v>
      </c>
      <c r="Z62" s="139">
        <v>-4.26</v>
      </c>
      <c r="AA62" s="139">
        <v>-3.01</v>
      </c>
      <c r="AB62" s="139">
        <v>-2.71</v>
      </c>
      <c r="AC62" s="139">
        <v>-3.09</v>
      </c>
      <c r="AD62" s="139">
        <v>-2.02</v>
      </c>
      <c r="AE62" s="139">
        <v>-1.96</v>
      </c>
      <c r="AF62" s="139">
        <v>-1.96</v>
      </c>
      <c r="AG62" s="139">
        <v>-2.2000000000000002</v>
      </c>
      <c r="AH62" s="139">
        <v>-2.0299999999999998</v>
      </c>
      <c r="AI62" s="139">
        <v>-2.14</v>
      </c>
      <c r="AJ62" s="139">
        <v>-2.41</v>
      </c>
      <c r="AK62" s="139">
        <v>-2.0299999999999998</v>
      </c>
      <c r="AL62" s="139">
        <v>-0.75</v>
      </c>
      <c r="AM62" s="139">
        <v>-1.82</v>
      </c>
      <c r="AN62" s="139">
        <v>-0.84</v>
      </c>
      <c r="AO62" s="139">
        <v>-1.73</v>
      </c>
      <c r="AP62" s="139">
        <v>-1.61</v>
      </c>
      <c r="AQ62" s="139">
        <v>-2.16</v>
      </c>
      <c r="AR62" s="139">
        <v>-1.6</v>
      </c>
      <c r="AS62" s="139">
        <v>-1.91</v>
      </c>
      <c r="AT62" s="139">
        <v>-2.95</v>
      </c>
      <c r="AU62" s="139">
        <v>-3.19</v>
      </c>
      <c r="AV62" s="139">
        <v>-3.72</v>
      </c>
      <c r="AW62" s="139">
        <v>-2.94</v>
      </c>
      <c r="AX62" s="139">
        <v>-2.4500000000000002</v>
      </c>
      <c r="AY62" s="139">
        <v>-2.95</v>
      </c>
      <c r="AZ62" s="139">
        <v>-2.6</v>
      </c>
      <c r="BA62" s="139">
        <v>-2.82</v>
      </c>
      <c r="BB62" s="139">
        <v>-2.71</v>
      </c>
      <c r="BC62" s="139">
        <v>-1.22</v>
      </c>
      <c r="BD62" s="139">
        <v>-1.19</v>
      </c>
      <c r="BE62" s="139">
        <v>0.38</v>
      </c>
      <c r="BF62" s="139">
        <v>0.31</v>
      </c>
      <c r="BG62" s="139">
        <v>-0.42</v>
      </c>
      <c r="BH62" s="139">
        <v>-0.41</v>
      </c>
      <c r="BI62" s="139">
        <v>-0.65</v>
      </c>
      <c r="BJ62" s="139">
        <v>1.67</v>
      </c>
      <c r="BK62" s="139">
        <v>0.48</v>
      </c>
      <c r="BL62" s="139">
        <v>0.3</v>
      </c>
      <c r="BM62" s="139">
        <v>0.18</v>
      </c>
      <c r="BN62" s="139">
        <v>1.1399999999999999</v>
      </c>
      <c r="BO62" s="139">
        <v>1.34</v>
      </c>
      <c r="BP62" s="139">
        <v>1.27</v>
      </c>
      <c r="BQ62" s="139">
        <v>0.99</v>
      </c>
      <c r="BR62" s="139">
        <v>0.89</v>
      </c>
      <c r="BS62" s="139"/>
      <c r="BT62" s="139"/>
      <c r="BU62" s="140" t="s">
        <v>758</v>
      </c>
      <c r="BV62" s="141">
        <v>56</v>
      </c>
    </row>
    <row r="63" spans="1:74" s="112" customFormat="1" ht="12" customHeight="1" x14ac:dyDescent="0.15">
      <c r="A63" s="113">
        <v>57</v>
      </c>
      <c r="C63" s="114" t="s">
        <v>759</v>
      </c>
      <c r="D63" s="117"/>
      <c r="E63" s="117"/>
      <c r="F63" s="117"/>
      <c r="G63" s="117"/>
      <c r="H63" s="103" t="s">
        <v>646</v>
      </c>
      <c r="I63" s="117"/>
      <c r="J63" s="117"/>
      <c r="K63" s="117"/>
      <c r="L63" s="202"/>
      <c r="M63" s="203"/>
      <c r="N63" s="103" t="s">
        <v>646</v>
      </c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  <c r="AH63" s="117"/>
      <c r="AI63" s="117"/>
      <c r="AJ63" s="117"/>
      <c r="AK63" s="117"/>
      <c r="AL63" s="117"/>
      <c r="AM63" s="117"/>
      <c r="AN63" s="117"/>
      <c r="AO63" s="117"/>
      <c r="AP63" s="117"/>
      <c r="AQ63" s="117"/>
      <c r="AR63" s="117"/>
      <c r="AS63" s="117"/>
      <c r="AT63" s="117"/>
      <c r="AU63" s="117"/>
      <c r="AV63" s="117"/>
      <c r="AW63" s="117"/>
      <c r="AX63" s="117"/>
      <c r="AY63" s="117"/>
      <c r="AZ63" s="117"/>
      <c r="BA63" s="117"/>
      <c r="BB63" s="117"/>
      <c r="BC63" s="117"/>
      <c r="BD63" s="117"/>
      <c r="BE63" s="117"/>
      <c r="BF63" s="117"/>
      <c r="BG63" s="117"/>
      <c r="BH63" s="117"/>
      <c r="BI63" s="117"/>
      <c r="BJ63" s="117"/>
      <c r="BK63" s="117"/>
      <c r="BL63" s="117"/>
      <c r="BM63" s="117"/>
      <c r="BN63" s="117"/>
      <c r="BO63" s="117"/>
      <c r="BP63" s="117"/>
      <c r="BQ63" s="117"/>
      <c r="BR63" s="117"/>
      <c r="BS63" s="117"/>
      <c r="BT63" s="117"/>
      <c r="BU63" s="118" t="s">
        <v>760</v>
      </c>
      <c r="BV63" s="119">
        <v>57</v>
      </c>
    </row>
    <row r="64" spans="1:74" s="112" customFormat="1" ht="16.5" customHeight="1" x14ac:dyDescent="0.15">
      <c r="A64" s="142">
        <v>58</v>
      </c>
      <c r="B64" s="143"/>
      <c r="C64" s="144" t="s">
        <v>761</v>
      </c>
      <c r="D64" s="145"/>
      <c r="E64" s="145"/>
      <c r="F64" s="145"/>
      <c r="G64" s="145"/>
      <c r="H64" s="146" t="s">
        <v>646</v>
      </c>
      <c r="I64" s="145"/>
      <c r="J64" s="145"/>
      <c r="K64" s="145"/>
      <c r="L64" s="206"/>
      <c r="M64" s="207"/>
      <c r="N64" s="146" t="s">
        <v>646</v>
      </c>
      <c r="O64" s="145"/>
      <c r="P64" s="145"/>
      <c r="Q64" s="145"/>
      <c r="R64" s="145"/>
      <c r="S64" s="145" t="s">
        <v>646</v>
      </c>
      <c r="T64" s="145"/>
      <c r="U64" s="145"/>
      <c r="V64" s="145"/>
      <c r="W64" s="145"/>
      <c r="X64" s="145" t="s">
        <v>646</v>
      </c>
      <c r="Y64" s="145"/>
      <c r="Z64" s="145"/>
      <c r="AA64" s="145"/>
      <c r="AB64" s="145"/>
      <c r="AC64" s="145" t="s">
        <v>646</v>
      </c>
      <c r="AD64" s="145"/>
      <c r="AE64" s="145"/>
      <c r="AF64" s="145"/>
      <c r="AG64" s="145"/>
      <c r="AH64" s="145"/>
      <c r="AI64" s="145"/>
      <c r="AJ64" s="145"/>
      <c r="AK64" s="145"/>
      <c r="AL64" s="145"/>
      <c r="AM64" s="145"/>
      <c r="AN64" s="145"/>
      <c r="AO64" s="145"/>
      <c r="AP64" s="145"/>
      <c r="AQ64" s="145"/>
      <c r="AR64" s="145"/>
      <c r="AS64" s="145"/>
      <c r="AT64" s="145"/>
      <c r="AU64" s="145"/>
      <c r="AV64" s="145"/>
      <c r="AW64" s="145"/>
      <c r="AX64" s="145"/>
      <c r="AY64" s="145"/>
      <c r="AZ64" s="145"/>
      <c r="BA64" s="145"/>
      <c r="BB64" s="145"/>
      <c r="BC64" s="145"/>
      <c r="BD64" s="145"/>
      <c r="BE64" s="145"/>
      <c r="BF64" s="145"/>
      <c r="BG64" s="145"/>
      <c r="BH64" s="145"/>
      <c r="BI64" s="145"/>
      <c r="BJ64" s="145"/>
      <c r="BK64" s="145"/>
      <c r="BL64" s="145"/>
      <c r="BM64" s="145"/>
      <c r="BN64" s="145"/>
      <c r="BO64" s="145"/>
      <c r="BP64" s="145"/>
      <c r="BQ64" s="145"/>
      <c r="BR64" s="145"/>
      <c r="BS64" s="145"/>
      <c r="BT64" s="145"/>
      <c r="BU64" s="147" t="s">
        <v>762</v>
      </c>
      <c r="BV64" s="148">
        <v>58</v>
      </c>
    </row>
    <row r="65" spans="1:75" s="112" customFormat="1" ht="1.5" customHeight="1" x14ac:dyDescent="0.15">
      <c r="H65" s="149"/>
      <c r="N65" s="149"/>
      <c r="S65" s="149"/>
      <c r="X65" s="149"/>
      <c r="AC65" s="149"/>
      <c r="AH65" s="149"/>
      <c r="AM65" s="149"/>
      <c r="AR65" s="149"/>
      <c r="AW65" s="149"/>
    </row>
    <row r="66" spans="1:75" s="151" customFormat="1" ht="33" customHeight="1" x14ac:dyDescent="0.25">
      <c r="A66" s="194" t="s">
        <v>763</v>
      </c>
      <c r="B66" s="194"/>
      <c r="C66" s="194"/>
      <c r="D66" s="194"/>
      <c r="E66" s="194"/>
      <c r="F66" s="194"/>
      <c r="G66" s="194"/>
      <c r="H66" s="194"/>
      <c r="I66" s="194"/>
      <c r="J66" s="194"/>
      <c r="K66" s="194"/>
      <c r="L66" s="194"/>
      <c r="M66" s="194"/>
      <c r="N66" s="194"/>
      <c r="O66" s="194"/>
      <c r="P66" s="194"/>
      <c r="Q66" s="194"/>
      <c r="R66" s="194"/>
      <c r="S66" s="194"/>
      <c r="T66" s="194"/>
      <c r="U66" s="194"/>
      <c r="V66" s="194"/>
      <c r="W66" s="194"/>
      <c r="X66" s="194"/>
      <c r="Y66" s="194"/>
      <c r="Z66" s="194"/>
      <c r="AA66" s="194"/>
      <c r="AB66" s="194"/>
      <c r="AC66" s="194"/>
      <c r="AD66" s="194"/>
      <c r="AE66" s="194"/>
      <c r="AF66" s="194"/>
      <c r="AG66" s="194"/>
      <c r="AH66" s="194"/>
      <c r="AI66" s="194"/>
      <c r="AJ66" s="194"/>
      <c r="AK66" s="194"/>
      <c r="AL66" s="194"/>
      <c r="AM66" s="194"/>
      <c r="AN66" s="194"/>
      <c r="AO66" s="194"/>
      <c r="AP66" s="194"/>
      <c r="AQ66" s="194"/>
      <c r="AR66" s="194"/>
      <c r="AS66" s="194"/>
      <c r="AT66" s="194"/>
      <c r="AU66" s="194"/>
      <c r="AV66" s="194"/>
      <c r="AW66" s="194"/>
      <c r="AX66" s="194"/>
      <c r="AY66" s="194"/>
      <c r="AZ66" s="194"/>
      <c r="BA66" s="194"/>
      <c r="BB66" s="194"/>
      <c r="BC66" s="194"/>
      <c r="BD66" s="194"/>
      <c r="BE66" s="194"/>
      <c r="BF66" s="194"/>
      <c r="BG66" s="194"/>
      <c r="BH66" s="194"/>
      <c r="BI66" s="194"/>
      <c r="BJ66" s="194"/>
      <c r="BK66" s="195" t="s">
        <v>764</v>
      </c>
      <c r="BL66" s="195"/>
      <c r="BM66" s="195"/>
      <c r="BN66" s="195"/>
      <c r="BO66" s="195"/>
      <c r="BP66" s="195"/>
      <c r="BQ66" s="195"/>
      <c r="BR66" s="195"/>
      <c r="BS66" s="195"/>
      <c r="BT66" s="195"/>
      <c r="BU66" s="195"/>
      <c r="BV66" s="195"/>
      <c r="BW66" s="150"/>
    </row>
    <row r="67" spans="1:75" s="112" customFormat="1" ht="12" customHeight="1" x14ac:dyDescent="0.15">
      <c r="H67" s="149"/>
      <c r="N67" s="149"/>
      <c r="S67" s="149"/>
      <c r="X67" s="149"/>
      <c r="AC67" s="149"/>
      <c r="AH67" s="149"/>
      <c r="AM67" s="149"/>
      <c r="AR67" s="149"/>
      <c r="AW67" s="149"/>
    </row>
    <row r="68" spans="1:75" ht="12" customHeight="1" x14ac:dyDescent="0.2"/>
    <row r="69" spans="1:75" ht="12" customHeight="1" x14ac:dyDescent="0.2"/>
    <row r="70" spans="1:75" ht="12" customHeight="1" x14ac:dyDescent="0.2"/>
    <row r="71" spans="1:75" ht="30" customHeight="1" x14ac:dyDescent="0.25">
      <c r="C71" s="39" t="s">
        <v>769</v>
      </c>
      <c r="D71" s="40"/>
      <c r="E71" s="40"/>
    </row>
    <row r="72" spans="1:75" ht="12" customHeight="1" x14ac:dyDescent="0.25">
      <c r="C72" s="43" t="s">
        <v>56</v>
      </c>
      <c r="D72" s="40"/>
      <c r="E72" s="40"/>
    </row>
    <row r="73" spans="1:75" ht="12" customHeight="1" x14ac:dyDescent="0.2">
      <c r="C73" s="196" t="s">
        <v>33</v>
      </c>
      <c r="D73" s="198" t="s">
        <v>94</v>
      </c>
      <c r="E73" s="199" t="s">
        <v>94</v>
      </c>
    </row>
    <row r="74" spans="1:75" ht="12" customHeight="1" x14ac:dyDescent="0.2">
      <c r="C74" s="197" t="s">
        <v>33</v>
      </c>
      <c r="D74" s="45" t="s">
        <v>95</v>
      </c>
      <c r="E74" s="46" t="s">
        <v>96</v>
      </c>
    </row>
    <row r="75" spans="1:75" ht="12" customHeight="1" x14ac:dyDescent="0.2">
      <c r="C75" s="42" t="s">
        <v>770</v>
      </c>
      <c r="D75" s="152" t="s">
        <v>771</v>
      </c>
      <c r="E75" s="152" t="s">
        <v>772</v>
      </c>
    </row>
    <row r="76" spans="1:75" ht="12" customHeight="1" x14ac:dyDescent="0.2">
      <c r="C76" s="42" t="s">
        <v>773</v>
      </c>
      <c r="D76" s="152" t="s">
        <v>774</v>
      </c>
      <c r="E76" s="152" t="s">
        <v>775</v>
      </c>
    </row>
    <row r="77" spans="1:75" ht="12" customHeight="1" x14ac:dyDescent="0.2">
      <c r="C77" s="42" t="s">
        <v>776</v>
      </c>
      <c r="D77" s="152" t="s">
        <v>777</v>
      </c>
      <c r="E77" s="152" t="s">
        <v>775</v>
      </c>
    </row>
    <row r="78" spans="1:75" ht="12" customHeight="1" x14ac:dyDescent="0.2">
      <c r="C78" s="42" t="s">
        <v>778</v>
      </c>
      <c r="D78" s="152" t="s">
        <v>779</v>
      </c>
      <c r="E78" s="152" t="s">
        <v>780</v>
      </c>
    </row>
    <row r="79" spans="1:75" ht="12" customHeight="1" x14ac:dyDescent="0.2">
      <c r="C79" s="42" t="s">
        <v>781</v>
      </c>
      <c r="D79" s="152" t="s">
        <v>782</v>
      </c>
      <c r="E79" s="152" t="s">
        <v>783</v>
      </c>
    </row>
    <row r="80" spans="1:75" ht="12" customHeight="1" x14ac:dyDescent="0.2">
      <c r="C80" s="42" t="s">
        <v>784</v>
      </c>
      <c r="D80" s="152" t="s">
        <v>785</v>
      </c>
      <c r="E80" s="152" t="s">
        <v>786</v>
      </c>
    </row>
    <row r="81" spans="3:5" ht="12" customHeight="1" x14ac:dyDescent="0.2">
      <c r="C81" s="42" t="s">
        <v>787</v>
      </c>
      <c r="D81" s="152" t="s">
        <v>788</v>
      </c>
      <c r="E81" s="152" t="s">
        <v>789</v>
      </c>
    </row>
    <row r="82" spans="3:5" ht="12" customHeight="1" x14ac:dyDescent="0.2">
      <c r="C82" s="42" t="s">
        <v>790</v>
      </c>
      <c r="D82" s="152" t="s">
        <v>791</v>
      </c>
      <c r="E82" s="152" t="s">
        <v>792</v>
      </c>
    </row>
    <row r="83" spans="3:5" ht="12" customHeight="1" x14ac:dyDescent="0.2">
      <c r="C83" s="42" t="s">
        <v>793</v>
      </c>
      <c r="D83" s="152" t="s">
        <v>794</v>
      </c>
      <c r="E83" s="152" t="s">
        <v>795</v>
      </c>
    </row>
    <row r="84" spans="3:5" ht="12" customHeight="1" x14ac:dyDescent="0.2">
      <c r="C84" s="42" t="s">
        <v>796</v>
      </c>
      <c r="D84" s="152" t="s">
        <v>797</v>
      </c>
      <c r="E84" s="152" t="s">
        <v>798</v>
      </c>
    </row>
    <row r="85" spans="3:5" ht="12" customHeight="1" x14ac:dyDescent="0.2">
      <c r="C85" s="42" t="s">
        <v>799</v>
      </c>
      <c r="D85" s="152" t="s">
        <v>800</v>
      </c>
      <c r="E85" s="152" t="s">
        <v>786</v>
      </c>
    </row>
    <row r="86" spans="3:5" ht="12" customHeight="1" x14ac:dyDescent="0.2">
      <c r="C86" s="42" t="s">
        <v>801</v>
      </c>
      <c r="D86" s="152" t="s">
        <v>802</v>
      </c>
      <c r="E86" s="152" t="s">
        <v>803</v>
      </c>
    </row>
    <row r="87" spans="3:5" ht="12" customHeight="1" x14ac:dyDescent="0.2">
      <c r="C87" s="42" t="s">
        <v>804</v>
      </c>
      <c r="D87" s="152" t="s">
        <v>805</v>
      </c>
      <c r="E87" s="152" t="s">
        <v>806</v>
      </c>
    </row>
    <row r="88" spans="3:5" ht="12" customHeight="1" x14ac:dyDescent="0.2">
      <c r="C88" s="42" t="s">
        <v>807</v>
      </c>
      <c r="D88" s="152" t="s">
        <v>808</v>
      </c>
      <c r="E88" s="152" t="s">
        <v>809</v>
      </c>
    </row>
    <row r="89" spans="3:5" ht="12" customHeight="1" x14ac:dyDescent="0.2">
      <c r="C89" s="42" t="s">
        <v>810</v>
      </c>
      <c r="D89" s="152" t="s">
        <v>811</v>
      </c>
      <c r="E89" s="152" t="s">
        <v>812</v>
      </c>
    </row>
    <row r="90" spans="3:5" ht="12" customHeight="1" x14ac:dyDescent="0.2">
      <c r="C90" s="42" t="s">
        <v>813</v>
      </c>
      <c r="D90" s="152" t="s">
        <v>814</v>
      </c>
      <c r="E90" s="152" t="s">
        <v>815</v>
      </c>
    </row>
    <row r="91" spans="3:5" ht="12" customHeight="1" x14ac:dyDescent="0.2">
      <c r="C91" s="42" t="s">
        <v>816</v>
      </c>
      <c r="D91" s="152" t="s">
        <v>817</v>
      </c>
      <c r="E91" s="152" t="s">
        <v>818</v>
      </c>
    </row>
    <row r="92" spans="3:5" ht="12" customHeight="1" x14ac:dyDescent="0.2">
      <c r="C92" s="42" t="s">
        <v>819</v>
      </c>
      <c r="D92" s="152" t="s">
        <v>820</v>
      </c>
      <c r="E92" s="152" t="s">
        <v>821</v>
      </c>
    </row>
    <row r="93" spans="3:5" ht="12" customHeight="1" x14ac:dyDescent="0.2">
      <c r="C93" s="42" t="s">
        <v>822</v>
      </c>
      <c r="D93" s="152" t="s">
        <v>823</v>
      </c>
      <c r="E93" s="152" t="s">
        <v>824</v>
      </c>
    </row>
    <row r="94" spans="3:5" ht="12" customHeight="1" x14ac:dyDescent="0.2">
      <c r="C94" s="42" t="s">
        <v>825</v>
      </c>
      <c r="D94" s="152" t="s">
        <v>826</v>
      </c>
      <c r="E94" s="152" t="s">
        <v>815</v>
      </c>
    </row>
    <row r="95" spans="3:5" ht="12" customHeight="1" x14ac:dyDescent="0.2">
      <c r="C95" s="42" t="s">
        <v>827</v>
      </c>
      <c r="D95" s="152" t="s">
        <v>828</v>
      </c>
      <c r="E95" s="152" t="s">
        <v>829</v>
      </c>
    </row>
    <row r="96" spans="3:5" ht="12" customHeight="1" x14ac:dyDescent="0.2">
      <c r="C96" s="42" t="s">
        <v>830</v>
      </c>
      <c r="D96" s="152" t="s">
        <v>831</v>
      </c>
      <c r="E96" s="152" t="s">
        <v>832</v>
      </c>
    </row>
    <row r="97" spans="3:5" ht="12" customHeight="1" x14ac:dyDescent="0.2">
      <c r="C97" s="42" t="s">
        <v>833</v>
      </c>
      <c r="D97" s="152" t="s">
        <v>834</v>
      </c>
      <c r="E97" s="152" t="s">
        <v>835</v>
      </c>
    </row>
    <row r="98" spans="3:5" ht="12" customHeight="1" x14ac:dyDescent="0.2">
      <c r="C98" s="42" t="s">
        <v>836</v>
      </c>
      <c r="D98" s="152" t="s">
        <v>837</v>
      </c>
      <c r="E98" s="152" t="s">
        <v>838</v>
      </c>
    </row>
    <row r="99" spans="3:5" ht="12" customHeight="1" x14ac:dyDescent="0.2">
      <c r="C99" s="42" t="s">
        <v>839</v>
      </c>
      <c r="D99" s="152" t="s">
        <v>840</v>
      </c>
      <c r="E99" s="152" t="s">
        <v>841</v>
      </c>
    </row>
    <row r="100" spans="3:5" ht="12" customHeight="1" x14ac:dyDescent="0.2">
      <c r="C100" s="42" t="s">
        <v>842</v>
      </c>
      <c r="D100" s="152" t="s">
        <v>843</v>
      </c>
      <c r="E100" s="152" t="s">
        <v>844</v>
      </c>
    </row>
    <row r="101" spans="3:5" ht="12" customHeight="1" x14ac:dyDescent="0.2">
      <c r="C101" s="42" t="s">
        <v>845</v>
      </c>
      <c r="D101" s="152" t="s">
        <v>846</v>
      </c>
      <c r="E101" s="152" t="s">
        <v>847</v>
      </c>
    </row>
    <row r="102" spans="3:5" ht="12" customHeight="1" x14ac:dyDescent="0.2">
      <c r="C102" s="42" t="s">
        <v>848</v>
      </c>
      <c r="D102" s="152" t="s">
        <v>849</v>
      </c>
      <c r="E102" s="152" t="s">
        <v>850</v>
      </c>
    </row>
    <row r="103" spans="3:5" ht="12" customHeight="1" x14ac:dyDescent="0.2">
      <c r="C103" s="42" t="s">
        <v>851</v>
      </c>
      <c r="D103" s="152" t="s">
        <v>852</v>
      </c>
      <c r="E103" s="152" t="s">
        <v>853</v>
      </c>
    </row>
    <row r="104" spans="3:5" ht="12" customHeight="1" x14ac:dyDescent="0.2">
      <c r="C104" s="42" t="s">
        <v>854</v>
      </c>
      <c r="D104" s="152" t="s">
        <v>855</v>
      </c>
      <c r="E104" s="152" t="s">
        <v>856</v>
      </c>
    </row>
    <row r="105" spans="3:5" ht="12" customHeight="1" x14ac:dyDescent="0.2">
      <c r="C105" s="42" t="s">
        <v>857</v>
      </c>
      <c r="D105" s="152" t="s">
        <v>858</v>
      </c>
      <c r="E105" s="152" t="s">
        <v>859</v>
      </c>
    </row>
    <row r="106" spans="3:5" ht="12" customHeight="1" x14ac:dyDescent="0.2">
      <c r="C106" s="42" t="s">
        <v>860</v>
      </c>
      <c r="D106" s="152" t="s">
        <v>861</v>
      </c>
      <c r="E106" s="152" t="s">
        <v>862</v>
      </c>
    </row>
    <row r="107" spans="3:5" ht="12" customHeight="1" x14ac:dyDescent="0.2">
      <c r="C107" s="42" t="s">
        <v>863</v>
      </c>
      <c r="D107" s="152" t="s">
        <v>864</v>
      </c>
      <c r="E107" s="152" t="s">
        <v>847</v>
      </c>
    </row>
    <row r="108" spans="3:5" ht="12" customHeight="1" x14ac:dyDescent="0.2">
      <c r="C108" s="42" t="s">
        <v>865</v>
      </c>
      <c r="D108" s="152" t="s">
        <v>56</v>
      </c>
      <c r="E108" s="152" t="s">
        <v>56</v>
      </c>
    </row>
    <row r="109" spans="3:5" ht="12" customHeight="1" x14ac:dyDescent="0.2">
      <c r="C109" s="42" t="s">
        <v>866</v>
      </c>
      <c r="D109" s="152" t="s">
        <v>56</v>
      </c>
      <c r="E109" s="152" t="s">
        <v>56</v>
      </c>
    </row>
    <row r="110" spans="3:5" ht="12" customHeight="1" x14ac:dyDescent="0.2">
      <c r="C110" s="42" t="s">
        <v>867</v>
      </c>
      <c r="D110" s="152" t="s">
        <v>56</v>
      </c>
      <c r="E110" s="152" t="s">
        <v>56</v>
      </c>
    </row>
    <row r="111" spans="3:5" ht="12" customHeight="1" x14ac:dyDescent="0.2">
      <c r="C111" s="42" t="s">
        <v>868</v>
      </c>
      <c r="D111" s="152" t="s">
        <v>56</v>
      </c>
      <c r="E111" s="152" t="s">
        <v>56</v>
      </c>
    </row>
    <row r="112" spans="3:5" ht="12" customHeight="1" x14ac:dyDescent="0.2">
      <c r="C112" s="42" t="s">
        <v>869</v>
      </c>
      <c r="D112" s="152" t="s">
        <v>56</v>
      </c>
      <c r="E112" s="152" t="s">
        <v>56</v>
      </c>
    </row>
    <row r="113" spans="3:5" x14ac:dyDescent="0.2">
      <c r="C113" s="42" t="s">
        <v>870</v>
      </c>
      <c r="D113" s="152" t="s">
        <v>56</v>
      </c>
      <c r="E113" s="152" t="s">
        <v>56</v>
      </c>
    </row>
    <row r="114" spans="3:5" x14ac:dyDescent="0.2">
      <c r="C114" s="42" t="s">
        <v>871</v>
      </c>
      <c r="D114" s="152" t="s">
        <v>56</v>
      </c>
      <c r="E114" s="152" t="s">
        <v>56</v>
      </c>
    </row>
    <row r="115" spans="3:5" x14ac:dyDescent="0.2">
      <c r="C115" s="42" t="s">
        <v>872</v>
      </c>
      <c r="D115" s="152" t="s">
        <v>56</v>
      </c>
      <c r="E115" s="152" t="s">
        <v>56</v>
      </c>
    </row>
    <row r="116" spans="3:5" x14ac:dyDescent="0.2">
      <c r="C116" s="42" t="s">
        <v>873</v>
      </c>
      <c r="D116" s="152" t="s">
        <v>56</v>
      </c>
      <c r="E116" s="152" t="s">
        <v>56</v>
      </c>
    </row>
    <row r="117" spans="3:5" x14ac:dyDescent="0.2">
      <c r="C117" s="42" t="s">
        <v>874</v>
      </c>
      <c r="D117" s="152" t="s">
        <v>56</v>
      </c>
      <c r="E117" s="152" t="s">
        <v>56</v>
      </c>
    </row>
    <row r="118" spans="3:5" x14ac:dyDescent="0.2">
      <c r="C118" s="42" t="s">
        <v>875</v>
      </c>
      <c r="D118" s="152" t="s">
        <v>56</v>
      </c>
      <c r="E118" s="152" t="s">
        <v>56</v>
      </c>
    </row>
    <row r="119" spans="3:5" x14ac:dyDescent="0.2">
      <c r="C119" s="42" t="s">
        <v>876</v>
      </c>
      <c r="D119" s="152" t="s">
        <v>56</v>
      </c>
      <c r="E119" s="152" t="s">
        <v>56</v>
      </c>
    </row>
    <row r="120" spans="3:5" x14ac:dyDescent="0.2">
      <c r="C120" s="42" t="s">
        <v>877</v>
      </c>
      <c r="D120" s="152" t="s">
        <v>56</v>
      </c>
      <c r="E120" s="152" t="s">
        <v>56</v>
      </c>
    </row>
    <row r="121" spans="3:5" x14ac:dyDescent="0.2">
      <c r="C121" s="42" t="s">
        <v>878</v>
      </c>
      <c r="D121" s="152" t="s">
        <v>56</v>
      </c>
      <c r="E121" s="152" t="s">
        <v>56</v>
      </c>
    </row>
    <row r="122" spans="3:5" x14ac:dyDescent="0.2">
      <c r="C122" s="42" t="s">
        <v>879</v>
      </c>
      <c r="D122" s="152" t="s">
        <v>56</v>
      </c>
      <c r="E122" s="152" t="s">
        <v>56</v>
      </c>
    </row>
    <row r="123" spans="3:5" x14ac:dyDescent="0.2">
      <c r="C123" s="42" t="s">
        <v>880</v>
      </c>
      <c r="D123" s="152" t="s">
        <v>56</v>
      </c>
      <c r="E123" s="152" t="s">
        <v>56</v>
      </c>
    </row>
    <row r="124" spans="3:5" x14ac:dyDescent="0.2">
      <c r="C124" s="42" t="s">
        <v>881</v>
      </c>
      <c r="D124" s="152" t="s">
        <v>56</v>
      </c>
      <c r="E124" s="152" t="s">
        <v>56</v>
      </c>
    </row>
    <row r="125" spans="3:5" x14ac:dyDescent="0.2">
      <c r="C125" s="42" t="s">
        <v>882</v>
      </c>
      <c r="D125" s="152" t="s">
        <v>56</v>
      </c>
      <c r="E125" s="152" t="s">
        <v>56</v>
      </c>
    </row>
    <row r="126" spans="3:5" x14ac:dyDescent="0.2">
      <c r="C126" s="42" t="s">
        <v>883</v>
      </c>
      <c r="D126" s="152" t="s">
        <v>56</v>
      </c>
      <c r="E126" s="152" t="s">
        <v>56</v>
      </c>
    </row>
    <row r="127" spans="3:5" x14ac:dyDescent="0.2">
      <c r="C127" s="42" t="s">
        <v>884</v>
      </c>
      <c r="D127" s="152" t="s">
        <v>56</v>
      </c>
      <c r="E127" s="152" t="s">
        <v>56</v>
      </c>
    </row>
  </sheetData>
  <mergeCells count="86">
    <mergeCell ref="A1:BJ1"/>
    <mergeCell ref="BK1:BV1"/>
    <mergeCell ref="A2:BJ2"/>
    <mergeCell ref="BK2:BV2"/>
    <mergeCell ref="A5:B6"/>
    <mergeCell ref="C5:C6"/>
    <mergeCell ref="D5:H5"/>
    <mergeCell ref="I5:N5"/>
    <mergeCell ref="O5:S5"/>
    <mergeCell ref="T5:X5"/>
    <mergeCell ref="L10:M10"/>
    <mergeCell ref="BC5:BG5"/>
    <mergeCell ref="BK5:BL5"/>
    <mergeCell ref="BP5:BQ5"/>
    <mergeCell ref="BR5:BS5"/>
    <mergeCell ref="Y5:AC5"/>
    <mergeCell ref="AD5:AH5"/>
    <mergeCell ref="AI5:AM5"/>
    <mergeCell ref="AN5:AR5"/>
    <mergeCell ref="AS5:AW5"/>
    <mergeCell ref="AX5:BB5"/>
    <mergeCell ref="BV5:BV6"/>
    <mergeCell ref="L6:M6"/>
    <mergeCell ref="L7:M7"/>
    <mergeCell ref="L8:M8"/>
    <mergeCell ref="L9:M9"/>
    <mergeCell ref="BT5:BT6"/>
    <mergeCell ref="BU5:BU6"/>
    <mergeCell ref="L22:M22"/>
    <mergeCell ref="L11:M11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L34:M34"/>
    <mergeCell ref="L23:M23"/>
    <mergeCell ref="L24:M24"/>
    <mergeCell ref="L25:M25"/>
    <mergeCell ref="L26:M26"/>
    <mergeCell ref="L27:M27"/>
    <mergeCell ref="L28:M28"/>
    <mergeCell ref="L29:M29"/>
    <mergeCell ref="L30:M30"/>
    <mergeCell ref="L31:M31"/>
    <mergeCell ref="L32:M32"/>
    <mergeCell ref="L33:M33"/>
    <mergeCell ref="L46:M46"/>
    <mergeCell ref="L35:M35"/>
    <mergeCell ref="L36:M36"/>
    <mergeCell ref="L37:M37"/>
    <mergeCell ref="L38:M38"/>
    <mergeCell ref="L39:M39"/>
    <mergeCell ref="L40:M40"/>
    <mergeCell ref="L41:M41"/>
    <mergeCell ref="L42:M42"/>
    <mergeCell ref="L43:M43"/>
    <mergeCell ref="L44:M44"/>
    <mergeCell ref="L45:M45"/>
    <mergeCell ref="L58:M58"/>
    <mergeCell ref="L47:M47"/>
    <mergeCell ref="L48:M48"/>
    <mergeCell ref="L49:M49"/>
    <mergeCell ref="L50:M50"/>
    <mergeCell ref="L51:M51"/>
    <mergeCell ref="L52:M52"/>
    <mergeCell ref="L53:M53"/>
    <mergeCell ref="L54:M54"/>
    <mergeCell ref="L55:M55"/>
    <mergeCell ref="L56:M56"/>
    <mergeCell ref="L57:M57"/>
    <mergeCell ref="A66:BJ66"/>
    <mergeCell ref="BK66:BV66"/>
    <mergeCell ref="C73:C74"/>
    <mergeCell ref="D73:E73"/>
    <mergeCell ref="L59:M59"/>
    <mergeCell ref="L60:M60"/>
    <mergeCell ref="L61:M61"/>
    <mergeCell ref="L62:M62"/>
    <mergeCell ref="L63:M63"/>
    <mergeCell ref="L64:M6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C1BA3-ACD6-4F0C-80CA-ACAEE50A8884}">
  <dimension ref="A1:M59"/>
  <sheetViews>
    <sheetView workbookViewId="0">
      <selection activeCell="I1" sqref="I1"/>
    </sheetView>
  </sheetViews>
  <sheetFormatPr defaultRowHeight="15" x14ac:dyDescent="0.25"/>
  <cols>
    <col min="1" max="1" width="17.5703125" customWidth="1"/>
    <col min="2" max="2" width="21.42578125" customWidth="1"/>
    <col min="3" max="3" width="23.7109375" customWidth="1"/>
    <col min="4" max="4" width="27.5703125" customWidth="1"/>
    <col min="5" max="5" width="20.140625" customWidth="1"/>
  </cols>
  <sheetData>
    <row r="1" spans="1:13" ht="15.75" x14ac:dyDescent="0.25">
      <c r="A1" s="39" t="s">
        <v>42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2" spans="1:13" x14ac:dyDescent="0.25">
      <c r="A2" s="221" t="s">
        <v>1086</v>
      </c>
      <c r="B2" s="222"/>
      <c r="C2" s="222"/>
      <c r="D2" s="222"/>
      <c r="E2" s="222"/>
      <c r="F2" s="222"/>
      <c r="G2" s="222"/>
      <c r="H2" s="222"/>
      <c r="I2" s="40"/>
      <c r="J2" s="40"/>
      <c r="K2" s="40"/>
      <c r="L2" s="40"/>
      <c r="M2" s="40"/>
    </row>
    <row r="3" spans="1:13" x14ac:dyDescent="0.25">
      <c r="A3" s="223" t="s">
        <v>1087</v>
      </c>
      <c r="B3" s="222"/>
      <c r="C3" s="222"/>
      <c r="D3" s="222"/>
      <c r="E3" s="222"/>
      <c r="F3" s="222"/>
      <c r="G3" s="222"/>
      <c r="H3" s="222"/>
      <c r="I3" s="40"/>
      <c r="J3" s="40"/>
      <c r="K3" s="40"/>
      <c r="L3" s="40"/>
      <c r="M3" s="40"/>
    </row>
    <row r="4" spans="1:13" x14ac:dyDescent="0.25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</row>
    <row r="5" spans="1:13" x14ac:dyDescent="0.25">
      <c r="A5" s="42" t="s">
        <v>45</v>
      </c>
      <c r="B5" s="42" t="s">
        <v>1088</v>
      </c>
      <c r="C5" s="42" t="s">
        <v>47</v>
      </c>
      <c r="D5" s="42" t="s">
        <v>1089</v>
      </c>
      <c r="E5" s="42" t="s">
        <v>49</v>
      </c>
      <c r="F5" s="42" t="s">
        <v>1090</v>
      </c>
      <c r="G5" s="40"/>
      <c r="H5" s="40"/>
      <c r="I5" s="40"/>
      <c r="J5" s="40"/>
      <c r="K5" s="40"/>
      <c r="L5" s="40"/>
      <c r="M5" s="40"/>
    </row>
    <row r="6" spans="1:13" x14ac:dyDescent="0.25">
      <c r="A6" s="42" t="s">
        <v>51</v>
      </c>
      <c r="B6" s="42" t="s">
        <v>770</v>
      </c>
      <c r="C6" s="43" t="s">
        <v>1091</v>
      </c>
      <c r="D6" s="43" t="s">
        <v>1092</v>
      </c>
      <c r="E6" s="42" t="s">
        <v>55</v>
      </c>
      <c r="F6" s="42" t="s">
        <v>1093</v>
      </c>
      <c r="G6" s="42" t="s">
        <v>57</v>
      </c>
      <c r="H6" s="42" t="s">
        <v>1094</v>
      </c>
      <c r="I6" s="42" t="s">
        <v>58</v>
      </c>
      <c r="J6" s="42" t="s">
        <v>1095</v>
      </c>
      <c r="K6" s="40"/>
      <c r="L6" s="40"/>
      <c r="M6" s="40"/>
    </row>
    <row r="7" spans="1:13" x14ac:dyDescent="0.25">
      <c r="A7" s="42" t="s">
        <v>59</v>
      </c>
      <c r="B7" s="42" t="s">
        <v>1096</v>
      </c>
      <c r="C7" s="42" t="s">
        <v>61</v>
      </c>
      <c r="D7" s="42" t="s">
        <v>56</v>
      </c>
      <c r="E7" s="42" t="s">
        <v>62</v>
      </c>
      <c r="F7" s="42" t="s">
        <v>1097</v>
      </c>
      <c r="G7" s="42" t="s">
        <v>63</v>
      </c>
      <c r="H7" s="42" t="s">
        <v>1093</v>
      </c>
      <c r="I7" s="42" t="s">
        <v>64</v>
      </c>
      <c r="J7" s="42" t="s">
        <v>1098</v>
      </c>
      <c r="K7" s="40"/>
      <c r="L7" s="40"/>
      <c r="M7" s="40"/>
    </row>
    <row r="8" spans="1:13" x14ac:dyDescent="0.25">
      <c r="A8" s="42" t="s">
        <v>65</v>
      </c>
      <c r="B8" s="42" t="s">
        <v>66</v>
      </c>
      <c r="C8" s="42" t="s">
        <v>67</v>
      </c>
      <c r="D8" s="42" t="s">
        <v>1099</v>
      </c>
      <c r="E8" s="42" t="s">
        <v>69</v>
      </c>
      <c r="F8" s="42" t="s">
        <v>1100</v>
      </c>
      <c r="G8" s="42" t="s">
        <v>70</v>
      </c>
      <c r="H8" s="42" t="s">
        <v>1101</v>
      </c>
      <c r="I8" s="42" t="s">
        <v>1102</v>
      </c>
      <c r="J8" s="42" t="s">
        <v>1103</v>
      </c>
      <c r="K8" s="40"/>
      <c r="L8" s="40"/>
      <c r="M8" s="40"/>
    </row>
    <row r="9" spans="1:13" x14ac:dyDescent="0.25">
      <c r="A9" s="42" t="s">
        <v>73</v>
      </c>
      <c r="B9" s="42" t="s">
        <v>1096</v>
      </c>
      <c r="C9" s="42" t="s">
        <v>75</v>
      </c>
      <c r="D9" s="42" t="s">
        <v>1104</v>
      </c>
      <c r="E9" s="42" t="s">
        <v>76</v>
      </c>
      <c r="F9" s="42" t="s">
        <v>1105</v>
      </c>
      <c r="G9" s="42" t="s">
        <v>77</v>
      </c>
      <c r="H9" s="42" t="s">
        <v>1106</v>
      </c>
      <c r="I9" s="42" t="s">
        <v>78</v>
      </c>
      <c r="J9" s="42" t="s">
        <v>1107</v>
      </c>
      <c r="K9" s="40"/>
      <c r="L9" s="40"/>
      <c r="M9" s="40"/>
    </row>
    <row r="10" spans="1:13" x14ac:dyDescent="0.25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</row>
    <row r="11" spans="1:13" x14ac:dyDescent="0.25">
      <c r="A11" s="43" t="s">
        <v>56</v>
      </c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</row>
    <row r="12" spans="1:13" x14ac:dyDescent="0.25">
      <c r="A12" s="43" t="s">
        <v>80</v>
      </c>
      <c r="B12" s="43" t="s">
        <v>1108</v>
      </c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</row>
    <row r="13" spans="1:13" x14ac:dyDescent="0.25">
      <c r="A13" s="43" t="s">
        <v>82</v>
      </c>
      <c r="B13" s="43" t="s">
        <v>83</v>
      </c>
      <c r="C13" s="43" t="str">
        <f>_xll.RDP.HistoricalPricing($B$19:$E$19,"VALUE"," START:30-Jun-2013 END:31-Mar-2023 INTERVAL:P3M SOURCE:RFV",,"TSREPEAT:NO RH:TimeStamp",$A$20)</f>
        <v>Updated at 17:14:52</v>
      </c>
      <c r="D13" s="40"/>
      <c r="E13" s="40"/>
      <c r="F13" s="40"/>
      <c r="G13" s="40"/>
      <c r="H13" s="40"/>
      <c r="I13" s="40"/>
      <c r="J13" s="40"/>
      <c r="K13" s="40"/>
      <c r="L13" s="40"/>
      <c r="M13" s="40"/>
    </row>
    <row r="14" spans="1:13" x14ac:dyDescent="0.25">
      <c r="A14" s="43" t="s">
        <v>84</v>
      </c>
      <c r="B14" s="43" t="s">
        <v>1109</v>
      </c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</row>
    <row r="15" spans="1:13" x14ac:dyDescent="0.25">
      <c r="A15" s="43" t="s">
        <v>56</v>
      </c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</row>
    <row r="16" spans="1:13" x14ac:dyDescent="0.25">
      <c r="A16" s="43" t="s">
        <v>56</v>
      </c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</row>
    <row r="17" spans="1:13" x14ac:dyDescent="0.25">
      <c r="A17" s="197" t="s">
        <v>33</v>
      </c>
      <c r="B17" s="199" t="s">
        <v>86</v>
      </c>
      <c r="C17" s="198" t="s">
        <v>87</v>
      </c>
      <c r="D17" s="197" t="s">
        <v>87</v>
      </c>
      <c r="E17" s="197" t="s">
        <v>87</v>
      </c>
      <c r="F17" s="40"/>
      <c r="G17" s="40"/>
      <c r="H17" s="40"/>
      <c r="I17" s="40"/>
      <c r="J17" s="40"/>
      <c r="K17" s="40"/>
      <c r="L17" s="40"/>
      <c r="M17" s="40"/>
    </row>
    <row r="18" spans="1:13" x14ac:dyDescent="0.25">
      <c r="A18" s="197" t="s">
        <v>33</v>
      </c>
      <c r="B18" s="199" t="s">
        <v>86</v>
      </c>
      <c r="C18" s="44" t="s">
        <v>88</v>
      </c>
      <c r="D18" s="45" t="s">
        <v>27</v>
      </c>
      <c r="E18" s="45" t="s">
        <v>23</v>
      </c>
      <c r="F18" s="40"/>
      <c r="G18" s="196" t="s">
        <v>33</v>
      </c>
      <c r="H18" s="198" t="s">
        <v>94</v>
      </c>
      <c r="I18" s="199" t="s">
        <v>94</v>
      </c>
      <c r="J18" s="40"/>
      <c r="K18" s="40"/>
      <c r="L18" s="40"/>
      <c r="M18" s="40"/>
    </row>
    <row r="19" spans="1:13" x14ac:dyDescent="0.25">
      <c r="A19" s="197" t="s">
        <v>33</v>
      </c>
      <c r="B19" s="46" t="s">
        <v>1110</v>
      </c>
      <c r="C19" s="44" t="s">
        <v>1111</v>
      </c>
      <c r="D19" s="45" t="s">
        <v>1112</v>
      </c>
      <c r="E19" s="45" t="s">
        <v>1113</v>
      </c>
      <c r="F19" s="40"/>
      <c r="G19" s="197" t="s">
        <v>33</v>
      </c>
      <c r="H19" s="45" t="s">
        <v>95</v>
      </c>
      <c r="I19" s="46" t="s">
        <v>96</v>
      </c>
      <c r="J19" s="40"/>
      <c r="K19" s="40"/>
      <c r="L19" s="40"/>
      <c r="M19" s="40"/>
    </row>
    <row r="20" spans="1:13" x14ac:dyDescent="0.25">
      <c r="A20" s="47">
        <v>45016</v>
      </c>
      <c r="B20" s="154">
        <v>-219300000000</v>
      </c>
      <c r="C20" s="154">
        <v>-217500000000</v>
      </c>
      <c r="D20" s="154">
        <v>-230000000000</v>
      </c>
      <c r="E20" s="154">
        <v>-192500000000</v>
      </c>
      <c r="F20" s="40"/>
      <c r="G20" s="42" t="s">
        <v>770</v>
      </c>
      <c r="H20" s="152" t="s">
        <v>1114</v>
      </c>
      <c r="I20" s="152" t="s">
        <v>1115</v>
      </c>
      <c r="J20" s="40"/>
      <c r="K20" s="40"/>
      <c r="L20" s="40"/>
      <c r="M20" s="40"/>
    </row>
    <row r="21" spans="1:13" x14ac:dyDescent="0.25">
      <c r="A21" s="47">
        <v>44926</v>
      </c>
      <c r="B21" s="154">
        <v>-206800000000</v>
      </c>
      <c r="C21" s="154">
        <v>-213200000000</v>
      </c>
      <c r="D21" s="154">
        <v>-250000000000</v>
      </c>
      <c r="E21" s="154">
        <v>-186000000000</v>
      </c>
      <c r="F21" s="40"/>
      <c r="G21" s="42" t="s">
        <v>773</v>
      </c>
      <c r="H21" s="152" t="s">
        <v>1116</v>
      </c>
      <c r="I21" s="152" t="s">
        <v>1117</v>
      </c>
      <c r="J21" s="40"/>
      <c r="K21" s="40"/>
      <c r="L21" s="40"/>
      <c r="M21" s="40"/>
    </row>
    <row r="22" spans="1:13" x14ac:dyDescent="0.25">
      <c r="A22" s="47">
        <v>44834</v>
      </c>
      <c r="B22" s="154">
        <v>-217100000000</v>
      </c>
      <c r="C22" s="154">
        <v>-222000000000</v>
      </c>
      <c r="D22" s="154">
        <v>-267000000000</v>
      </c>
      <c r="E22" s="154">
        <v>-201900000000</v>
      </c>
      <c r="F22" s="40"/>
      <c r="G22" s="42" t="s">
        <v>776</v>
      </c>
      <c r="H22" s="152" t="s">
        <v>1118</v>
      </c>
      <c r="I22" s="152" t="s">
        <v>1119</v>
      </c>
      <c r="J22" s="40"/>
      <c r="K22" s="40"/>
      <c r="L22" s="40"/>
      <c r="M22" s="40"/>
    </row>
    <row r="23" spans="1:13" x14ac:dyDescent="0.25">
      <c r="A23" s="47">
        <v>44742</v>
      </c>
      <c r="B23" s="154">
        <v>-251100000000</v>
      </c>
      <c r="C23" s="154">
        <v>-260600000000</v>
      </c>
      <c r="D23" s="154">
        <v>-270000000000</v>
      </c>
      <c r="E23" s="154">
        <v>-251000000000</v>
      </c>
      <c r="F23" s="40"/>
      <c r="G23" s="42" t="s">
        <v>778</v>
      </c>
      <c r="H23" s="152" t="s">
        <v>1120</v>
      </c>
      <c r="I23" s="152" t="s">
        <v>1121</v>
      </c>
      <c r="J23" s="40"/>
      <c r="K23" s="40"/>
      <c r="L23" s="40"/>
      <c r="M23" s="40"/>
    </row>
    <row r="24" spans="1:13" x14ac:dyDescent="0.25">
      <c r="A24" s="47">
        <v>44651</v>
      </c>
      <c r="B24" s="154">
        <v>-291400000000</v>
      </c>
      <c r="C24" s="154">
        <v>-273500000000</v>
      </c>
      <c r="D24" s="154">
        <v>-290000000000</v>
      </c>
      <c r="E24" s="154">
        <v>-222000000000</v>
      </c>
      <c r="F24" s="40"/>
      <c r="G24" s="42" t="s">
        <v>781</v>
      </c>
      <c r="H24" s="152" t="s">
        <v>1122</v>
      </c>
      <c r="I24" s="152" t="s">
        <v>1123</v>
      </c>
      <c r="J24" s="40"/>
      <c r="K24" s="40"/>
      <c r="L24" s="40"/>
      <c r="M24" s="40"/>
    </row>
    <row r="25" spans="1:13" x14ac:dyDescent="0.25">
      <c r="A25" s="47">
        <v>44561</v>
      </c>
      <c r="B25" s="154">
        <v>-217900000000</v>
      </c>
      <c r="C25" s="154">
        <v>-218000000000</v>
      </c>
      <c r="D25" s="154">
        <v>-222000000000</v>
      </c>
      <c r="E25" s="154">
        <v>-213500000000</v>
      </c>
      <c r="F25" s="40"/>
      <c r="G25" s="42" t="s">
        <v>784</v>
      </c>
      <c r="H25" s="152" t="s">
        <v>1124</v>
      </c>
      <c r="I25" s="152" t="s">
        <v>1125</v>
      </c>
      <c r="J25" s="40"/>
      <c r="K25" s="40"/>
      <c r="L25" s="40"/>
      <c r="M25" s="40"/>
    </row>
    <row r="26" spans="1:13" x14ac:dyDescent="0.25">
      <c r="A26" s="47">
        <v>44469</v>
      </c>
      <c r="B26" s="154">
        <v>-214800000000</v>
      </c>
      <c r="C26" s="154">
        <v>-205000000000</v>
      </c>
      <c r="D26" s="154">
        <v>-208500000000</v>
      </c>
      <c r="E26" s="154">
        <v>-193700000000</v>
      </c>
      <c r="F26" s="40"/>
      <c r="G26" s="42" t="s">
        <v>787</v>
      </c>
      <c r="H26" s="152" t="s">
        <v>1126</v>
      </c>
      <c r="I26" s="152" t="s">
        <v>1127</v>
      </c>
      <c r="J26" s="40"/>
      <c r="K26" s="40"/>
      <c r="L26" s="40"/>
      <c r="M26" s="40"/>
    </row>
    <row r="27" spans="1:13" x14ac:dyDescent="0.25">
      <c r="A27" s="47">
        <v>44377</v>
      </c>
      <c r="B27" s="154">
        <v>-190300000000</v>
      </c>
      <c r="C27" s="154">
        <v>-191000000000</v>
      </c>
      <c r="D27" s="154">
        <v>-204600000000</v>
      </c>
      <c r="E27" s="154">
        <v>-185000000000</v>
      </c>
      <c r="F27" s="40"/>
      <c r="G27" s="42" t="s">
        <v>790</v>
      </c>
      <c r="H27" s="152" t="s">
        <v>1128</v>
      </c>
      <c r="I27" s="152" t="s">
        <v>1129</v>
      </c>
      <c r="J27" s="40"/>
      <c r="K27" s="40"/>
      <c r="L27" s="40"/>
      <c r="M27" s="40"/>
    </row>
    <row r="28" spans="1:13" x14ac:dyDescent="0.25">
      <c r="A28" s="47">
        <v>44286</v>
      </c>
      <c r="B28" s="154">
        <v>-195700000000</v>
      </c>
      <c r="C28" s="154">
        <v>-206800000000</v>
      </c>
      <c r="D28" s="154">
        <v>-210000000000</v>
      </c>
      <c r="E28" s="154">
        <v>-197500000000</v>
      </c>
      <c r="F28" s="40"/>
      <c r="G28" s="42" t="s">
        <v>793</v>
      </c>
      <c r="H28" s="152" t="s">
        <v>1130</v>
      </c>
      <c r="I28" s="152" t="s">
        <v>1131</v>
      </c>
      <c r="J28" s="40"/>
      <c r="K28" s="40"/>
      <c r="L28" s="40"/>
      <c r="M28" s="40"/>
    </row>
    <row r="29" spans="1:13" x14ac:dyDescent="0.25">
      <c r="A29" s="47">
        <v>44196</v>
      </c>
      <c r="B29" s="154">
        <v>-188500000000</v>
      </c>
      <c r="C29" s="154">
        <v>-189900000000</v>
      </c>
      <c r="D29" s="154">
        <v>-225000000000</v>
      </c>
      <c r="E29" s="154">
        <v>-180000000000</v>
      </c>
      <c r="F29" s="40"/>
      <c r="G29" s="42" t="s">
        <v>796</v>
      </c>
      <c r="H29" s="152" t="s">
        <v>1132</v>
      </c>
      <c r="I29" s="152" t="s">
        <v>1133</v>
      </c>
      <c r="J29" s="40"/>
      <c r="K29" s="40"/>
      <c r="L29" s="40"/>
      <c r="M29" s="40"/>
    </row>
    <row r="30" spans="1:13" x14ac:dyDescent="0.25">
      <c r="A30" s="47">
        <v>44104</v>
      </c>
      <c r="B30" s="154">
        <v>-178500000000</v>
      </c>
      <c r="C30" s="154">
        <v>-189000000000</v>
      </c>
      <c r="D30" s="154">
        <v>-199900000000</v>
      </c>
      <c r="E30" s="154">
        <v>-170000000000</v>
      </c>
      <c r="F30" s="40"/>
      <c r="G30" s="42" t="s">
        <v>799</v>
      </c>
      <c r="H30" s="152" t="s">
        <v>1134</v>
      </c>
      <c r="I30" s="152" t="s">
        <v>1135</v>
      </c>
      <c r="J30" s="40"/>
      <c r="K30" s="40"/>
      <c r="L30" s="40"/>
      <c r="M30" s="40"/>
    </row>
    <row r="31" spans="1:13" x14ac:dyDescent="0.25">
      <c r="A31" s="47">
        <v>44012</v>
      </c>
      <c r="B31" s="154">
        <v>-170500000000</v>
      </c>
      <c r="C31" s="154">
        <v>-157900000000</v>
      </c>
      <c r="D31" s="154">
        <v>-177200000000</v>
      </c>
      <c r="E31" s="154">
        <v>-124800000000</v>
      </c>
      <c r="F31" s="40"/>
      <c r="G31" s="42" t="s">
        <v>801</v>
      </c>
      <c r="H31" s="152" t="s">
        <v>1136</v>
      </c>
      <c r="I31" s="152" t="s">
        <v>1137</v>
      </c>
      <c r="J31" s="40"/>
      <c r="K31" s="40"/>
      <c r="L31" s="40"/>
      <c r="M31" s="40"/>
    </row>
    <row r="32" spans="1:13" x14ac:dyDescent="0.25">
      <c r="A32" s="47">
        <v>43921</v>
      </c>
      <c r="B32" s="154">
        <v>-104200000000</v>
      </c>
      <c r="C32" s="154">
        <v>-103000000000</v>
      </c>
      <c r="D32" s="154">
        <v>-114000000000</v>
      </c>
      <c r="E32" s="154">
        <v>-88000000000</v>
      </c>
      <c r="F32" s="40"/>
      <c r="G32" s="42" t="s">
        <v>804</v>
      </c>
      <c r="H32" s="152" t="s">
        <v>1138</v>
      </c>
      <c r="I32" s="152" t="s">
        <v>1139</v>
      </c>
      <c r="J32" s="40"/>
      <c r="K32" s="40"/>
      <c r="L32" s="40"/>
      <c r="M32" s="40"/>
    </row>
    <row r="33" spans="1:13" x14ac:dyDescent="0.25">
      <c r="A33" s="47">
        <v>43830</v>
      </c>
      <c r="B33" s="154">
        <v>-109800000000</v>
      </c>
      <c r="C33" s="154">
        <v>-109000000000</v>
      </c>
      <c r="D33" s="154">
        <v>-120000000000</v>
      </c>
      <c r="E33" s="154">
        <v>-104600000000</v>
      </c>
      <c r="F33" s="40"/>
      <c r="G33" s="42" t="s">
        <v>807</v>
      </c>
      <c r="H33" s="152" t="s">
        <v>1140</v>
      </c>
      <c r="I33" s="152" t="s">
        <v>1141</v>
      </c>
      <c r="J33" s="40"/>
      <c r="K33" s="40"/>
      <c r="L33" s="40"/>
      <c r="M33" s="40"/>
    </row>
    <row r="34" spans="1:13" x14ac:dyDescent="0.25">
      <c r="A34" s="47">
        <v>43738</v>
      </c>
      <c r="B34" s="154">
        <v>-124100000000</v>
      </c>
      <c r="C34" s="154">
        <v>-122100000000</v>
      </c>
      <c r="D34" s="154">
        <v>-132600000000</v>
      </c>
      <c r="E34" s="154">
        <v>-115000000000</v>
      </c>
      <c r="F34" s="40"/>
      <c r="G34" s="42" t="s">
        <v>810</v>
      </c>
      <c r="H34" s="152" t="s">
        <v>1142</v>
      </c>
      <c r="I34" s="152" t="s">
        <v>1143</v>
      </c>
      <c r="J34" s="40"/>
      <c r="K34" s="40"/>
      <c r="L34" s="40"/>
      <c r="M34" s="40"/>
    </row>
    <row r="35" spans="1:13" x14ac:dyDescent="0.25">
      <c r="A35" s="47">
        <v>43646</v>
      </c>
      <c r="B35" s="154">
        <v>-128200000000</v>
      </c>
      <c r="C35" s="154">
        <v>-127800000000</v>
      </c>
      <c r="D35" s="154">
        <v>-139300000000</v>
      </c>
      <c r="E35" s="154">
        <v>-118000000000</v>
      </c>
      <c r="F35" s="40"/>
      <c r="G35" s="42" t="s">
        <v>813</v>
      </c>
      <c r="H35" s="152" t="s">
        <v>1144</v>
      </c>
      <c r="I35" s="152" t="s">
        <v>1145</v>
      </c>
      <c r="J35" s="40"/>
      <c r="K35" s="40"/>
      <c r="L35" s="40"/>
      <c r="M35" s="40"/>
    </row>
    <row r="36" spans="1:13" x14ac:dyDescent="0.25">
      <c r="A36" s="47">
        <v>43555</v>
      </c>
      <c r="B36" s="154">
        <v>-130400000000</v>
      </c>
      <c r="C36" s="154">
        <v>-125000000000</v>
      </c>
      <c r="D36" s="154">
        <v>-133500000000</v>
      </c>
      <c r="E36" s="154">
        <v>-117000000000</v>
      </c>
      <c r="F36" s="40"/>
      <c r="G36" s="42" t="s">
        <v>816</v>
      </c>
      <c r="H36" s="152" t="s">
        <v>1146</v>
      </c>
      <c r="I36" s="152" t="s">
        <v>1147</v>
      </c>
      <c r="J36" s="40"/>
      <c r="K36" s="40"/>
      <c r="L36" s="40"/>
      <c r="M36" s="40"/>
    </row>
    <row r="37" spans="1:13" x14ac:dyDescent="0.25">
      <c r="A37" s="47">
        <v>43465</v>
      </c>
      <c r="B37" s="154">
        <v>-134400000000</v>
      </c>
      <c r="C37" s="154">
        <v>-130000000000</v>
      </c>
      <c r="D37" s="154">
        <v>-136000000000</v>
      </c>
      <c r="E37" s="154">
        <v>-126500000000</v>
      </c>
      <c r="F37" s="40"/>
      <c r="G37" s="42" t="s">
        <v>819</v>
      </c>
      <c r="H37" s="152" t="s">
        <v>1148</v>
      </c>
      <c r="I37" s="152" t="s">
        <v>1149</v>
      </c>
      <c r="J37" s="40"/>
      <c r="K37" s="40"/>
      <c r="L37" s="40"/>
      <c r="M37" s="40"/>
    </row>
    <row r="38" spans="1:13" x14ac:dyDescent="0.25">
      <c r="A38" s="47">
        <v>43373</v>
      </c>
      <c r="B38" s="154">
        <v>-124800000000</v>
      </c>
      <c r="C38" s="154">
        <v>-124300000000</v>
      </c>
      <c r="D38" s="154">
        <v>-132600000000</v>
      </c>
      <c r="E38" s="154">
        <v>-105000000000</v>
      </c>
      <c r="F38" s="40"/>
      <c r="G38" s="42" t="s">
        <v>822</v>
      </c>
      <c r="H38" s="152" t="s">
        <v>1150</v>
      </c>
      <c r="I38" s="152" t="s">
        <v>1151</v>
      </c>
      <c r="J38" s="40"/>
      <c r="K38" s="40"/>
      <c r="L38" s="40"/>
      <c r="M38" s="40"/>
    </row>
    <row r="39" spans="1:13" x14ac:dyDescent="0.25">
      <c r="A39" s="47">
        <v>43281</v>
      </c>
      <c r="B39" s="154">
        <v>-101500000000</v>
      </c>
      <c r="C39" s="154">
        <v>-103500000000</v>
      </c>
      <c r="D39" s="154">
        <v>-135000000000</v>
      </c>
      <c r="E39" s="154">
        <v>-100000000000</v>
      </c>
      <c r="F39" s="40"/>
      <c r="G39" s="42" t="s">
        <v>825</v>
      </c>
      <c r="H39" s="152" t="s">
        <v>1152</v>
      </c>
      <c r="I39" s="152" t="s">
        <v>1153</v>
      </c>
      <c r="J39" s="40"/>
      <c r="K39" s="40"/>
      <c r="L39" s="40"/>
      <c r="M39" s="40"/>
    </row>
    <row r="40" spans="1:13" x14ac:dyDescent="0.25">
      <c r="A40" s="47">
        <v>43190</v>
      </c>
      <c r="B40" s="154">
        <v>-124100000000</v>
      </c>
      <c r="C40" s="154">
        <v>-129000000000</v>
      </c>
      <c r="D40" s="154">
        <v>-138000000000</v>
      </c>
      <c r="E40" s="154">
        <v>-115000000000</v>
      </c>
      <c r="F40" s="40"/>
      <c r="G40" s="42" t="s">
        <v>827</v>
      </c>
      <c r="H40" s="152" t="s">
        <v>1154</v>
      </c>
      <c r="I40" s="152" t="s">
        <v>1143</v>
      </c>
      <c r="J40" s="40"/>
      <c r="K40" s="40"/>
      <c r="L40" s="40"/>
      <c r="M40" s="40"/>
    </row>
    <row r="41" spans="1:13" x14ac:dyDescent="0.25">
      <c r="A41" s="47">
        <v>43100</v>
      </c>
      <c r="B41" s="154">
        <v>-128200000000</v>
      </c>
      <c r="C41" s="154">
        <v>-125000000000</v>
      </c>
      <c r="D41" s="154">
        <v>-133000000000</v>
      </c>
      <c r="E41" s="154">
        <v>-98000000000</v>
      </c>
      <c r="F41" s="40"/>
      <c r="G41" s="42" t="s">
        <v>830</v>
      </c>
      <c r="H41" s="152" t="s">
        <v>1155</v>
      </c>
      <c r="I41" s="152" t="s">
        <v>1145</v>
      </c>
      <c r="J41" s="40"/>
      <c r="K41" s="40"/>
      <c r="L41" s="40"/>
      <c r="M41" s="40"/>
    </row>
    <row r="42" spans="1:13" x14ac:dyDescent="0.25">
      <c r="A42" s="47">
        <v>43008</v>
      </c>
      <c r="B42" s="154">
        <v>-100600000000</v>
      </c>
      <c r="C42" s="154">
        <v>-116800000000</v>
      </c>
      <c r="D42" s="154">
        <v>-125000000000</v>
      </c>
      <c r="E42" s="154">
        <v>-112000000000</v>
      </c>
      <c r="F42" s="40"/>
      <c r="G42" s="42" t="s">
        <v>833</v>
      </c>
      <c r="H42" s="152" t="s">
        <v>1156</v>
      </c>
      <c r="I42" s="152" t="s">
        <v>1157</v>
      </c>
      <c r="J42" s="40"/>
      <c r="K42" s="40"/>
      <c r="L42" s="40"/>
      <c r="M42" s="40"/>
    </row>
    <row r="43" spans="1:13" x14ac:dyDescent="0.25">
      <c r="A43" s="47">
        <v>42916</v>
      </c>
      <c r="B43" s="154">
        <v>-123100000000</v>
      </c>
      <c r="C43" s="154">
        <v>-115100000000</v>
      </c>
      <c r="D43" s="154">
        <v>-120000000000</v>
      </c>
      <c r="E43" s="154">
        <v>-101500000000</v>
      </c>
      <c r="F43" s="40"/>
      <c r="G43" s="42" t="s">
        <v>836</v>
      </c>
      <c r="H43" s="152" t="s">
        <v>1158</v>
      </c>
      <c r="I43" s="152" t="s">
        <v>1159</v>
      </c>
      <c r="J43" s="40"/>
      <c r="K43" s="40"/>
      <c r="L43" s="40"/>
      <c r="M43" s="40"/>
    </row>
    <row r="44" spans="1:13" x14ac:dyDescent="0.25">
      <c r="A44" s="47">
        <v>42825</v>
      </c>
      <c r="B44" s="154">
        <v>-116800000000</v>
      </c>
      <c r="C44" s="154">
        <v>-123800000000</v>
      </c>
      <c r="D44" s="154">
        <v>-132900000000</v>
      </c>
      <c r="E44" s="154">
        <v>-111400000000</v>
      </c>
      <c r="F44" s="40"/>
      <c r="G44" s="42" t="s">
        <v>839</v>
      </c>
      <c r="H44" s="152" t="s">
        <v>1160</v>
      </c>
      <c r="I44" s="152" t="s">
        <v>1161</v>
      </c>
      <c r="J44" s="40"/>
      <c r="K44" s="40"/>
      <c r="L44" s="40"/>
      <c r="M44" s="40"/>
    </row>
    <row r="45" spans="1:13" x14ac:dyDescent="0.25">
      <c r="A45" s="47">
        <v>42735</v>
      </c>
      <c r="B45" s="154">
        <v>-112400000000</v>
      </c>
      <c r="C45" s="154">
        <v>-128200000000</v>
      </c>
      <c r="D45" s="154">
        <v>-130800000000</v>
      </c>
      <c r="E45" s="154">
        <v>-115000000000</v>
      </c>
      <c r="F45" s="40"/>
      <c r="G45" s="42" t="s">
        <v>842</v>
      </c>
      <c r="H45" s="152" t="s">
        <v>1162</v>
      </c>
      <c r="I45" s="152" t="s">
        <v>1163</v>
      </c>
      <c r="J45" s="40"/>
      <c r="K45" s="40"/>
      <c r="L45" s="40"/>
      <c r="M45" s="40"/>
    </row>
    <row r="46" spans="1:13" x14ac:dyDescent="0.25">
      <c r="A46" s="47">
        <v>42643</v>
      </c>
      <c r="B46" s="154">
        <v>-113000000000</v>
      </c>
      <c r="C46" s="154">
        <v>-111600000000</v>
      </c>
      <c r="D46" s="154">
        <v>-126000000000</v>
      </c>
      <c r="E46" s="154">
        <v>-108200000000</v>
      </c>
      <c r="F46" s="40"/>
      <c r="G46" s="42" t="s">
        <v>845</v>
      </c>
      <c r="H46" s="152" t="s">
        <v>297</v>
      </c>
      <c r="I46" s="152" t="s">
        <v>1164</v>
      </c>
      <c r="J46" s="40"/>
      <c r="K46" s="40"/>
      <c r="L46" s="40"/>
      <c r="M46" s="40"/>
    </row>
    <row r="47" spans="1:13" x14ac:dyDescent="0.25">
      <c r="A47" s="47">
        <v>42551</v>
      </c>
      <c r="B47" s="154">
        <v>-119900000000</v>
      </c>
      <c r="C47" s="154">
        <v>-120500000000</v>
      </c>
      <c r="D47" s="154">
        <v>-139800000000</v>
      </c>
      <c r="E47" s="154">
        <v>-110500000000</v>
      </c>
      <c r="F47" s="40"/>
      <c r="G47" s="42" t="s">
        <v>848</v>
      </c>
      <c r="H47" s="152" t="s">
        <v>1165</v>
      </c>
      <c r="I47" s="152" t="s">
        <v>1166</v>
      </c>
      <c r="J47" s="40"/>
      <c r="K47" s="40"/>
      <c r="L47" s="40"/>
      <c r="M47" s="40"/>
    </row>
    <row r="48" spans="1:13" x14ac:dyDescent="0.25">
      <c r="A48" s="47">
        <v>42460</v>
      </c>
      <c r="B48" s="154">
        <v>-124700000000</v>
      </c>
      <c r="C48" s="154">
        <v>-125000000000</v>
      </c>
      <c r="D48" s="154">
        <v>-135000000000</v>
      </c>
      <c r="E48" s="154">
        <v>-115000000000</v>
      </c>
      <c r="F48" s="40"/>
      <c r="G48" s="42" t="s">
        <v>851</v>
      </c>
      <c r="H48" s="152" t="s">
        <v>1167</v>
      </c>
      <c r="I48" s="152" t="s">
        <v>1168</v>
      </c>
      <c r="J48" s="40"/>
      <c r="K48" s="40"/>
      <c r="L48" s="40"/>
      <c r="M48" s="40"/>
    </row>
    <row r="49" spans="1:13" x14ac:dyDescent="0.25">
      <c r="A49" s="47">
        <v>42369</v>
      </c>
      <c r="B49" s="154">
        <v>-125300000000</v>
      </c>
      <c r="C49" s="154">
        <v>-118900000000</v>
      </c>
      <c r="D49" s="154">
        <v>-131000000000</v>
      </c>
      <c r="E49" s="154">
        <v>-110000000000</v>
      </c>
      <c r="F49" s="40"/>
      <c r="G49" s="42" t="s">
        <v>854</v>
      </c>
      <c r="H49" s="152" t="s">
        <v>1169</v>
      </c>
      <c r="I49" s="152" t="s">
        <v>1170</v>
      </c>
      <c r="J49" s="40"/>
      <c r="K49" s="40"/>
      <c r="L49" s="40"/>
      <c r="M49" s="40"/>
    </row>
    <row r="50" spans="1:13" x14ac:dyDescent="0.25">
      <c r="A50" s="47">
        <v>42277</v>
      </c>
      <c r="B50" s="154">
        <v>-124100000000</v>
      </c>
      <c r="C50" s="154">
        <v>-118000000000</v>
      </c>
      <c r="D50" s="154">
        <v>-133000000000</v>
      </c>
      <c r="E50" s="154">
        <v>-104400000000</v>
      </c>
      <c r="F50" s="40"/>
      <c r="G50" s="42" t="s">
        <v>857</v>
      </c>
      <c r="H50" s="152" t="s">
        <v>1171</v>
      </c>
      <c r="I50" s="152" t="s">
        <v>1143</v>
      </c>
      <c r="J50" s="40"/>
      <c r="K50" s="40"/>
      <c r="L50" s="40"/>
      <c r="M50" s="40"/>
    </row>
    <row r="51" spans="1:13" x14ac:dyDescent="0.25">
      <c r="A51" s="47">
        <v>42185</v>
      </c>
      <c r="B51" s="154">
        <v>-109700000000</v>
      </c>
      <c r="C51" s="154">
        <v>-111300000000</v>
      </c>
      <c r="D51" s="154">
        <v>-119000000000</v>
      </c>
      <c r="E51" s="154">
        <v>-97100000000</v>
      </c>
      <c r="F51" s="40"/>
      <c r="G51" s="42" t="s">
        <v>860</v>
      </c>
      <c r="H51" s="152" t="s">
        <v>1172</v>
      </c>
      <c r="I51" s="152" t="s">
        <v>1173</v>
      </c>
      <c r="J51" s="40"/>
      <c r="K51" s="40"/>
      <c r="L51" s="40"/>
      <c r="M51" s="40"/>
    </row>
    <row r="52" spans="1:13" x14ac:dyDescent="0.25">
      <c r="A52" s="47">
        <v>42094</v>
      </c>
      <c r="B52" s="154">
        <v>-103100000000</v>
      </c>
      <c r="C52" s="154">
        <v>-117000000000</v>
      </c>
      <c r="D52" s="154">
        <v>-130000000000</v>
      </c>
      <c r="E52" s="154">
        <v>-110000000000</v>
      </c>
      <c r="F52" s="40"/>
      <c r="G52" s="42" t="s">
        <v>863</v>
      </c>
      <c r="H52" s="152" t="s">
        <v>1174</v>
      </c>
      <c r="I52" s="152" t="s">
        <v>1175</v>
      </c>
      <c r="J52" s="40"/>
      <c r="K52" s="40"/>
      <c r="L52" s="40"/>
      <c r="M52" s="40"/>
    </row>
    <row r="53" spans="1:13" x14ac:dyDescent="0.25">
      <c r="A53" s="47">
        <v>42004</v>
      </c>
      <c r="B53" s="154">
        <v>-113500000000</v>
      </c>
      <c r="C53" s="154">
        <v>-103200000000</v>
      </c>
      <c r="D53" s="154">
        <v>-114800000000</v>
      </c>
      <c r="E53" s="154">
        <v>105000000000</v>
      </c>
      <c r="F53" s="40"/>
      <c r="G53" s="42" t="s">
        <v>865</v>
      </c>
      <c r="H53" s="152" t="s">
        <v>1176</v>
      </c>
      <c r="I53" s="152" t="s">
        <v>1177</v>
      </c>
      <c r="J53" s="40"/>
      <c r="K53" s="40"/>
      <c r="L53" s="40"/>
      <c r="M53" s="40"/>
    </row>
    <row r="54" spans="1:13" x14ac:dyDescent="0.25">
      <c r="A54" s="47">
        <v>41912</v>
      </c>
      <c r="B54" s="154">
        <v>-100300000000</v>
      </c>
      <c r="C54" s="154">
        <v>-97500000000</v>
      </c>
      <c r="D54" s="154">
        <v>-106000000000</v>
      </c>
      <c r="E54" s="154">
        <v>-91000000000</v>
      </c>
      <c r="F54" s="40"/>
      <c r="G54" s="42" t="s">
        <v>866</v>
      </c>
      <c r="H54" s="152" t="s">
        <v>1178</v>
      </c>
      <c r="I54" s="152" t="s">
        <v>1179</v>
      </c>
      <c r="J54" s="40"/>
      <c r="K54" s="40"/>
      <c r="L54" s="40"/>
      <c r="M54" s="40"/>
    </row>
    <row r="55" spans="1:13" x14ac:dyDescent="0.25">
      <c r="A55" s="47">
        <v>41820</v>
      </c>
      <c r="B55" s="154">
        <v>-98500000000</v>
      </c>
      <c r="C55" s="154">
        <v>-114000000000</v>
      </c>
      <c r="D55" s="154">
        <v>-133000000000</v>
      </c>
      <c r="E55" s="154">
        <v>-103800000000</v>
      </c>
      <c r="F55" s="40"/>
      <c r="G55" s="42" t="s">
        <v>867</v>
      </c>
      <c r="H55" s="152" t="s">
        <v>1180</v>
      </c>
      <c r="I55" s="152" t="s">
        <v>1181</v>
      </c>
      <c r="J55" s="40"/>
      <c r="K55" s="40"/>
      <c r="L55" s="40"/>
      <c r="M55" s="40"/>
    </row>
    <row r="56" spans="1:13" x14ac:dyDescent="0.25">
      <c r="A56" s="47">
        <v>41729</v>
      </c>
      <c r="B56" s="154">
        <v>-111200000000</v>
      </c>
      <c r="C56" s="154">
        <v>-96900000000</v>
      </c>
      <c r="D56" s="154">
        <v>-108000000000</v>
      </c>
      <c r="E56" s="154">
        <v>-74000000000</v>
      </c>
      <c r="F56" s="40"/>
      <c r="G56" s="42" t="s">
        <v>868</v>
      </c>
      <c r="H56" s="152" t="s">
        <v>1182</v>
      </c>
      <c r="I56" s="152" t="s">
        <v>1183</v>
      </c>
      <c r="J56" s="40"/>
      <c r="K56" s="40"/>
      <c r="L56" s="40"/>
      <c r="M56" s="40"/>
    </row>
    <row r="57" spans="1:13" x14ac:dyDescent="0.25">
      <c r="A57" s="47">
        <v>41639</v>
      </c>
      <c r="B57" s="154">
        <v>-81100000000</v>
      </c>
      <c r="C57" s="154">
        <v>-88000000000</v>
      </c>
      <c r="D57" s="154">
        <v>-93000000000</v>
      </c>
      <c r="E57" s="154">
        <v>-82000000000</v>
      </c>
      <c r="F57" s="40"/>
      <c r="G57" s="42" t="s">
        <v>869</v>
      </c>
      <c r="H57" s="152" t="s">
        <v>1184</v>
      </c>
      <c r="I57" s="152" t="s">
        <v>1185</v>
      </c>
      <c r="J57" s="40"/>
      <c r="K57" s="40"/>
      <c r="L57" s="40"/>
      <c r="M57" s="40"/>
    </row>
    <row r="58" spans="1:13" x14ac:dyDescent="0.25">
      <c r="A58" s="47">
        <v>41547</v>
      </c>
      <c r="B58" s="154">
        <v>-94800000000</v>
      </c>
      <c r="C58" s="154">
        <v>-100000000000</v>
      </c>
      <c r="D58" s="154">
        <v>-107700000000</v>
      </c>
      <c r="E58" s="154">
        <v>-93600000000</v>
      </c>
      <c r="F58" s="40"/>
      <c r="G58" s="42" t="s">
        <v>870</v>
      </c>
      <c r="H58" s="152" t="s">
        <v>1186</v>
      </c>
      <c r="I58" s="152" t="s">
        <v>1187</v>
      </c>
      <c r="J58" s="40"/>
      <c r="K58" s="40"/>
      <c r="L58" s="40"/>
      <c r="M58" s="40"/>
    </row>
    <row r="59" spans="1:13" x14ac:dyDescent="0.25">
      <c r="A59" s="47">
        <v>41455</v>
      </c>
      <c r="B59" s="154">
        <v>-98900000000</v>
      </c>
      <c r="C59" s="154">
        <v>-97000000000</v>
      </c>
      <c r="D59" s="154">
        <v>-176000000000</v>
      </c>
      <c r="E59" s="154">
        <v>-90600000000</v>
      </c>
      <c r="F59" s="40"/>
      <c r="G59" s="42" t="s">
        <v>871</v>
      </c>
      <c r="H59" s="152" t="s">
        <v>1188</v>
      </c>
      <c r="I59" s="152" t="s">
        <v>1189</v>
      </c>
      <c r="J59" s="40"/>
      <c r="K59" s="40"/>
      <c r="L59" s="40"/>
      <c r="M59" s="40"/>
    </row>
  </sheetData>
  <mergeCells count="7">
    <mergeCell ref="A2:H2"/>
    <mergeCell ref="A3:H3"/>
    <mergeCell ref="A17:A19"/>
    <mergeCell ref="B17:B18"/>
    <mergeCell ref="C17:E17"/>
    <mergeCell ref="G18:G19"/>
    <mergeCell ref="H18:I18"/>
  </mergeCells>
  <pageMargins left="0.7" right="0.7" top="0.75" bottom="0.75" header="0.3" footer="0.3"/>
  <customProperties>
    <customPr name="REFI_OFFICE_FUNCTION_DATA" r:id="rId1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51D0B-B05E-4AE6-B9DF-241840DDACEC}">
  <dimension ref="A1:K139"/>
  <sheetViews>
    <sheetView tabSelected="1" workbookViewId="0">
      <selection activeCell="B13" sqref="B13"/>
    </sheetView>
  </sheetViews>
  <sheetFormatPr defaultRowHeight="15" x14ac:dyDescent="0.25"/>
  <cols>
    <col min="1" max="1" width="13.42578125" style="41" customWidth="1"/>
    <col min="2" max="2" width="22" style="41" customWidth="1"/>
    <col min="3" max="7" width="17.7109375" style="41" customWidth="1"/>
    <col min="8" max="8" width="29.28515625" style="41" customWidth="1"/>
    <col min="9" max="16" width="17.7109375" style="41" customWidth="1"/>
    <col min="17" max="16384" width="9.140625" style="41"/>
  </cols>
  <sheetData>
    <row r="1" spans="1:10" ht="15.75" x14ac:dyDescent="0.25">
      <c r="A1" s="49" t="s">
        <v>42</v>
      </c>
    </row>
    <row r="2" spans="1:10" x14ac:dyDescent="0.25">
      <c r="A2" s="232" t="s">
        <v>1216</v>
      </c>
      <c r="B2" s="222"/>
      <c r="C2" s="222"/>
      <c r="D2" s="222"/>
      <c r="E2" s="222"/>
      <c r="F2" s="222"/>
      <c r="G2" s="222"/>
      <c r="H2" s="222"/>
    </row>
    <row r="3" spans="1:10" x14ac:dyDescent="0.25">
      <c r="A3" s="233" t="s">
        <v>1217</v>
      </c>
      <c r="B3" s="222"/>
      <c r="C3" s="222"/>
      <c r="D3" s="222"/>
      <c r="E3" s="222"/>
      <c r="F3" s="222"/>
      <c r="G3" s="222"/>
      <c r="H3" s="222"/>
    </row>
    <row r="5" spans="1:10" x14ac:dyDescent="0.25">
      <c r="A5" s="53" t="s">
        <v>45</v>
      </c>
      <c r="B5" s="53" t="s">
        <v>1218</v>
      </c>
      <c r="C5" s="53" t="s">
        <v>47</v>
      </c>
      <c r="D5" s="53" t="s">
        <v>1193</v>
      </c>
      <c r="E5" s="53" t="s">
        <v>49</v>
      </c>
      <c r="F5" s="53" t="s">
        <v>1219</v>
      </c>
    </row>
    <row r="6" spans="1:10" x14ac:dyDescent="0.25">
      <c r="A6" s="53" t="s">
        <v>51</v>
      </c>
      <c r="B6" s="53" t="s">
        <v>52</v>
      </c>
      <c r="C6" s="50" t="s">
        <v>53</v>
      </c>
      <c r="D6" s="50" t="s">
        <v>54</v>
      </c>
      <c r="E6" s="53" t="s">
        <v>55</v>
      </c>
      <c r="F6" s="53" t="s">
        <v>56</v>
      </c>
      <c r="G6" s="53" t="s">
        <v>57</v>
      </c>
      <c r="H6" s="53" t="s">
        <v>56</v>
      </c>
      <c r="I6" s="53" t="s">
        <v>58</v>
      </c>
      <c r="J6" s="53" t="s">
        <v>56</v>
      </c>
    </row>
    <row r="7" spans="1:10" x14ac:dyDescent="0.25">
      <c r="A7" s="53" t="s">
        <v>59</v>
      </c>
      <c r="B7" s="53" t="s">
        <v>1220</v>
      </c>
      <c r="C7" s="53" t="s">
        <v>61</v>
      </c>
      <c r="D7" s="53" t="s">
        <v>56</v>
      </c>
      <c r="E7" s="53" t="s">
        <v>62</v>
      </c>
      <c r="F7" s="53" t="s">
        <v>56</v>
      </c>
      <c r="G7" s="53" t="s">
        <v>63</v>
      </c>
      <c r="H7" s="53" t="s">
        <v>56</v>
      </c>
      <c r="I7" s="53" t="s">
        <v>64</v>
      </c>
      <c r="J7" s="53" t="s">
        <v>56</v>
      </c>
    </row>
    <row r="8" spans="1:10" x14ac:dyDescent="0.25">
      <c r="A8" s="53" t="s">
        <v>65</v>
      </c>
      <c r="B8" s="53" t="s">
        <v>1221</v>
      </c>
      <c r="C8" s="53" t="s">
        <v>67</v>
      </c>
      <c r="D8" s="53" t="s">
        <v>1222</v>
      </c>
      <c r="E8" s="53" t="s">
        <v>69</v>
      </c>
      <c r="F8" s="53" t="s">
        <v>56</v>
      </c>
      <c r="G8" s="53" t="s">
        <v>70</v>
      </c>
      <c r="H8" s="53" t="s">
        <v>56</v>
      </c>
      <c r="I8" s="53" t="s">
        <v>1102</v>
      </c>
      <c r="J8" s="53" t="s">
        <v>1223</v>
      </c>
    </row>
    <row r="9" spans="1:10" x14ac:dyDescent="0.25">
      <c r="A9" s="53" t="s">
        <v>73</v>
      </c>
      <c r="B9" s="53" t="s">
        <v>893</v>
      </c>
      <c r="C9" s="53" t="s">
        <v>75</v>
      </c>
      <c r="D9" s="53" t="s">
        <v>56</v>
      </c>
      <c r="E9" s="53" t="s">
        <v>76</v>
      </c>
      <c r="F9" s="53" t="s">
        <v>56</v>
      </c>
      <c r="G9" s="53" t="s">
        <v>77</v>
      </c>
      <c r="H9" s="53" t="s">
        <v>56</v>
      </c>
      <c r="I9" s="53" t="s">
        <v>78</v>
      </c>
      <c r="J9" s="53" t="s">
        <v>1224</v>
      </c>
    </row>
    <row r="11" spans="1:10" x14ac:dyDescent="0.25">
      <c r="A11" s="50" t="s">
        <v>56</v>
      </c>
    </row>
    <row r="12" spans="1:10" x14ac:dyDescent="0.25">
      <c r="A12" s="50" t="s">
        <v>80</v>
      </c>
      <c r="B12" s="50" t="s">
        <v>1225</v>
      </c>
      <c r="G12" s="50" t="s">
        <v>80</v>
      </c>
      <c r="H12" s="50" t="s">
        <v>1226</v>
      </c>
    </row>
    <row r="13" spans="1:10" x14ac:dyDescent="0.25">
      <c r="A13" s="50" t="s">
        <v>82</v>
      </c>
      <c r="B13" s="50" t="s">
        <v>83</v>
      </c>
      <c r="C13" s="50" t="str">
        <f>_xll.RDP.HistoricalPricing($B$19:$E$19,"VALUE"," START:30-Jun-2013 END:31-May-2023 INTERVAL:P1M SOURCE:RFV",,"TSREPEAT:NO RH:TimeStamp",$A$20)</f>
        <v>Updated at 17:15:52</v>
      </c>
      <c r="G13" s="50" t="s">
        <v>82</v>
      </c>
      <c r="H13" s="50" t="s">
        <v>83</v>
      </c>
      <c r="I13" s="50" t="str">
        <f>_xll.RDP.HistoricalPricing($B$19:$E$19,"VALUE"," START:31-May-2013 END:30-Apr-2023 INTERVAL:P1M SOURCE:RFV",,"TSREPEAT:NO RH:TimeStamp",$A$20)</f>
        <v>Updated at 17:15:52</v>
      </c>
    </row>
    <row r="14" spans="1:10" x14ac:dyDescent="0.25">
      <c r="A14" s="50" t="s">
        <v>84</v>
      </c>
      <c r="B14" s="50" t="s">
        <v>1109</v>
      </c>
      <c r="G14" s="50" t="s">
        <v>84</v>
      </c>
      <c r="H14" s="50" t="s">
        <v>1109</v>
      </c>
    </row>
    <row r="15" spans="1:10" x14ac:dyDescent="0.25">
      <c r="A15" s="50" t="s">
        <v>56</v>
      </c>
      <c r="G15" s="50" t="s">
        <v>56</v>
      </c>
    </row>
    <row r="16" spans="1:10" x14ac:dyDescent="0.25">
      <c r="A16" s="50" t="s">
        <v>56</v>
      </c>
      <c r="G16" s="50" t="s">
        <v>56</v>
      </c>
    </row>
    <row r="17" spans="1:11" x14ac:dyDescent="0.25">
      <c r="A17" s="225" t="s">
        <v>33</v>
      </c>
      <c r="B17" s="227" t="s">
        <v>86</v>
      </c>
      <c r="C17" s="226" t="s">
        <v>87</v>
      </c>
      <c r="D17" s="225" t="s">
        <v>87</v>
      </c>
      <c r="E17" s="225" t="s">
        <v>87</v>
      </c>
      <c r="G17" s="225" t="s">
        <v>33</v>
      </c>
      <c r="H17" s="227" t="s">
        <v>86</v>
      </c>
      <c r="I17" s="226" t="s">
        <v>87</v>
      </c>
      <c r="J17" s="225" t="s">
        <v>87</v>
      </c>
      <c r="K17" s="225" t="s">
        <v>87</v>
      </c>
    </row>
    <row r="18" spans="1:11" x14ac:dyDescent="0.25">
      <c r="A18" s="225" t="s">
        <v>33</v>
      </c>
      <c r="B18" s="227" t="s">
        <v>86</v>
      </c>
      <c r="C18" s="234" t="s">
        <v>88</v>
      </c>
      <c r="D18" s="51" t="s">
        <v>27</v>
      </c>
      <c r="E18" s="51" t="s">
        <v>23</v>
      </c>
      <c r="G18" s="225" t="s">
        <v>33</v>
      </c>
      <c r="H18" s="227" t="s">
        <v>86</v>
      </c>
      <c r="I18" s="234" t="s">
        <v>88</v>
      </c>
      <c r="J18" s="51" t="s">
        <v>27</v>
      </c>
      <c r="K18" s="51" t="s">
        <v>23</v>
      </c>
    </row>
    <row r="19" spans="1:11" x14ac:dyDescent="0.25">
      <c r="A19" s="225" t="s">
        <v>33</v>
      </c>
      <c r="B19" s="52" t="s">
        <v>1227</v>
      </c>
      <c r="C19" s="234" t="s">
        <v>1228</v>
      </c>
      <c r="D19" s="51" t="s">
        <v>1229</v>
      </c>
      <c r="E19" s="51" t="s">
        <v>1230</v>
      </c>
      <c r="G19" s="225" t="s">
        <v>33</v>
      </c>
      <c r="H19" s="52" t="s">
        <v>1231</v>
      </c>
      <c r="I19" s="234" t="s">
        <v>1232</v>
      </c>
      <c r="J19" s="51" t="s">
        <v>1233</v>
      </c>
      <c r="K19" s="51" t="s">
        <v>1234</v>
      </c>
    </row>
    <row r="20" spans="1:11" x14ac:dyDescent="0.25">
      <c r="A20" s="47">
        <v>45077</v>
      </c>
      <c r="B20" s="154">
        <v>440000000</v>
      </c>
      <c r="C20" s="41">
        <v>3020000000</v>
      </c>
      <c r="D20" s="41">
        <v>1080000000</v>
      </c>
      <c r="E20" s="41">
        <v>4730000000</v>
      </c>
      <c r="G20" s="47">
        <v>45046</v>
      </c>
      <c r="H20" s="41">
        <v>-74600000000</v>
      </c>
      <c r="I20" s="41">
        <v>-75200000000</v>
      </c>
      <c r="J20" s="41">
        <v>-79100000000</v>
      </c>
      <c r="K20" s="41">
        <v>-65000000000</v>
      </c>
    </row>
    <row r="21" spans="1:11" x14ac:dyDescent="0.25">
      <c r="A21" s="47">
        <v>45046</v>
      </c>
      <c r="B21" s="154">
        <v>3940000000</v>
      </c>
      <c r="C21" s="41">
        <v>3380000000</v>
      </c>
      <c r="D21" s="41">
        <v>2000000000</v>
      </c>
      <c r="E21" s="41">
        <v>4500000000</v>
      </c>
      <c r="G21" s="47">
        <v>45016</v>
      </c>
      <c r="H21" s="154">
        <v>-64200000000</v>
      </c>
      <c r="I21" s="41">
        <v>-63300000000</v>
      </c>
      <c r="J21" s="41">
        <v>-72300000000</v>
      </c>
      <c r="K21" s="41">
        <v>-61200000000</v>
      </c>
    </row>
    <row r="22" spans="1:11" x14ac:dyDescent="0.25">
      <c r="A22" s="47">
        <v>45016</v>
      </c>
      <c r="B22" s="154">
        <v>2910000000</v>
      </c>
      <c r="C22" s="41">
        <v>3990000000</v>
      </c>
      <c r="D22" s="41">
        <v>2300000000</v>
      </c>
      <c r="E22" s="41">
        <v>5840000000</v>
      </c>
      <c r="G22" s="47">
        <v>44985</v>
      </c>
      <c r="H22" s="154">
        <v>-70500000000</v>
      </c>
      <c r="I22" s="41">
        <v>-69000000000</v>
      </c>
      <c r="J22" s="41">
        <v>-72000000000</v>
      </c>
      <c r="K22" s="41">
        <v>-67000000000</v>
      </c>
    </row>
    <row r="23" spans="1:11" x14ac:dyDescent="0.25">
      <c r="A23" s="47">
        <v>44985</v>
      </c>
      <c r="B23" s="154">
        <v>5480000000</v>
      </c>
      <c r="C23" s="41">
        <v>3270000000</v>
      </c>
      <c r="D23" s="41">
        <v>1540000000</v>
      </c>
      <c r="E23" s="41">
        <v>5500000000</v>
      </c>
      <c r="G23" s="47">
        <v>44957</v>
      </c>
      <c r="H23" s="154">
        <v>-68300000000</v>
      </c>
      <c r="I23" s="41">
        <v>-68900000000</v>
      </c>
      <c r="J23" s="41">
        <v>-70400000000</v>
      </c>
      <c r="K23" s="41">
        <v>-64100000000</v>
      </c>
    </row>
    <row r="24" spans="1:11" x14ac:dyDescent="0.25">
      <c r="A24" s="47">
        <v>44957</v>
      </c>
      <c r="B24" s="154">
        <v>3870000000</v>
      </c>
      <c r="C24" s="41">
        <v>3350000000</v>
      </c>
      <c r="D24" s="41">
        <v>3000000000</v>
      </c>
      <c r="E24" s="41">
        <v>4500000000</v>
      </c>
      <c r="G24" s="47">
        <v>44926</v>
      </c>
      <c r="H24" s="154">
        <v>-67400000000</v>
      </c>
      <c r="I24" s="41">
        <v>-68500000000</v>
      </c>
      <c r="J24" s="41">
        <v>-70700000000</v>
      </c>
      <c r="K24" s="41">
        <v>-62000000000</v>
      </c>
    </row>
    <row r="25" spans="1:11" x14ac:dyDescent="0.25">
      <c r="A25" s="47">
        <v>44926</v>
      </c>
      <c r="B25" s="154">
        <v>3890000000</v>
      </c>
      <c r="C25" s="41">
        <v>4010000000</v>
      </c>
      <c r="D25" s="41">
        <v>3000000000</v>
      </c>
      <c r="E25" s="41">
        <v>4760000000</v>
      </c>
      <c r="G25" s="47">
        <v>44895</v>
      </c>
      <c r="H25" s="154">
        <v>-61500000000</v>
      </c>
      <c r="I25" s="41">
        <v>-73000000000</v>
      </c>
      <c r="J25" s="41">
        <v>-80000000000</v>
      </c>
      <c r="K25" s="41">
        <v>-61600000000</v>
      </c>
    </row>
    <row r="26" spans="1:11" x14ac:dyDescent="0.25">
      <c r="A26" s="47">
        <v>44895</v>
      </c>
      <c r="B26" s="154">
        <v>5160000000</v>
      </c>
      <c r="C26" s="41">
        <v>4260000000</v>
      </c>
      <c r="D26" s="41">
        <v>3200000000</v>
      </c>
      <c r="E26" s="41">
        <v>5400000000</v>
      </c>
      <c r="G26" s="47">
        <v>44865</v>
      </c>
      <c r="H26" s="154">
        <v>-78200000000</v>
      </c>
      <c r="I26" s="41">
        <v>-80000000000</v>
      </c>
      <c r="J26" s="41">
        <v>-81400000000</v>
      </c>
      <c r="K26" s="41">
        <v>-70500000000</v>
      </c>
    </row>
    <row r="27" spans="1:11" x14ac:dyDescent="0.25">
      <c r="A27" s="47">
        <v>44865</v>
      </c>
      <c r="B27" s="154">
        <v>5670000000</v>
      </c>
      <c r="C27" s="41">
        <v>4500000000</v>
      </c>
      <c r="D27" s="41">
        <v>3960000000</v>
      </c>
      <c r="E27" s="41">
        <v>6900000000</v>
      </c>
      <c r="G27" s="47">
        <v>44834</v>
      </c>
      <c r="H27" s="154">
        <v>-73300000000</v>
      </c>
      <c r="I27" s="41">
        <v>-72200000000</v>
      </c>
      <c r="J27" s="41">
        <v>-74000000000</v>
      </c>
      <c r="K27" s="41">
        <v>-66900000000</v>
      </c>
    </row>
    <row r="28" spans="1:11" x14ac:dyDescent="0.25">
      <c r="A28" s="47">
        <v>44834</v>
      </c>
      <c r="B28" s="154">
        <v>4990000000</v>
      </c>
      <c r="C28" s="41">
        <v>4840000000</v>
      </c>
      <c r="D28" s="41">
        <v>3920000000</v>
      </c>
      <c r="E28" s="41">
        <v>5480000000</v>
      </c>
      <c r="G28" s="47">
        <v>44804</v>
      </c>
      <c r="H28" s="154">
        <v>-67400000000</v>
      </c>
      <c r="I28" s="41">
        <v>-67700000000</v>
      </c>
      <c r="J28" s="41">
        <v>-75000000000</v>
      </c>
      <c r="K28" s="41">
        <v>-66000000000</v>
      </c>
    </row>
    <row r="29" spans="1:11" x14ac:dyDescent="0.25">
      <c r="A29" s="47">
        <v>44804</v>
      </c>
      <c r="B29" s="154">
        <v>5760000000</v>
      </c>
      <c r="C29" s="41">
        <v>4090000000</v>
      </c>
      <c r="D29" s="41">
        <v>1840000000</v>
      </c>
      <c r="E29" s="41">
        <v>5900000000</v>
      </c>
      <c r="G29" s="47">
        <v>44773</v>
      </c>
      <c r="H29" s="154">
        <v>-70600000000</v>
      </c>
      <c r="I29" s="41">
        <v>-70300000000</v>
      </c>
      <c r="J29" s="41">
        <v>-79200000000</v>
      </c>
      <c r="K29" s="41">
        <v>-66100000000</v>
      </c>
    </row>
    <row r="30" spans="1:11" x14ac:dyDescent="0.25">
      <c r="A30" s="47">
        <v>44773</v>
      </c>
      <c r="B30" s="154">
        <v>4220000000</v>
      </c>
      <c r="C30" s="41">
        <v>3930000000</v>
      </c>
      <c r="D30" s="41">
        <v>3200000000</v>
      </c>
      <c r="E30" s="41">
        <v>4750000000</v>
      </c>
      <c r="G30" s="47">
        <v>44742</v>
      </c>
      <c r="H30" s="154">
        <v>-79600000000</v>
      </c>
      <c r="I30" s="41">
        <v>-80100000000</v>
      </c>
      <c r="J30" s="41">
        <v>-87000000000</v>
      </c>
      <c r="K30" s="41">
        <v>-77800000000</v>
      </c>
    </row>
    <row r="31" spans="1:11" x14ac:dyDescent="0.25">
      <c r="A31" s="47">
        <v>44742</v>
      </c>
      <c r="B31" s="154">
        <v>5090000000</v>
      </c>
      <c r="C31" s="41">
        <v>3520000000</v>
      </c>
      <c r="D31" s="41">
        <v>1450000000</v>
      </c>
      <c r="E31" s="41">
        <v>8500000000</v>
      </c>
      <c r="G31" s="47">
        <v>44712</v>
      </c>
      <c r="H31" s="154">
        <v>-85600000000</v>
      </c>
      <c r="I31" s="41">
        <v>-84900000000</v>
      </c>
      <c r="J31" s="41">
        <v>-88300000000</v>
      </c>
      <c r="K31" s="41">
        <v>-81500000000</v>
      </c>
    </row>
    <row r="32" spans="1:11" x14ac:dyDescent="0.25">
      <c r="A32" s="47">
        <v>44712</v>
      </c>
      <c r="B32" s="154">
        <v>2900000000</v>
      </c>
      <c r="C32" s="41">
        <v>3830000000</v>
      </c>
      <c r="D32" s="41">
        <v>1000000000</v>
      </c>
      <c r="E32" s="41">
        <v>6980000000</v>
      </c>
      <c r="G32" s="47">
        <v>44681</v>
      </c>
      <c r="H32" s="154">
        <v>-87100000000</v>
      </c>
      <c r="I32" s="41">
        <v>-89500000000</v>
      </c>
      <c r="J32" s="41">
        <v>-112100000000</v>
      </c>
      <c r="K32" s="41">
        <v>-87600000000</v>
      </c>
    </row>
    <row r="33" spans="1:11" x14ac:dyDescent="0.25">
      <c r="A33" s="47">
        <v>44681</v>
      </c>
      <c r="B33" s="154">
        <v>7560000000</v>
      </c>
      <c r="C33" s="41">
        <v>3250000000</v>
      </c>
      <c r="D33" s="41">
        <v>1100000000</v>
      </c>
      <c r="E33" s="41">
        <v>5200000000</v>
      </c>
      <c r="G33" s="47">
        <v>44651</v>
      </c>
      <c r="H33" s="154">
        <v>-109800000000</v>
      </c>
      <c r="I33" s="41">
        <v>-107000000000</v>
      </c>
      <c r="J33" s="41">
        <v>-110000000000</v>
      </c>
      <c r="K33" s="41">
        <v>-73200000000</v>
      </c>
    </row>
    <row r="34" spans="1:11" x14ac:dyDescent="0.25">
      <c r="A34" s="47">
        <v>44651</v>
      </c>
      <c r="B34" s="154">
        <v>4530000000</v>
      </c>
      <c r="C34" s="41">
        <v>2890000000</v>
      </c>
      <c r="D34" s="41">
        <v>1000000000</v>
      </c>
      <c r="E34" s="41">
        <v>4270000000</v>
      </c>
      <c r="G34" s="47">
        <v>44620</v>
      </c>
      <c r="H34" s="154">
        <v>-89200000000</v>
      </c>
      <c r="I34" s="41">
        <v>-88500000000</v>
      </c>
      <c r="J34" s="41">
        <v>-91300000000</v>
      </c>
      <c r="K34" s="41">
        <v>-87000000000</v>
      </c>
    </row>
    <row r="35" spans="1:11" x14ac:dyDescent="0.25">
      <c r="A35" s="47">
        <v>44620</v>
      </c>
      <c r="B35" s="154">
        <v>3820000000</v>
      </c>
      <c r="C35" s="41">
        <v>1660000000</v>
      </c>
      <c r="D35" s="41">
        <v>540000000</v>
      </c>
      <c r="E35" s="41">
        <v>4300000000</v>
      </c>
      <c r="G35" s="47">
        <v>44592</v>
      </c>
      <c r="H35" s="154">
        <v>-89700000000</v>
      </c>
      <c r="I35" s="41">
        <v>-87100000000</v>
      </c>
      <c r="J35" s="41">
        <v>-90000000000</v>
      </c>
      <c r="K35" s="41">
        <v>-78000000000</v>
      </c>
    </row>
    <row r="36" spans="1:11" x14ac:dyDescent="0.25">
      <c r="A36" s="47">
        <v>44592</v>
      </c>
      <c r="B36" s="154">
        <v>930000000</v>
      </c>
      <c r="C36" s="41">
        <v>190000000</v>
      </c>
      <c r="D36" s="41">
        <v>-1140000000</v>
      </c>
      <c r="E36" s="41">
        <v>1300000000</v>
      </c>
      <c r="G36" s="47">
        <v>44561</v>
      </c>
      <c r="H36" s="154">
        <v>-80700000000</v>
      </c>
      <c r="I36" s="41">
        <v>-83000000000</v>
      </c>
      <c r="J36" s="41">
        <v>-86000000000</v>
      </c>
      <c r="K36" s="41">
        <v>-75800000000</v>
      </c>
    </row>
    <row r="37" spans="1:11" x14ac:dyDescent="0.25">
      <c r="A37" s="47">
        <v>44561</v>
      </c>
      <c r="B37" s="154">
        <v>1020000000</v>
      </c>
      <c r="C37" s="41">
        <v>3130000000</v>
      </c>
      <c r="D37" s="41">
        <v>2040000000</v>
      </c>
      <c r="E37" s="41">
        <v>5000000000</v>
      </c>
      <c r="G37" s="47">
        <v>44530</v>
      </c>
      <c r="H37" s="154">
        <v>-80200000000</v>
      </c>
      <c r="I37" s="41">
        <v>-77100000000</v>
      </c>
      <c r="J37" s="41">
        <v>-85100000000</v>
      </c>
      <c r="K37" s="41">
        <v>-65000000000</v>
      </c>
    </row>
    <row r="38" spans="1:11" x14ac:dyDescent="0.25">
      <c r="A38" s="47">
        <v>44530</v>
      </c>
      <c r="B38" s="154">
        <v>3510000000</v>
      </c>
      <c r="C38" s="41">
        <v>4450000000</v>
      </c>
      <c r="D38" s="41">
        <v>3080000000</v>
      </c>
      <c r="E38" s="41">
        <v>5830000000</v>
      </c>
      <c r="G38" s="47">
        <v>44500</v>
      </c>
      <c r="H38" s="154">
        <v>-67100000000</v>
      </c>
      <c r="I38" s="41">
        <v>-66800000000</v>
      </c>
      <c r="J38" s="41">
        <v>-70500000000</v>
      </c>
      <c r="K38" s="41">
        <v>-65000000000</v>
      </c>
    </row>
    <row r="39" spans="1:11" x14ac:dyDescent="0.25">
      <c r="A39" s="47">
        <v>44500</v>
      </c>
      <c r="B39" s="154">
        <v>5740000000</v>
      </c>
      <c r="C39" s="41">
        <v>3870000000</v>
      </c>
      <c r="D39" s="41">
        <v>3600000000</v>
      </c>
      <c r="E39" s="41">
        <v>4820000000</v>
      </c>
      <c r="G39" s="47">
        <v>44469</v>
      </c>
      <c r="H39" s="154">
        <v>-80900000000</v>
      </c>
      <c r="I39" s="41">
        <v>-80500000000</v>
      </c>
      <c r="J39" s="41">
        <v>-82200000000</v>
      </c>
      <c r="K39" s="41">
        <v>-72000000000</v>
      </c>
    </row>
    <row r="40" spans="1:11" x14ac:dyDescent="0.25">
      <c r="A40" s="47">
        <v>44469</v>
      </c>
      <c r="B40" s="154">
        <v>4370000000</v>
      </c>
      <c r="C40" s="41">
        <v>3840000000</v>
      </c>
      <c r="D40" s="41">
        <v>2620000000</v>
      </c>
      <c r="E40" s="41">
        <v>5630000000</v>
      </c>
      <c r="G40" s="47">
        <v>44439</v>
      </c>
      <c r="H40" s="154">
        <v>-73300000000</v>
      </c>
      <c r="I40" s="41">
        <v>-70500000000</v>
      </c>
      <c r="J40" s="41">
        <v>-72800000000</v>
      </c>
      <c r="K40" s="41">
        <v>-67400000000</v>
      </c>
    </row>
    <row r="41" spans="1:11" x14ac:dyDescent="0.25">
      <c r="A41" s="47">
        <v>44439</v>
      </c>
      <c r="B41" s="154">
        <v>4740000000</v>
      </c>
      <c r="C41" s="41">
        <v>2360000000</v>
      </c>
      <c r="D41" s="41">
        <v>1130000000</v>
      </c>
      <c r="E41" s="41">
        <v>3100000000</v>
      </c>
      <c r="G41" s="47">
        <v>44408</v>
      </c>
      <c r="H41" s="154">
        <v>-70100000000</v>
      </c>
      <c r="I41" s="41">
        <v>-71000000000</v>
      </c>
      <c r="J41" s="41">
        <v>-77300000000</v>
      </c>
      <c r="K41" s="41">
        <v>-68900000000</v>
      </c>
    </row>
    <row r="42" spans="1:11" x14ac:dyDescent="0.25">
      <c r="A42" s="47">
        <v>44408</v>
      </c>
      <c r="B42" s="154">
        <v>2590000000</v>
      </c>
      <c r="C42" s="41">
        <v>2270000000</v>
      </c>
      <c r="D42" s="41">
        <v>1760000000</v>
      </c>
      <c r="E42" s="41">
        <v>4000000000</v>
      </c>
      <c r="G42" s="47">
        <v>44377</v>
      </c>
      <c r="H42" s="154">
        <v>-75700000000</v>
      </c>
      <c r="I42" s="41">
        <v>-74100000000</v>
      </c>
      <c r="J42" s="41">
        <v>-93000000000</v>
      </c>
      <c r="K42" s="41">
        <v>-70900000000</v>
      </c>
    </row>
    <row r="43" spans="1:11" x14ac:dyDescent="0.25">
      <c r="A43" s="47">
        <v>44377</v>
      </c>
      <c r="B43" s="154">
        <v>1320000000</v>
      </c>
      <c r="C43" s="41">
        <v>2230000000</v>
      </c>
      <c r="D43" s="41">
        <v>1500000000</v>
      </c>
      <c r="E43" s="41">
        <v>2700000000</v>
      </c>
      <c r="G43" s="47">
        <v>44347</v>
      </c>
      <c r="H43" s="154">
        <v>-71200000000</v>
      </c>
      <c r="I43" s="41">
        <v>-71400000000</v>
      </c>
      <c r="J43" s="41">
        <v>-75100000000</v>
      </c>
      <c r="K43" s="41">
        <v>-67000000000</v>
      </c>
    </row>
    <row r="44" spans="1:11" x14ac:dyDescent="0.25">
      <c r="A44" s="47">
        <v>44347</v>
      </c>
      <c r="B44" s="154">
        <v>2370000000</v>
      </c>
      <c r="C44" s="41">
        <v>2300000000</v>
      </c>
      <c r="D44" s="41">
        <v>350000000</v>
      </c>
      <c r="E44" s="41">
        <v>3740000000</v>
      </c>
      <c r="G44" s="47">
        <v>44316</v>
      </c>
      <c r="H44" s="154">
        <v>-68900000000</v>
      </c>
      <c r="I44" s="41">
        <v>-69000000000</v>
      </c>
      <c r="J44" s="41">
        <v>-76200000000</v>
      </c>
      <c r="K44" s="41">
        <v>-67500000000</v>
      </c>
    </row>
    <row r="45" spans="1:11" x14ac:dyDescent="0.25">
      <c r="A45" s="47">
        <v>44316</v>
      </c>
      <c r="B45" s="154">
        <v>2190000000</v>
      </c>
      <c r="C45" s="41">
        <v>1000000000</v>
      </c>
      <c r="D45" s="41">
        <v>100000000</v>
      </c>
      <c r="E45" s="41">
        <v>1650000000</v>
      </c>
      <c r="G45" s="47">
        <v>44286</v>
      </c>
      <c r="H45" s="154">
        <v>-74400000000</v>
      </c>
      <c r="I45" s="41">
        <v>-74500000000</v>
      </c>
      <c r="J45" s="41">
        <v>-76000000000</v>
      </c>
      <c r="K45" s="41">
        <v>-70500000000</v>
      </c>
    </row>
    <row r="46" spans="1:11" x14ac:dyDescent="0.25">
      <c r="A46" s="47">
        <v>44286</v>
      </c>
      <c r="B46" s="154">
        <v>1560000000</v>
      </c>
      <c r="C46" s="41">
        <v>1640000000</v>
      </c>
      <c r="D46" s="41">
        <v>1070000000</v>
      </c>
      <c r="E46" s="41">
        <v>1820000000</v>
      </c>
      <c r="G46" s="47">
        <v>44255</v>
      </c>
      <c r="H46" s="154">
        <v>-71100000000</v>
      </c>
      <c r="I46" s="41">
        <v>-70500000000</v>
      </c>
      <c r="J46" s="41">
        <v>-73500000000</v>
      </c>
      <c r="K46" s="41">
        <v>-69300000000</v>
      </c>
    </row>
    <row r="47" spans="1:11" x14ac:dyDescent="0.25">
      <c r="A47" s="47">
        <v>44255</v>
      </c>
      <c r="B47" s="154">
        <v>2010000000</v>
      </c>
      <c r="C47" s="41">
        <v>2210000000</v>
      </c>
      <c r="D47" s="41">
        <v>-740000000</v>
      </c>
      <c r="E47" s="41">
        <v>2970000000</v>
      </c>
      <c r="G47" s="47">
        <v>44227</v>
      </c>
      <c r="H47" s="154">
        <v>-68200000000</v>
      </c>
      <c r="I47" s="41">
        <v>-67500000000</v>
      </c>
      <c r="J47" s="41">
        <v>-68600000000</v>
      </c>
      <c r="K47" s="41">
        <v>-63000000000</v>
      </c>
    </row>
    <row r="48" spans="1:11" x14ac:dyDescent="0.25">
      <c r="A48" s="47">
        <v>44227</v>
      </c>
      <c r="B48" s="154">
        <v>1960000000</v>
      </c>
      <c r="C48" s="41">
        <v>1680000000</v>
      </c>
      <c r="D48" s="41">
        <v>420000000</v>
      </c>
      <c r="E48" s="41">
        <v>3000000000</v>
      </c>
      <c r="G48" s="47">
        <v>44196</v>
      </c>
      <c r="H48" s="154">
        <v>-66600000000</v>
      </c>
      <c r="I48" s="41">
        <v>-65700000000</v>
      </c>
      <c r="J48" s="41">
        <v>-69500000000</v>
      </c>
      <c r="K48" s="41">
        <v>-64300000000</v>
      </c>
    </row>
    <row r="49" spans="1:11" x14ac:dyDescent="0.25">
      <c r="A49" s="47">
        <v>44196</v>
      </c>
      <c r="B49" s="154">
        <v>2100000000</v>
      </c>
      <c r="C49" s="41">
        <v>2300000000</v>
      </c>
      <c r="D49" s="41">
        <v>1200000000</v>
      </c>
      <c r="E49" s="41">
        <v>2900000000</v>
      </c>
      <c r="G49" s="47">
        <v>44165</v>
      </c>
      <c r="H49" s="154">
        <v>-68100000000</v>
      </c>
      <c r="I49" s="41">
        <v>-65200000000</v>
      </c>
      <c r="J49" s="41">
        <v>-68000000000</v>
      </c>
      <c r="K49" s="41">
        <v>-61800000000</v>
      </c>
    </row>
    <row r="50" spans="1:11" x14ac:dyDescent="0.25">
      <c r="A50" s="47">
        <v>44165</v>
      </c>
      <c r="B50" s="154">
        <v>2620000000</v>
      </c>
      <c r="C50" s="41">
        <v>2670000000</v>
      </c>
      <c r="D50" s="41">
        <v>2000000000</v>
      </c>
      <c r="E50" s="41">
        <v>3120000000</v>
      </c>
      <c r="G50" s="47">
        <v>44135</v>
      </c>
      <c r="H50" s="154">
        <v>-63100000000</v>
      </c>
      <c r="I50" s="41">
        <v>-64800000000</v>
      </c>
      <c r="J50" s="41">
        <v>-66000000000</v>
      </c>
      <c r="K50" s="41">
        <v>-60000000000</v>
      </c>
    </row>
    <row r="51" spans="1:11" x14ac:dyDescent="0.25">
      <c r="A51" s="47">
        <v>44135</v>
      </c>
      <c r="B51" s="154">
        <v>3610000000</v>
      </c>
      <c r="C51" s="41">
        <v>2290000000</v>
      </c>
      <c r="D51" s="41">
        <v>1730000000</v>
      </c>
      <c r="E51" s="41">
        <v>4020000000</v>
      </c>
      <c r="G51" s="47">
        <v>44104</v>
      </c>
      <c r="H51" s="154">
        <v>-63900000000</v>
      </c>
      <c r="I51" s="41">
        <v>-63800000000</v>
      </c>
      <c r="J51" s="41">
        <v>-69000000000</v>
      </c>
      <c r="K51" s="41">
        <v>-62000000000</v>
      </c>
    </row>
    <row r="52" spans="1:11" x14ac:dyDescent="0.25">
      <c r="A52" s="47">
        <v>44104</v>
      </c>
      <c r="B52" s="154">
        <v>2440000000</v>
      </c>
      <c r="C52" s="41">
        <v>1980000000</v>
      </c>
      <c r="D52" s="41">
        <v>1500000000</v>
      </c>
      <c r="E52" s="41">
        <v>2840000000</v>
      </c>
      <c r="G52" s="47">
        <v>44074</v>
      </c>
      <c r="H52" s="154">
        <v>-67100000000</v>
      </c>
      <c r="I52" s="41">
        <v>-66100000000</v>
      </c>
      <c r="J52" s="41">
        <v>-67300000000</v>
      </c>
      <c r="K52" s="41">
        <v>-62700000000</v>
      </c>
    </row>
    <row r="53" spans="1:11" x14ac:dyDescent="0.25">
      <c r="A53" s="47">
        <v>44074</v>
      </c>
      <c r="B53" s="154">
        <v>2330000000</v>
      </c>
      <c r="C53" s="41">
        <v>2160000000</v>
      </c>
      <c r="D53" s="41">
        <v>1510000000</v>
      </c>
      <c r="E53" s="41">
        <v>3000000000</v>
      </c>
      <c r="G53" s="47">
        <v>44043</v>
      </c>
      <c r="H53" s="154">
        <v>-63600000000</v>
      </c>
      <c r="I53" s="41">
        <v>-58000000000</v>
      </c>
      <c r="J53" s="41">
        <v>-60000000000</v>
      </c>
      <c r="K53" s="41">
        <v>-49500000000</v>
      </c>
    </row>
    <row r="54" spans="1:11" x14ac:dyDescent="0.25">
      <c r="A54" s="47">
        <v>44043</v>
      </c>
      <c r="B54" s="154">
        <v>3260000000</v>
      </c>
      <c r="C54" s="41">
        <v>680000000</v>
      </c>
      <c r="D54" s="41">
        <v>-410000000</v>
      </c>
      <c r="E54" s="41">
        <v>3800000000</v>
      </c>
      <c r="G54" s="47">
        <v>44012</v>
      </c>
      <c r="H54" s="154">
        <v>-50700000000</v>
      </c>
      <c r="I54" s="41">
        <v>-50100000000</v>
      </c>
      <c r="J54" s="41">
        <v>-55300000000</v>
      </c>
      <c r="K54" s="41">
        <v>-46700000000</v>
      </c>
    </row>
    <row r="55" spans="1:11" x14ac:dyDescent="0.25">
      <c r="A55" s="47">
        <v>44012</v>
      </c>
      <c r="B55" s="154">
        <v>1270000000</v>
      </c>
      <c r="C55" s="41">
        <v>1110000000</v>
      </c>
      <c r="D55" s="41">
        <v>420000000</v>
      </c>
      <c r="E55" s="41">
        <v>2400000000</v>
      </c>
      <c r="G55" s="47">
        <v>43982</v>
      </c>
      <c r="H55" s="154">
        <v>-54600000000</v>
      </c>
      <c r="I55" s="41">
        <v>-53000000000</v>
      </c>
      <c r="J55" s="41">
        <v>-55600000000</v>
      </c>
      <c r="K55" s="41">
        <v>-43500000000</v>
      </c>
    </row>
    <row r="56" spans="1:11" x14ac:dyDescent="0.25">
      <c r="A56" s="47">
        <v>43982</v>
      </c>
      <c r="B56" s="154">
        <v>2090000000</v>
      </c>
      <c r="C56" s="41">
        <v>420000000</v>
      </c>
      <c r="D56" s="41">
        <v>-620000000</v>
      </c>
      <c r="E56" s="41">
        <v>1500000000</v>
      </c>
      <c r="G56" s="47">
        <v>43951</v>
      </c>
      <c r="H56" s="154">
        <v>-49400000000</v>
      </c>
      <c r="I56" s="41">
        <v>-49000000000</v>
      </c>
      <c r="J56" s="41">
        <v>-54000000000</v>
      </c>
      <c r="K56" s="41">
        <v>-37000000000</v>
      </c>
    </row>
    <row r="57" spans="1:11" x14ac:dyDescent="0.25">
      <c r="A57" s="47">
        <v>43951</v>
      </c>
      <c r="B57" s="154">
        <v>-350000000</v>
      </c>
      <c r="C57" s="41">
        <v>-200000000</v>
      </c>
      <c r="D57" s="41">
        <v>-1400000000</v>
      </c>
      <c r="E57" s="41">
        <v>1200000000</v>
      </c>
      <c r="G57" s="47">
        <v>43921</v>
      </c>
      <c r="H57" s="154">
        <v>-44400000000</v>
      </c>
      <c r="I57" s="41">
        <v>-44000000000</v>
      </c>
      <c r="J57" s="41">
        <v>-48000000000</v>
      </c>
      <c r="K57" s="41">
        <v>-33500000000</v>
      </c>
    </row>
    <row r="58" spans="1:11" x14ac:dyDescent="0.25">
      <c r="A58" s="47">
        <v>43921</v>
      </c>
      <c r="B58" s="154">
        <v>740000000</v>
      </c>
      <c r="C58" s="41">
        <v>760000000</v>
      </c>
      <c r="D58" s="41">
        <v>-320000000</v>
      </c>
      <c r="E58" s="41">
        <v>3360000000</v>
      </c>
      <c r="G58" s="47">
        <v>43890</v>
      </c>
      <c r="H58" s="154">
        <v>-39900000000</v>
      </c>
      <c r="I58" s="41">
        <v>-40000000000</v>
      </c>
      <c r="J58" s="41">
        <v>-48700000000</v>
      </c>
      <c r="K58" s="41">
        <v>-38200000000</v>
      </c>
    </row>
    <row r="59" spans="1:11" x14ac:dyDescent="0.25">
      <c r="A59" s="47">
        <v>43890</v>
      </c>
      <c r="B59" s="154">
        <v>2340000000</v>
      </c>
      <c r="C59" s="41">
        <v>90000000</v>
      </c>
      <c r="D59" s="41">
        <v>-1200000000</v>
      </c>
      <c r="E59" s="41">
        <v>760000000</v>
      </c>
      <c r="G59" s="47">
        <v>43861</v>
      </c>
      <c r="H59" s="154">
        <v>-45300000000</v>
      </c>
      <c r="I59" s="41">
        <v>-46100000000</v>
      </c>
      <c r="J59" s="41">
        <v>-51000000000</v>
      </c>
      <c r="K59" s="41">
        <v>-44700000000</v>
      </c>
    </row>
    <row r="60" spans="1:11" x14ac:dyDescent="0.25">
      <c r="A60" s="47">
        <v>43861</v>
      </c>
      <c r="B60" s="154">
        <v>-870000000</v>
      </c>
      <c r="C60" s="41">
        <v>-270000000</v>
      </c>
      <c r="D60" s="41">
        <v>-660000000</v>
      </c>
      <c r="E60" s="41">
        <v>130000000</v>
      </c>
      <c r="G60" s="47">
        <v>43830</v>
      </c>
      <c r="H60" s="154">
        <v>-48900000000</v>
      </c>
      <c r="I60" s="41">
        <v>-48200000000</v>
      </c>
      <c r="J60" s="41">
        <v>-49000000000</v>
      </c>
      <c r="K60" s="41">
        <v>-41200000000</v>
      </c>
    </row>
    <row r="61" spans="1:11" x14ac:dyDescent="0.25">
      <c r="A61" s="47">
        <v>43830</v>
      </c>
      <c r="B61" s="154">
        <v>-30000000</v>
      </c>
      <c r="C61" s="41">
        <v>-470000000</v>
      </c>
      <c r="D61" s="41">
        <v>-583800000000</v>
      </c>
      <c r="E61" s="41">
        <v>100000000</v>
      </c>
      <c r="G61" s="47">
        <v>43799</v>
      </c>
      <c r="H61" s="154">
        <v>-43100000000</v>
      </c>
      <c r="I61" s="41">
        <v>-43800000000</v>
      </c>
      <c r="J61" s="41">
        <v>-49300000000</v>
      </c>
      <c r="K61" s="41">
        <v>-40000000000</v>
      </c>
    </row>
    <row r="62" spans="1:11" x14ac:dyDescent="0.25">
      <c r="A62" s="47">
        <v>43799</v>
      </c>
      <c r="B62" s="154">
        <v>-1330000000</v>
      </c>
      <c r="C62" s="41">
        <v>-130000000</v>
      </c>
      <c r="D62" s="41">
        <v>-1120000000</v>
      </c>
      <c r="E62" s="41">
        <v>380000000</v>
      </c>
      <c r="G62" s="47">
        <v>43769</v>
      </c>
      <c r="H62" s="154">
        <v>-47200000000</v>
      </c>
      <c r="I62" s="41">
        <v>-48700000000</v>
      </c>
      <c r="J62" s="41">
        <v>-54300000000</v>
      </c>
      <c r="K62" s="41">
        <v>-46800000000</v>
      </c>
    </row>
    <row r="63" spans="1:11" x14ac:dyDescent="0.25">
      <c r="A63" s="47">
        <v>43769</v>
      </c>
      <c r="B63" s="154">
        <v>160000000</v>
      </c>
      <c r="C63" s="41">
        <v>-280000000</v>
      </c>
      <c r="D63" s="41">
        <v>-1130000000</v>
      </c>
      <c r="E63" s="41">
        <v>260000000</v>
      </c>
      <c r="G63" s="47">
        <v>43738</v>
      </c>
      <c r="H63" s="154">
        <v>-52500000000</v>
      </c>
      <c r="I63" s="41">
        <v>-52500000000</v>
      </c>
      <c r="J63" s="41">
        <v>-55800000000</v>
      </c>
      <c r="K63" s="41">
        <v>-50000000000</v>
      </c>
    </row>
    <row r="64" spans="1:11" x14ac:dyDescent="0.25">
      <c r="A64" s="47">
        <v>43738</v>
      </c>
      <c r="B64" s="154">
        <v>-160000000</v>
      </c>
      <c r="C64" s="41">
        <v>100000000</v>
      </c>
      <c r="D64" s="41">
        <v>-360000000</v>
      </c>
      <c r="E64" s="41">
        <v>550000000</v>
      </c>
      <c r="G64" s="47">
        <v>43708</v>
      </c>
      <c r="H64" s="154">
        <v>-54900000000</v>
      </c>
      <c r="I64" s="41">
        <v>-54500000000</v>
      </c>
      <c r="J64" s="41">
        <v>-56000000000</v>
      </c>
      <c r="K64" s="41">
        <v>-52000000000</v>
      </c>
    </row>
    <row r="65" spans="1:11" x14ac:dyDescent="0.25">
      <c r="A65" s="47">
        <v>43708</v>
      </c>
      <c r="B65" s="154">
        <v>80000000</v>
      </c>
      <c r="C65" s="41">
        <v>190000000</v>
      </c>
      <c r="D65" s="41">
        <v>-530000000</v>
      </c>
      <c r="E65" s="41">
        <v>560000000</v>
      </c>
      <c r="G65" s="47">
        <v>43677</v>
      </c>
      <c r="H65" s="154">
        <v>-54000000000</v>
      </c>
      <c r="I65" s="41">
        <v>-53500000000</v>
      </c>
      <c r="J65" s="41">
        <v>-57000000000</v>
      </c>
      <c r="K65" s="41">
        <v>-52300000000</v>
      </c>
    </row>
    <row r="66" spans="1:11" x14ac:dyDescent="0.25">
      <c r="A66" s="47">
        <v>43677</v>
      </c>
      <c r="B66" s="154">
        <v>-60000000</v>
      </c>
      <c r="C66" s="41">
        <v>-420000000</v>
      </c>
      <c r="D66" s="41">
        <v>-1220000000</v>
      </c>
      <c r="E66" s="41">
        <v>100000000</v>
      </c>
      <c r="G66" s="47">
        <v>43646</v>
      </c>
      <c r="H66" s="154">
        <v>-55200000000</v>
      </c>
      <c r="I66" s="41">
        <v>-54600000000</v>
      </c>
      <c r="J66" s="41">
        <v>-57000000000</v>
      </c>
      <c r="K66" s="41">
        <v>-53300000000</v>
      </c>
    </row>
    <row r="67" spans="1:11" x14ac:dyDescent="0.25">
      <c r="A67" s="47">
        <v>43646</v>
      </c>
      <c r="B67" s="154">
        <v>200000000</v>
      </c>
      <c r="C67" s="41">
        <v>690000000</v>
      </c>
      <c r="D67" s="41">
        <v>140000000</v>
      </c>
      <c r="E67" s="41">
        <v>1890000000</v>
      </c>
      <c r="G67" s="47">
        <v>43616</v>
      </c>
      <c r="H67" s="154">
        <v>-55500000000</v>
      </c>
      <c r="I67" s="41">
        <v>-54000000000</v>
      </c>
      <c r="J67" s="41">
        <v>-55500000000</v>
      </c>
      <c r="K67" s="41">
        <v>-49500000000</v>
      </c>
    </row>
    <row r="68" spans="1:11" x14ac:dyDescent="0.25">
      <c r="A68" s="47">
        <v>43616</v>
      </c>
      <c r="B68" s="154">
        <v>210000000</v>
      </c>
      <c r="C68" s="41">
        <v>-1380000000</v>
      </c>
      <c r="D68" s="41">
        <v>-1760000000</v>
      </c>
      <c r="E68" s="41">
        <v>160000000</v>
      </c>
      <c r="G68" s="47">
        <v>43585</v>
      </c>
      <c r="H68" s="154">
        <v>-50800000000</v>
      </c>
      <c r="I68" s="41">
        <v>-50700000000</v>
      </c>
      <c r="J68" s="41">
        <v>-53200000000</v>
      </c>
      <c r="K68" s="41">
        <v>-46200000000</v>
      </c>
    </row>
    <row r="69" spans="1:11" x14ac:dyDescent="0.25">
      <c r="A69" s="47">
        <v>43585</v>
      </c>
      <c r="B69" s="154">
        <v>-2500000000</v>
      </c>
      <c r="C69" s="41">
        <v>-500000000</v>
      </c>
      <c r="D69" s="41">
        <v>-1850000000</v>
      </c>
      <c r="E69" s="41">
        <v>-30000000</v>
      </c>
      <c r="G69" s="47">
        <v>43555</v>
      </c>
      <c r="H69" s="154">
        <v>-50000000000</v>
      </c>
      <c r="I69" s="41">
        <v>-50200000000</v>
      </c>
      <c r="J69" s="41">
        <v>-54200000000</v>
      </c>
      <c r="K69" s="41">
        <v>-48500000000</v>
      </c>
    </row>
    <row r="70" spans="1:11" x14ac:dyDescent="0.25">
      <c r="A70" s="47">
        <v>43555</v>
      </c>
      <c r="B70" s="154">
        <v>540000000</v>
      </c>
      <c r="C70" s="41">
        <v>-180000000</v>
      </c>
      <c r="D70" s="41">
        <v>-460000000</v>
      </c>
      <c r="E70" s="41">
        <v>1300000000</v>
      </c>
      <c r="G70" s="47">
        <v>43524</v>
      </c>
      <c r="H70" s="154">
        <v>-49400000000</v>
      </c>
      <c r="I70" s="41">
        <v>-53500000000</v>
      </c>
      <c r="J70" s="41">
        <v>-55400000000</v>
      </c>
      <c r="K70" s="41">
        <v>-49000000000</v>
      </c>
    </row>
    <row r="71" spans="1:11" x14ac:dyDescent="0.25">
      <c r="A71" s="47">
        <v>43524</v>
      </c>
      <c r="B71" s="154">
        <v>330000000</v>
      </c>
      <c r="C71" s="41">
        <v>-700000000</v>
      </c>
      <c r="D71" s="41">
        <v>-980000000</v>
      </c>
      <c r="E71" s="41">
        <v>280000000</v>
      </c>
      <c r="G71" s="47">
        <v>43496</v>
      </c>
      <c r="H71" s="154">
        <v>-51100000000</v>
      </c>
      <c r="I71" s="41">
        <v>-57000000000</v>
      </c>
      <c r="J71" s="41">
        <v>-60600000000</v>
      </c>
      <c r="K71" s="41">
        <v>57500000000</v>
      </c>
    </row>
    <row r="72" spans="1:11" x14ac:dyDescent="0.25">
      <c r="A72" s="47">
        <v>43496</v>
      </c>
      <c r="B72" s="154">
        <v>-1160000000</v>
      </c>
      <c r="C72" s="41">
        <v>-970000000</v>
      </c>
      <c r="D72" s="41">
        <v>-1540000000</v>
      </c>
      <c r="E72" s="41">
        <v>-600000000</v>
      </c>
      <c r="G72" s="47">
        <v>43465</v>
      </c>
      <c r="H72" s="154">
        <v>-59800000000</v>
      </c>
      <c r="I72" s="41">
        <v>-57900000000</v>
      </c>
      <c r="J72" s="41">
        <v>-58600000000</v>
      </c>
      <c r="K72" s="41">
        <v>-49000000000</v>
      </c>
    </row>
    <row r="73" spans="1:11" x14ac:dyDescent="0.25">
      <c r="A73" s="47">
        <v>43465</v>
      </c>
      <c r="B73" s="154">
        <v>-1100000000</v>
      </c>
      <c r="C73" s="41">
        <v>-930000000</v>
      </c>
      <c r="D73" s="41">
        <v>-2010000000</v>
      </c>
      <c r="E73" s="41">
        <v>980000000</v>
      </c>
      <c r="G73" s="47">
        <v>43434</v>
      </c>
      <c r="H73" s="154">
        <v>-49300000000</v>
      </c>
      <c r="I73" s="41">
        <v>-54000000000</v>
      </c>
      <c r="J73" s="41">
        <v>-57000000000</v>
      </c>
      <c r="K73" s="41">
        <v>-51600000000</v>
      </c>
    </row>
    <row r="74" spans="1:11" x14ac:dyDescent="0.25">
      <c r="A74" s="47">
        <v>43434</v>
      </c>
      <c r="B74" s="154">
        <v>-2050000000</v>
      </c>
      <c r="C74" s="41">
        <v>-830000000</v>
      </c>
      <c r="D74" s="41">
        <v>-2200000000</v>
      </c>
      <c r="E74" s="41">
        <v>-220000000</v>
      </c>
      <c r="G74" s="47">
        <v>43404</v>
      </c>
      <c r="H74" s="154">
        <v>-55500000000</v>
      </c>
      <c r="I74" s="41">
        <v>-55000000000</v>
      </c>
      <c r="J74" s="41">
        <v>-55300000000</v>
      </c>
      <c r="K74" s="41">
        <v>-52500000000</v>
      </c>
    </row>
    <row r="75" spans="1:11" x14ac:dyDescent="0.25">
      <c r="A75" s="47">
        <v>43404</v>
      </c>
      <c r="B75" s="154">
        <v>-1820000000</v>
      </c>
      <c r="C75" s="41">
        <v>-170000000</v>
      </c>
      <c r="D75" s="41">
        <v>-680000000</v>
      </c>
      <c r="E75" s="41">
        <v>350000000</v>
      </c>
      <c r="G75" s="47">
        <v>43373</v>
      </c>
      <c r="H75" s="154">
        <v>-54000000000</v>
      </c>
      <c r="I75" s="41">
        <v>-53600000000</v>
      </c>
      <c r="J75" s="41">
        <v>-54500000000</v>
      </c>
      <c r="K75" s="41">
        <v>-51000000000</v>
      </c>
    </row>
    <row r="76" spans="1:11" x14ac:dyDescent="0.25">
      <c r="A76" s="47">
        <v>43373</v>
      </c>
      <c r="B76" s="154">
        <v>230000000</v>
      </c>
      <c r="C76" s="41">
        <v>-500000000</v>
      </c>
      <c r="D76" s="41">
        <v>-1400000000</v>
      </c>
      <c r="E76" s="41">
        <v>680000000</v>
      </c>
      <c r="G76" s="47">
        <v>43343</v>
      </c>
      <c r="H76" s="154">
        <v>-53200000000</v>
      </c>
      <c r="I76" s="41">
        <v>-53500000000</v>
      </c>
      <c r="J76" s="41">
        <v>-55000000000</v>
      </c>
      <c r="K76" s="41">
        <v>-47600000000</v>
      </c>
    </row>
    <row r="77" spans="1:11" x14ac:dyDescent="0.25">
      <c r="A77" s="47">
        <v>43343</v>
      </c>
      <c r="B77" s="154">
        <v>-1020000000</v>
      </c>
      <c r="C77" s="41">
        <v>-680000000</v>
      </c>
      <c r="D77" s="41">
        <v>-1510000000</v>
      </c>
      <c r="E77" s="41">
        <v>630000000</v>
      </c>
      <c r="G77" s="47">
        <v>43312</v>
      </c>
      <c r="H77" s="154">
        <v>-50100000000</v>
      </c>
      <c r="I77" s="41">
        <v>-50300000000</v>
      </c>
      <c r="J77" s="41">
        <v>-51200000000</v>
      </c>
      <c r="K77" s="41">
        <v>-44900000000</v>
      </c>
    </row>
    <row r="78" spans="1:11" x14ac:dyDescent="0.25">
      <c r="A78" s="47">
        <v>43312</v>
      </c>
      <c r="B78" s="154">
        <v>-2030000000</v>
      </c>
      <c r="C78" s="41">
        <v>-600000000</v>
      </c>
      <c r="D78" s="41">
        <v>-1010000000</v>
      </c>
      <c r="E78" s="41">
        <v>-300000000</v>
      </c>
      <c r="G78" s="47">
        <v>43281</v>
      </c>
      <c r="H78" s="154">
        <v>-46300000000</v>
      </c>
      <c r="I78" s="41">
        <v>-46500000000</v>
      </c>
      <c r="J78" s="41">
        <v>-48000000000</v>
      </c>
      <c r="K78" s="41">
        <v>-41500000000</v>
      </c>
    </row>
    <row r="79" spans="1:11" x14ac:dyDescent="0.25">
      <c r="A79" s="47">
        <v>43281</v>
      </c>
      <c r="B79" s="154">
        <v>1740000000</v>
      </c>
      <c r="C79" s="41">
        <v>650000000</v>
      </c>
      <c r="D79" s="41">
        <v>220000000</v>
      </c>
      <c r="E79" s="41">
        <v>1400000000</v>
      </c>
      <c r="G79" s="47">
        <v>43251</v>
      </c>
      <c r="H79" s="154">
        <v>-43100000000</v>
      </c>
      <c r="I79" s="41">
        <v>-43700000000</v>
      </c>
      <c r="J79" s="41">
        <v>-50500000000</v>
      </c>
      <c r="K79" s="41">
        <v>-42000000000</v>
      </c>
    </row>
    <row r="80" spans="1:11" x14ac:dyDescent="0.25">
      <c r="A80" s="47">
        <v>43251</v>
      </c>
      <c r="B80" s="154">
        <v>-1520000000</v>
      </c>
      <c r="C80" s="41">
        <v>-380000000</v>
      </c>
      <c r="D80" s="41">
        <v>-2140000000</v>
      </c>
      <c r="E80" s="41">
        <v>1030000000</v>
      </c>
      <c r="G80" s="47">
        <v>43220</v>
      </c>
      <c r="H80" s="154">
        <v>-46200000000</v>
      </c>
      <c r="I80" s="41">
        <v>-49000000000</v>
      </c>
      <c r="J80" s="41">
        <v>-52500000000</v>
      </c>
      <c r="K80" s="41">
        <v>-47600000000</v>
      </c>
    </row>
    <row r="81" spans="1:11" x14ac:dyDescent="0.25">
      <c r="A81" s="47">
        <v>43220</v>
      </c>
      <c r="B81" s="154">
        <v>-1620000000</v>
      </c>
      <c r="C81" s="41">
        <v>700000000</v>
      </c>
      <c r="D81" s="41">
        <v>480000000</v>
      </c>
      <c r="E81" s="41">
        <v>1650000000</v>
      </c>
      <c r="G81" s="47">
        <v>43190</v>
      </c>
      <c r="H81" s="154">
        <v>-49000000000</v>
      </c>
      <c r="I81" s="41">
        <v>-50000000000</v>
      </c>
      <c r="J81" s="41">
        <v>-57800000000</v>
      </c>
      <c r="K81" s="41">
        <v>-47500000000</v>
      </c>
    </row>
    <row r="82" spans="1:11" x14ac:dyDescent="0.25">
      <c r="A82" s="47">
        <v>43190</v>
      </c>
      <c r="B82" s="154">
        <v>1090000000</v>
      </c>
      <c r="C82" s="41">
        <v>-90000000</v>
      </c>
      <c r="D82" s="41">
        <v>-400000000</v>
      </c>
      <c r="E82" s="41">
        <v>250000000</v>
      </c>
      <c r="G82" s="47">
        <v>43159</v>
      </c>
      <c r="H82" s="154">
        <v>-57600000000</v>
      </c>
      <c r="I82" s="41">
        <v>-56800000000</v>
      </c>
      <c r="J82" s="41">
        <v>-57800000000</v>
      </c>
      <c r="K82" s="41">
        <v>-55000000000</v>
      </c>
    </row>
    <row r="83" spans="1:11" x14ac:dyDescent="0.25">
      <c r="A83" s="47">
        <v>43159</v>
      </c>
      <c r="B83" s="154">
        <v>-110000000</v>
      </c>
      <c r="C83" s="41">
        <v>-130000000</v>
      </c>
      <c r="D83" s="41">
        <v>-830000000</v>
      </c>
      <c r="E83" s="41">
        <v>260000000</v>
      </c>
      <c r="G83" s="47">
        <v>43131</v>
      </c>
      <c r="H83" s="154">
        <v>-56600000000</v>
      </c>
      <c r="I83" s="41">
        <v>-55100000000</v>
      </c>
      <c r="J83" s="41">
        <v>-56000000000</v>
      </c>
      <c r="K83" s="41">
        <v>-51000000000</v>
      </c>
    </row>
    <row r="84" spans="1:11" x14ac:dyDescent="0.25">
      <c r="A84" s="47">
        <v>43131</v>
      </c>
      <c r="B84" s="154">
        <v>-670000000</v>
      </c>
      <c r="C84" s="41">
        <v>190000000</v>
      </c>
      <c r="D84" s="41">
        <v>-300000000</v>
      </c>
      <c r="E84" s="41">
        <v>1100000000</v>
      </c>
      <c r="G84" s="47">
        <v>43100</v>
      </c>
      <c r="H84" s="154">
        <v>-53100000000</v>
      </c>
      <c r="I84" s="41">
        <v>-52000000000</v>
      </c>
      <c r="J84" s="41">
        <v>-52700000000</v>
      </c>
      <c r="K84" s="41">
        <v>-50000000000</v>
      </c>
    </row>
    <row r="85" spans="1:11" x14ac:dyDescent="0.25">
      <c r="A85" s="47">
        <v>43100</v>
      </c>
      <c r="B85" s="154">
        <v>-270000000</v>
      </c>
      <c r="C85" s="41">
        <v>640000000</v>
      </c>
      <c r="D85" s="41">
        <v>300000000</v>
      </c>
      <c r="E85" s="41">
        <v>1300000000</v>
      </c>
      <c r="G85" s="47">
        <v>43069</v>
      </c>
      <c r="H85" s="154">
        <v>-50500000000</v>
      </c>
      <c r="I85" s="41">
        <v>-49500000000</v>
      </c>
      <c r="J85" s="41">
        <v>-54000000000</v>
      </c>
      <c r="K85" s="41">
        <v>-44000000000</v>
      </c>
    </row>
    <row r="86" spans="1:11" x14ac:dyDescent="0.25">
      <c r="A86" s="47">
        <v>43069</v>
      </c>
      <c r="B86" s="154">
        <v>130000000</v>
      </c>
      <c r="C86" s="41">
        <v>920000000</v>
      </c>
      <c r="D86" s="41">
        <v>330000000</v>
      </c>
      <c r="E86" s="41">
        <v>1300000000</v>
      </c>
      <c r="G86" s="47">
        <v>43039</v>
      </c>
      <c r="H86" s="154">
        <v>-48700000000</v>
      </c>
      <c r="I86" s="41">
        <v>-47500000000</v>
      </c>
      <c r="J86" s="41">
        <v>-47900000000</v>
      </c>
      <c r="K86" s="41">
        <v>-38500000000</v>
      </c>
    </row>
    <row r="87" spans="1:11" x14ac:dyDescent="0.25">
      <c r="A87" s="47">
        <v>43039</v>
      </c>
      <c r="B87" s="154">
        <v>900000000</v>
      </c>
      <c r="C87" s="41">
        <v>1630000000</v>
      </c>
      <c r="D87" s="41">
        <v>940000000</v>
      </c>
      <c r="E87" s="41">
        <v>2200000000</v>
      </c>
      <c r="G87" s="47">
        <v>43008</v>
      </c>
      <c r="H87" s="154">
        <v>-43500000000</v>
      </c>
      <c r="I87" s="41">
        <v>-43200000000</v>
      </c>
      <c r="J87" s="41">
        <v>-44400000000</v>
      </c>
      <c r="K87" s="41">
        <v>-40000000000</v>
      </c>
    </row>
    <row r="88" spans="1:11" x14ac:dyDescent="0.25">
      <c r="A88" s="47">
        <v>43008</v>
      </c>
      <c r="B88" s="154">
        <v>1760000000</v>
      </c>
      <c r="C88" s="41">
        <v>1180000000</v>
      </c>
      <c r="D88" s="41">
        <v>700000000</v>
      </c>
      <c r="E88" s="41">
        <v>2040000000</v>
      </c>
      <c r="G88" s="47">
        <v>42978</v>
      </c>
      <c r="H88" s="154">
        <v>-42400000000</v>
      </c>
      <c r="I88" s="41">
        <v>-42700000000</v>
      </c>
      <c r="J88" s="41">
        <v>-45200000000</v>
      </c>
      <c r="K88" s="41">
        <v>-41400000000</v>
      </c>
    </row>
    <row r="89" spans="1:11" x14ac:dyDescent="0.25">
      <c r="A89" s="47">
        <v>42978</v>
      </c>
      <c r="B89" s="154">
        <v>1720000000</v>
      </c>
      <c r="C89" s="41">
        <v>520000000</v>
      </c>
      <c r="D89" s="41">
        <v>-240000000</v>
      </c>
      <c r="E89" s="41">
        <v>700000000</v>
      </c>
      <c r="G89" s="47">
        <v>42947</v>
      </c>
      <c r="H89" s="154">
        <v>-43700000000</v>
      </c>
      <c r="I89" s="41">
        <v>-44600000000</v>
      </c>
      <c r="J89" s="41">
        <v>-45500000000</v>
      </c>
      <c r="K89" s="41">
        <v>-43000000000</v>
      </c>
    </row>
    <row r="90" spans="1:11" x14ac:dyDescent="0.25">
      <c r="A90" s="47">
        <v>42947</v>
      </c>
      <c r="B90" s="154">
        <v>-270000000</v>
      </c>
      <c r="C90" s="41">
        <v>1100000000</v>
      </c>
      <c r="D90" s="41">
        <v>200000000</v>
      </c>
      <c r="E90" s="41">
        <v>1800000000</v>
      </c>
      <c r="G90" s="47">
        <v>42916</v>
      </c>
      <c r="H90" s="154">
        <v>-43600000000</v>
      </c>
      <c r="I90" s="41">
        <v>-45000000000</v>
      </c>
      <c r="J90" s="41">
        <v>-48000000000</v>
      </c>
      <c r="K90" s="41">
        <v>-43700000000</v>
      </c>
    </row>
    <row r="91" spans="1:11" x14ac:dyDescent="0.25">
      <c r="A91" s="47">
        <v>42916</v>
      </c>
      <c r="B91" s="154">
        <v>1630000000</v>
      </c>
      <c r="C91" s="41">
        <v>820000000</v>
      </c>
      <c r="D91" s="41">
        <v>300000000</v>
      </c>
      <c r="E91" s="41">
        <v>1460000000</v>
      </c>
      <c r="G91" s="47">
        <v>42886</v>
      </c>
      <c r="H91" s="154">
        <v>-46500000000</v>
      </c>
      <c r="I91" s="41">
        <v>-46200000000</v>
      </c>
      <c r="J91" s="41">
        <v>-49000000000</v>
      </c>
      <c r="K91" s="41">
        <v>-39000000000</v>
      </c>
    </row>
    <row r="92" spans="1:11" x14ac:dyDescent="0.25">
      <c r="A92" s="47">
        <v>42886</v>
      </c>
      <c r="B92" s="154">
        <v>470000000</v>
      </c>
      <c r="C92" s="41">
        <v>1090000000</v>
      </c>
      <c r="D92" s="41">
        <v>330000000</v>
      </c>
      <c r="E92" s="41">
        <v>1890000000</v>
      </c>
      <c r="G92" s="47">
        <v>42855</v>
      </c>
      <c r="H92" s="154">
        <v>-47600000000</v>
      </c>
      <c r="I92" s="41">
        <v>-46100000000</v>
      </c>
      <c r="J92" s="41">
        <v>-47500000000</v>
      </c>
      <c r="K92" s="41">
        <v>-42700000000</v>
      </c>
    </row>
    <row r="93" spans="1:11" x14ac:dyDescent="0.25">
      <c r="A93" s="47">
        <v>42855</v>
      </c>
      <c r="B93" s="154">
        <v>1240000000</v>
      </c>
      <c r="C93" s="41">
        <v>860000000</v>
      </c>
      <c r="D93" s="41">
        <v>100000000</v>
      </c>
      <c r="E93" s="41">
        <v>1500000000</v>
      </c>
      <c r="G93" s="47">
        <v>42825</v>
      </c>
      <c r="H93" s="154">
        <v>-43700000000</v>
      </c>
      <c r="I93" s="41">
        <v>-44500000000</v>
      </c>
      <c r="J93" s="41">
        <v>-47800000000</v>
      </c>
      <c r="K93" s="41">
        <v>-41400000000</v>
      </c>
    </row>
    <row r="94" spans="1:11" x14ac:dyDescent="0.25">
      <c r="A94" s="47">
        <v>42825</v>
      </c>
      <c r="B94" s="154">
        <v>1230000000</v>
      </c>
      <c r="C94" s="41">
        <v>1200000000</v>
      </c>
      <c r="D94" s="41">
        <v>350000000</v>
      </c>
      <c r="E94" s="41">
        <v>1720000000</v>
      </c>
      <c r="G94" s="47">
        <v>42794</v>
      </c>
      <c r="H94" s="154">
        <v>-43600000000</v>
      </c>
      <c r="I94" s="41">
        <v>-44800000000</v>
      </c>
      <c r="J94" s="41">
        <v>-47000000000</v>
      </c>
      <c r="K94" s="41">
        <v>-43600000000</v>
      </c>
    </row>
    <row r="95" spans="1:11" x14ac:dyDescent="0.25">
      <c r="A95" s="47">
        <v>42794</v>
      </c>
      <c r="B95" s="154">
        <v>1320000000</v>
      </c>
      <c r="C95" s="41">
        <v>1220000000</v>
      </c>
      <c r="D95" s="41">
        <v>510000000</v>
      </c>
      <c r="E95" s="41">
        <v>2900000000</v>
      </c>
      <c r="G95" s="47">
        <v>42766</v>
      </c>
      <c r="H95" s="154">
        <v>-48500000000</v>
      </c>
      <c r="I95" s="41">
        <v>-48500000000</v>
      </c>
      <c r="J95" s="41">
        <v>-49600000000</v>
      </c>
      <c r="K95" s="41">
        <v>-42700000000</v>
      </c>
    </row>
    <row r="96" spans="1:11" x14ac:dyDescent="0.25">
      <c r="A96" s="47">
        <v>42766</v>
      </c>
      <c r="B96" s="154">
        <v>1400000000</v>
      </c>
      <c r="C96" s="41">
        <v>850000000</v>
      </c>
      <c r="D96" s="41">
        <v>200000000</v>
      </c>
      <c r="E96" s="41">
        <v>1210000000</v>
      </c>
      <c r="G96" s="47">
        <v>42735</v>
      </c>
      <c r="H96" s="154">
        <v>-44300000000</v>
      </c>
      <c r="I96" s="41">
        <v>-45000000000</v>
      </c>
      <c r="J96" s="41">
        <v>-46800000000</v>
      </c>
      <c r="K96" s="41">
        <v>-42000000000</v>
      </c>
    </row>
    <row r="97" spans="1:11" x14ac:dyDescent="0.25">
      <c r="A97" s="47">
        <v>42735</v>
      </c>
      <c r="B97" s="154">
        <v>990000000</v>
      </c>
      <c r="C97" s="41">
        <v>840000000</v>
      </c>
      <c r="D97" s="41">
        <v>130000000</v>
      </c>
      <c r="E97" s="41">
        <v>1240000000</v>
      </c>
      <c r="G97" s="47">
        <v>42704</v>
      </c>
      <c r="H97" s="154">
        <v>-45200000000</v>
      </c>
      <c r="I97" s="41">
        <v>-42500000000</v>
      </c>
      <c r="J97" s="41">
        <v>-61500000000</v>
      </c>
      <c r="K97" s="41">
        <v>44200000000</v>
      </c>
    </row>
    <row r="98" spans="1:11" x14ac:dyDescent="0.25">
      <c r="A98" s="47">
        <v>42704</v>
      </c>
      <c r="B98" s="154">
        <v>840000000</v>
      </c>
      <c r="C98" s="41">
        <v>820000000</v>
      </c>
      <c r="D98" s="41">
        <v>-200000000</v>
      </c>
      <c r="E98" s="41">
        <v>1380000000</v>
      </c>
      <c r="G98" s="47">
        <v>42674</v>
      </c>
      <c r="H98" s="154">
        <v>-42600000000</v>
      </c>
      <c r="I98" s="41">
        <v>-41800000000</v>
      </c>
      <c r="J98" s="41">
        <v>-44000000000</v>
      </c>
      <c r="K98" s="41">
        <v>-34700000000</v>
      </c>
    </row>
    <row r="99" spans="1:11" x14ac:dyDescent="0.25">
      <c r="A99" s="47">
        <v>42674</v>
      </c>
      <c r="B99" s="154">
        <v>1210000000</v>
      </c>
      <c r="C99" s="41">
        <v>1030000000</v>
      </c>
      <c r="D99" s="41">
        <v>680000000</v>
      </c>
      <c r="E99" s="41">
        <v>1800000000</v>
      </c>
      <c r="G99" s="47">
        <v>42643</v>
      </c>
      <c r="H99" s="154">
        <v>-36400000000</v>
      </c>
      <c r="I99" s="41">
        <v>-37800000000</v>
      </c>
      <c r="J99" s="41">
        <v>-43000000000</v>
      </c>
      <c r="K99" s="41">
        <v>-35900000000</v>
      </c>
    </row>
    <row r="100" spans="1:11" x14ac:dyDescent="0.25">
      <c r="A100" s="47">
        <v>42643</v>
      </c>
      <c r="B100" s="154">
        <v>1210000000</v>
      </c>
      <c r="C100" s="41">
        <v>450000000</v>
      </c>
      <c r="D100" s="41">
        <v>290000000</v>
      </c>
      <c r="E100" s="41">
        <v>1400000000</v>
      </c>
      <c r="G100" s="47">
        <v>42613</v>
      </c>
      <c r="H100" s="154">
        <v>-40700000000</v>
      </c>
      <c r="I100" s="41">
        <v>-39300000000</v>
      </c>
      <c r="J100" s="41">
        <v>-44000000000</v>
      </c>
      <c r="K100" s="41">
        <v>-37000000000</v>
      </c>
    </row>
    <row r="101" spans="1:11" x14ac:dyDescent="0.25">
      <c r="A101" s="47">
        <v>42613</v>
      </c>
      <c r="B101" s="154">
        <v>290000000</v>
      </c>
      <c r="C101" s="41">
        <v>450000000</v>
      </c>
      <c r="D101" s="41">
        <v>170000000</v>
      </c>
      <c r="E101" s="41">
        <v>910000000</v>
      </c>
      <c r="G101" s="47">
        <v>42582</v>
      </c>
      <c r="H101" s="154">
        <v>-39500000000</v>
      </c>
      <c r="I101" s="41">
        <v>-42700000000</v>
      </c>
      <c r="J101" s="41">
        <v>-46000000000</v>
      </c>
      <c r="K101" s="41">
        <v>-38700000000</v>
      </c>
    </row>
    <row r="102" spans="1:11" x14ac:dyDescent="0.25">
      <c r="A102" s="47">
        <v>42582</v>
      </c>
      <c r="B102" s="154">
        <v>590000000</v>
      </c>
      <c r="C102" s="41">
        <v>800000000</v>
      </c>
      <c r="D102" s="41">
        <v>300000000</v>
      </c>
      <c r="E102" s="41">
        <v>1540000000</v>
      </c>
      <c r="G102" s="47">
        <v>42551</v>
      </c>
      <c r="H102" s="154">
        <v>-44500000000</v>
      </c>
      <c r="I102" s="41">
        <v>-43100000000</v>
      </c>
      <c r="J102" s="41">
        <v>-45400000000</v>
      </c>
      <c r="K102" s="41">
        <v>-39600000000</v>
      </c>
    </row>
    <row r="103" spans="1:11" x14ac:dyDescent="0.25">
      <c r="A103" s="47">
        <v>42551</v>
      </c>
      <c r="B103" s="154">
        <v>900000000</v>
      </c>
      <c r="C103" s="41">
        <v>300000000</v>
      </c>
      <c r="D103" s="41">
        <v>-580000000</v>
      </c>
      <c r="E103" s="41">
        <v>720000000</v>
      </c>
      <c r="G103" s="47">
        <v>42521</v>
      </c>
      <c r="H103" s="154">
        <v>-41100000000</v>
      </c>
      <c r="I103" s="41">
        <v>-40000000000</v>
      </c>
      <c r="J103" s="41">
        <v>-41900000000</v>
      </c>
      <c r="K103" s="41">
        <v>-37400000000</v>
      </c>
    </row>
    <row r="104" spans="1:11" x14ac:dyDescent="0.25">
      <c r="A104" s="47">
        <v>42521</v>
      </c>
      <c r="B104" s="154">
        <v>370000000</v>
      </c>
      <c r="C104" s="41">
        <v>680000000</v>
      </c>
      <c r="D104" s="41">
        <v>120000000</v>
      </c>
      <c r="E104" s="41">
        <v>1730000000</v>
      </c>
      <c r="G104" s="47">
        <v>42490</v>
      </c>
      <c r="H104" s="154">
        <v>-37400000000</v>
      </c>
      <c r="I104" s="41">
        <v>-41300000000</v>
      </c>
      <c r="J104" s="41">
        <v>-44000000000</v>
      </c>
      <c r="K104" s="41">
        <v>42400000000</v>
      </c>
    </row>
    <row r="105" spans="1:11" x14ac:dyDescent="0.25">
      <c r="A105" s="47">
        <v>42490</v>
      </c>
      <c r="B105" s="154">
        <v>670000000</v>
      </c>
      <c r="C105" s="41">
        <v>190000000</v>
      </c>
      <c r="D105" s="41">
        <v>-440000000</v>
      </c>
      <c r="E105" s="41">
        <v>620000000</v>
      </c>
      <c r="G105" s="47">
        <v>42460</v>
      </c>
      <c r="H105" s="154">
        <v>-40400000000</v>
      </c>
      <c r="I105" s="41">
        <v>-41500000000</v>
      </c>
      <c r="J105" s="41">
        <v>-49000000000</v>
      </c>
      <c r="K105" s="41">
        <v>-40000000000</v>
      </c>
    </row>
    <row r="106" spans="1:11" x14ac:dyDescent="0.25">
      <c r="A106" s="47">
        <v>42460</v>
      </c>
      <c r="B106" s="154">
        <v>500000000</v>
      </c>
      <c r="C106" s="41">
        <v>500000000</v>
      </c>
      <c r="D106" s="41">
        <v>120000000</v>
      </c>
      <c r="E106" s="41">
        <v>1600000000</v>
      </c>
      <c r="G106" s="47">
        <v>42429</v>
      </c>
      <c r="H106" s="154">
        <v>-47100000000</v>
      </c>
      <c r="I106" s="41">
        <v>-46200000000</v>
      </c>
      <c r="J106" s="41">
        <v>-48300000000</v>
      </c>
      <c r="K106" s="41">
        <v>-43000000000</v>
      </c>
    </row>
    <row r="107" spans="1:11" x14ac:dyDescent="0.25">
      <c r="A107" s="47">
        <v>42429</v>
      </c>
      <c r="B107" s="154">
        <v>1140000000</v>
      </c>
      <c r="C107" s="41">
        <v>80000000</v>
      </c>
      <c r="D107" s="41">
        <v>-810000000</v>
      </c>
      <c r="E107" s="41">
        <v>560000000</v>
      </c>
      <c r="G107" s="47">
        <v>42400</v>
      </c>
      <c r="H107" s="154">
        <v>-45700000000</v>
      </c>
      <c r="I107" s="41">
        <v>-44000000000</v>
      </c>
      <c r="J107" s="41">
        <v>-45300000000</v>
      </c>
      <c r="K107" s="41">
        <v>-39100000000</v>
      </c>
    </row>
    <row r="108" spans="1:11" x14ac:dyDescent="0.25">
      <c r="A108" s="47">
        <v>42400</v>
      </c>
      <c r="B108" s="154">
        <v>50000000</v>
      </c>
      <c r="C108" s="41">
        <v>-360000000</v>
      </c>
      <c r="D108" s="41">
        <v>-640000000</v>
      </c>
      <c r="E108" s="41">
        <v>180000000</v>
      </c>
      <c r="G108" s="47">
        <v>42369</v>
      </c>
      <c r="H108" s="154">
        <v>-43400000000</v>
      </c>
      <c r="I108" s="41">
        <v>-43000000000</v>
      </c>
      <c r="J108" s="41">
        <v>-44200000000</v>
      </c>
      <c r="K108" s="41">
        <v>-40000000000</v>
      </c>
    </row>
    <row r="109" spans="1:11" x14ac:dyDescent="0.25">
      <c r="A109" s="47">
        <v>42369</v>
      </c>
      <c r="B109" s="154">
        <v>-240000000</v>
      </c>
      <c r="C109" s="41">
        <v>100000000</v>
      </c>
      <c r="D109" s="41">
        <v>-910000000</v>
      </c>
      <c r="E109" s="41">
        <v>910000000</v>
      </c>
      <c r="G109" s="47">
        <v>42338</v>
      </c>
      <c r="H109" s="154">
        <v>-42400000000</v>
      </c>
      <c r="I109" s="41">
        <v>-44000000000</v>
      </c>
      <c r="J109" s="41">
        <v>-48500000000</v>
      </c>
      <c r="K109" s="41">
        <v>-40500000000</v>
      </c>
    </row>
    <row r="110" spans="1:11" x14ac:dyDescent="0.25">
      <c r="A110" s="47">
        <v>42338</v>
      </c>
      <c r="B110" s="154">
        <v>-350000000</v>
      </c>
      <c r="C110" s="41">
        <v>840000000</v>
      </c>
      <c r="D110" s="41">
        <v>400000000</v>
      </c>
      <c r="E110" s="41">
        <v>1180000000</v>
      </c>
      <c r="G110" s="47">
        <v>42308</v>
      </c>
      <c r="H110" s="154">
        <v>-43900000000</v>
      </c>
      <c r="I110" s="41">
        <v>-40500000000</v>
      </c>
      <c r="J110" s="41">
        <v>-44000000000</v>
      </c>
      <c r="K110" s="41">
        <v>-38900000000</v>
      </c>
    </row>
    <row r="111" spans="1:11" x14ac:dyDescent="0.25">
      <c r="A111" s="47">
        <v>42308</v>
      </c>
      <c r="B111" s="154">
        <v>1010000000</v>
      </c>
      <c r="C111" s="41">
        <v>700000000</v>
      </c>
      <c r="D111" s="41">
        <v>270000000</v>
      </c>
      <c r="E111" s="41">
        <v>1200000000</v>
      </c>
      <c r="G111" s="47">
        <v>42277</v>
      </c>
      <c r="H111" s="154">
        <v>-40800000000</v>
      </c>
      <c r="I111" s="41">
        <v>-41100000000</v>
      </c>
      <c r="J111" s="41">
        <v>-52000000000</v>
      </c>
      <c r="K111" s="41">
        <v>-39000000000</v>
      </c>
    </row>
    <row r="112" spans="1:11" x14ac:dyDescent="0.25">
      <c r="A112" s="47">
        <v>42277</v>
      </c>
      <c r="B112" s="154">
        <v>1020000000</v>
      </c>
      <c r="C112" s="41">
        <v>280000000</v>
      </c>
      <c r="D112" s="41">
        <v>80000000</v>
      </c>
      <c r="E112" s="41">
        <v>900000000</v>
      </c>
      <c r="G112" s="47">
        <v>42247</v>
      </c>
      <c r="H112" s="154">
        <v>-48300000000</v>
      </c>
      <c r="I112" s="41">
        <v>-47400000000</v>
      </c>
      <c r="J112" s="41">
        <v>-50200000000</v>
      </c>
      <c r="K112" s="41">
        <v>-39300000000</v>
      </c>
    </row>
    <row r="113" spans="1:11" x14ac:dyDescent="0.25">
      <c r="A113" s="47">
        <v>42247</v>
      </c>
      <c r="B113" s="154">
        <v>430000000</v>
      </c>
      <c r="C113" s="41">
        <v>630000000</v>
      </c>
      <c r="D113" s="41">
        <v>-200000000</v>
      </c>
      <c r="E113" s="41">
        <v>1430000000</v>
      </c>
      <c r="G113" s="47">
        <v>42216</v>
      </c>
      <c r="H113" s="154">
        <v>-41900000000</v>
      </c>
      <c r="I113" s="41">
        <v>-42400000000</v>
      </c>
      <c r="J113" s="41">
        <v>-45500000000</v>
      </c>
      <c r="K113" s="41">
        <v>-39300000000</v>
      </c>
    </row>
    <row r="114" spans="1:11" x14ac:dyDescent="0.25">
      <c r="A114" s="47">
        <v>42216</v>
      </c>
      <c r="B114" s="154">
        <v>1330000000</v>
      </c>
      <c r="C114" s="41">
        <v>520000000</v>
      </c>
      <c r="D114" s="41">
        <v>-100000000</v>
      </c>
      <c r="E114" s="41">
        <v>1250000000</v>
      </c>
      <c r="G114" s="47">
        <v>42185</v>
      </c>
      <c r="H114" s="154">
        <v>-43800000000</v>
      </c>
      <c r="I114" s="41">
        <v>-42800000000</v>
      </c>
      <c r="J114" s="41">
        <v>-46700000000</v>
      </c>
      <c r="K114" s="41">
        <v>-40000000000</v>
      </c>
    </row>
    <row r="115" spans="1:11" x14ac:dyDescent="0.25">
      <c r="A115" s="47">
        <v>42185</v>
      </c>
      <c r="B115" s="154">
        <v>480000000</v>
      </c>
      <c r="C115" s="41">
        <v>430000000</v>
      </c>
      <c r="D115" s="41">
        <v>-460000000</v>
      </c>
      <c r="E115" s="41">
        <v>1200000000</v>
      </c>
      <c r="G115" s="47">
        <v>42155</v>
      </c>
      <c r="H115" s="154">
        <v>-41900000000</v>
      </c>
      <c r="I115" s="41">
        <v>-42600000000</v>
      </c>
      <c r="J115" s="41">
        <v>-47400000000</v>
      </c>
      <c r="K115" s="41">
        <v>-38500000000</v>
      </c>
    </row>
    <row r="116" spans="1:11" x14ac:dyDescent="0.25">
      <c r="A116" s="47">
        <v>42155</v>
      </c>
      <c r="B116" s="154">
        <v>960000000</v>
      </c>
      <c r="C116" s="41">
        <v>410000000</v>
      </c>
      <c r="D116" s="41">
        <v>-310000000</v>
      </c>
      <c r="E116" s="41">
        <v>1100000000</v>
      </c>
      <c r="G116" s="47">
        <v>42124</v>
      </c>
      <c r="H116" s="154">
        <v>-40900000000</v>
      </c>
      <c r="I116" s="41">
        <v>-44000000000</v>
      </c>
      <c r="J116" s="41">
        <v>-49500000000</v>
      </c>
      <c r="K116" s="41">
        <v>-39500000000</v>
      </c>
    </row>
    <row r="117" spans="1:11" x14ac:dyDescent="0.25">
      <c r="A117" s="47">
        <v>42124</v>
      </c>
      <c r="B117" s="154">
        <v>450000000</v>
      </c>
      <c r="C117" s="41">
        <v>120000000</v>
      </c>
      <c r="D117" s="41">
        <v>-700000000</v>
      </c>
      <c r="E117" s="41">
        <v>300000000</v>
      </c>
      <c r="G117" s="47">
        <v>42094</v>
      </c>
      <c r="H117" s="154">
        <v>-51400000000</v>
      </c>
      <c r="I117" s="41">
        <v>-41200000000</v>
      </c>
      <c r="J117" s="41">
        <v>-48400000000</v>
      </c>
      <c r="K117" s="41">
        <v>-33600000000</v>
      </c>
    </row>
    <row r="118" spans="1:11" x14ac:dyDescent="0.25">
      <c r="A118" s="47">
        <v>42094</v>
      </c>
      <c r="B118" s="154">
        <v>1130000000</v>
      </c>
      <c r="C118" s="41">
        <v>620000000</v>
      </c>
      <c r="D118" s="41">
        <v>-210000000</v>
      </c>
      <c r="E118" s="41">
        <v>940000000</v>
      </c>
      <c r="G118" s="47">
        <v>42063</v>
      </c>
      <c r="H118" s="154">
        <v>-35400000000</v>
      </c>
      <c r="I118" s="41">
        <v>-41200000000</v>
      </c>
      <c r="J118" s="41">
        <v>-46000000000</v>
      </c>
      <c r="K118" s="41">
        <v>-37100000000</v>
      </c>
    </row>
    <row r="119" spans="1:11" x14ac:dyDescent="0.25">
      <c r="A119" s="47">
        <v>42063</v>
      </c>
      <c r="B119" s="154">
        <v>740000000</v>
      </c>
      <c r="C119" s="41">
        <v>520000000</v>
      </c>
      <c r="D119" s="41">
        <v>70000000</v>
      </c>
      <c r="E119" s="41">
        <v>1300000000</v>
      </c>
      <c r="G119" s="47">
        <v>42035</v>
      </c>
      <c r="H119" s="154">
        <v>-41800000000</v>
      </c>
      <c r="I119" s="41">
        <v>-41700000000</v>
      </c>
      <c r="J119" s="41">
        <v>-48500000000</v>
      </c>
      <c r="K119" s="41">
        <v>-37500000000</v>
      </c>
    </row>
    <row r="120" spans="1:11" x14ac:dyDescent="0.25">
      <c r="A120" s="47">
        <v>42035</v>
      </c>
      <c r="B120" s="154">
        <v>710000000</v>
      </c>
      <c r="C120" s="41">
        <v>-140000000</v>
      </c>
      <c r="D120" s="41">
        <v>-800000000</v>
      </c>
      <c r="E120" s="41">
        <v>380000000</v>
      </c>
      <c r="G120" s="47">
        <v>42004</v>
      </c>
      <c r="H120" s="154">
        <v>-46600000000</v>
      </c>
      <c r="I120" s="41">
        <v>-38000000000</v>
      </c>
      <c r="J120" s="41">
        <v>-44400000000</v>
      </c>
      <c r="K120" s="41">
        <v>-35000000000</v>
      </c>
    </row>
    <row r="121" spans="1:11" x14ac:dyDescent="0.25">
      <c r="A121" s="47">
        <v>42004</v>
      </c>
      <c r="B121" s="154">
        <v>190000000</v>
      </c>
      <c r="C121" s="41">
        <v>110000000</v>
      </c>
      <c r="D121" s="41">
        <v>-300000000</v>
      </c>
      <c r="E121" s="41">
        <v>600000000</v>
      </c>
      <c r="G121" s="47">
        <v>41973</v>
      </c>
      <c r="H121" s="154">
        <v>-39000000000</v>
      </c>
      <c r="I121" s="41">
        <v>-42000000000</v>
      </c>
      <c r="J121" s="41">
        <v>-43900000000</v>
      </c>
      <c r="K121" s="41">
        <v>-39000000000</v>
      </c>
    </row>
    <row r="122" spans="1:11" x14ac:dyDescent="0.25">
      <c r="A122" s="47">
        <v>41973</v>
      </c>
      <c r="B122" s="154">
        <v>-430000000</v>
      </c>
      <c r="C122" s="41">
        <v>150000000</v>
      </c>
      <c r="D122" s="41">
        <v>-320000000</v>
      </c>
      <c r="E122" s="41">
        <v>580000000</v>
      </c>
      <c r="G122" s="47">
        <v>41943</v>
      </c>
      <c r="H122" s="154">
        <v>-43400000000</v>
      </c>
      <c r="I122" s="41">
        <v>-41400000000</v>
      </c>
      <c r="J122" s="41">
        <v>-44200000000</v>
      </c>
      <c r="K122" s="41">
        <v>-39400000000</v>
      </c>
    </row>
    <row r="123" spans="1:11" x14ac:dyDescent="0.25">
      <c r="A123" s="47">
        <v>41943</v>
      </c>
      <c r="B123" s="154">
        <v>20000000</v>
      </c>
      <c r="C123" s="41">
        <v>70000000</v>
      </c>
      <c r="D123" s="41">
        <v>-260000000</v>
      </c>
      <c r="E123" s="41">
        <v>600000000</v>
      </c>
      <c r="G123" s="47">
        <v>41912</v>
      </c>
      <c r="H123" s="154">
        <v>-43000000000</v>
      </c>
      <c r="I123" s="41">
        <v>-40000000000</v>
      </c>
      <c r="J123" s="41">
        <v>-42500000000</v>
      </c>
      <c r="K123" s="41">
        <v>-37300000000</v>
      </c>
    </row>
    <row r="124" spans="1:11" x14ac:dyDescent="0.25">
      <c r="A124" s="47">
        <v>41912</v>
      </c>
      <c r="B124" s="154">
        <v>-270000000</v>
      </c>
      <c r="C124" s="41">
        <v>-200000000</v>
      </c>
      <c r="D124" s="41">
        <v>-920000000</v>
      </c>
      <c r="E124" s="41">
        <v>950000000</v>
      </c>
      <c r="G124" s="47">
        <v>41882</v>
      </c>
      <c r="H124" s="154">
        <v>-40100000000</v>
      </c>
      <c r="I124" s="41">
        <v>-40900000000</v>
      </c>
      <c r="J124" s="41">
        <v>-44700000000</v>
      </c>
      <c r="K124" s="41">
        <v>-39000000000</v>
      </c>
    </row>
    <row r="125" spans="1:11" x14ac:dyDescent="0.25">
      <c r="A125" s="47">
        <v>41882</v>
      </c>
      <c r="B125" s="154">
        <v>-320000000</v>
      </c>
      <c r="C125" s="41">
        <v>170000000</v>
      </c>
      <c r="D125" s="41">
        <v>-1170000000</v>
      </c>
      <c r="E125" s="41">
        <v>1200000000</v>
      </c>
      <c r="G125" s="47">
        <v>41851</v>
      </c>
      <c r="H125" s="154">
        <v>-40500000000</v>
      </c>
      <c r="I125" s="41">
        <v>-42200000000</v>
      </c>
      <c r="J125" s="41">
        <v>-46400000000</v>
      </c>
      <c r="K125" s="41">
        <v>-40000000000</v>
      </c>
    </row>
    <row r="126" spans="1:11" x14ac:dyDescent="0.25">
      <c r="A126" s="47">
        <v>41851</v>
      </c>
      <c r="B126" s="154">
        <v>130000000</v>
      </c>
      <c r="C126" s="41">
        <v>-390000000</v>
      </c>
      <c r="D126" s="41">
        <v>-1520000000</v>
      </c>
      <c r="E126" s="41">
        <v>450000000</v>
      </c>
      <c r="G126" s="47">
        <v>41820</v>
      </c>
      <c r="H126" s="154">
        <v>-41500000000</v>
      </c>
      <c r="I126" s="41">
        <v>-44700000000</v>
      </c>
      <c r="J126" s="41">
        <v>-46700000000</v>
      </c>
      <c r="K126" s="41">
        <v>-40000000000</v>
      </c>
    </row>
    <row r="127" spans="1:11" x14ac:dyDescent="0.25">
      <c r="A127" s="47">
        <v>41820</v>
      </c>
      <c r="B127" s="154">
        <v>-300000000</v>
      </c>
      <c r="C127" s="41">
        <v>-390000000</v>
      </c>
      <c r="D127" s="41">
        <v>-900000000</v>
      </c>
      <c r="E127" s="41">
        <v>-100000000</v>
      </c>
      <c r="G127" s="47">
        <v>41790</v>
      </c>
      <c r="H127" s="154">
        <v>-44400000000</v>
      </c>
      <c r="I127" s="41">
        <v>-45000000000</v>
      </c>
      <c r="J127" s="41">
        <v>-48000000000</v>
      </c>
      <c r="K127" s="41">
        <v>-41000000000</v>
      </c>
    </row>
    <row r="128" spans="1:11" x14ac:dyDescent="0.25">
      <c r="A128" s="47">
        <v>41790</v>
      </c>
      <c r="B128" s="154">
        <v>70000000</v>
      </c>
      <c r="C128" s="41">
        <v>410000000</v>
      </c>
      <c r="D128" s="41">
        <v>-830000000</v>
      </c>
      <c r="E128" s="41">
        <v>1790000000</v>
      </c>
      <c r="G128" s="47">
        <v>41759</v>
      </c>
      <c r="H128" s="154">
        <v>-47200000000</v>
      </c>
      <c r="I128" s="41">
        <v>-40800000000</v>
      </c>
      <c r="J128" s="41">
        <v>-42500000000</v>
      </c>
      <c r="K128" s="41">
        <v>-38600000000</v>
      </c>
    </row>
    <row r="129" spans="1:11" x14ac:dyDescent="0.25">
      <c r="A129" s="47">
        <v>41759</v>
      </c>
      <c r="B129" s="154">
        <v>-1960000000</v>
      </c>
      <c r="C129" s="41">
        <v>220000000</v>
      </c>
      <c r="D129" s="41">
        <v>-500000000</v>
      </c>
      <c r="E129" s="41">
        <v>630000000</v>
      </c>
      <c r="G129" s="47">
        <v>41729</v>
      </c>
      <c r="H129" s="154">
        <v>-40400000000</v>
      </c>
      <c r="I129" s="41">
        <v>-40300000000</v>
      </c>
      <c r="J129" s="41">
        <v>-43300000000</v>
      </c>
      <c r="K129" s="41">
        <v>-38000000000</v>
      </c>
    </row>
    <row r="130" spans="1:11" x14ac:dyDescent="0.25">
      <c r="A130" s="47">
        <v>41729</v>
      </c>
      <c r="B130" s="154">
        <v>670000000</v>
      </c>
      <c r="C130" s="41">
        <v>500000000</v>
      </c>
      <c r="D130" s="41">
        <v>280000000</v>
      </c>
      <c r="E130" s="41">
        <v>900000000</v>
      </c>
      <c r="G130" s="47">
        <v>41698</v>
      </c>
      <c r="H130" s="154">
        <v>-42300000000</v>
      </c>
      <c r="I130" s="41">
        <v>-38500000000</v>
      </c>
      <c r="J130" s="41">
        <v>-41000000000</v>
      </c>
      <c r="K130" s="41">
        <v>-35000000000</v>
      </c>
    </row>
    <row r="131" spans="1:11" x14ac:dyDescent="0.25">
      <c r="A131" s="47">
        <v>41698</v>
      </c>
      <c r="B131" s="154">
        <v>790000000</v>
      </c>
      <c r="C131" s="41">
        <v>60000000</v>
      </c>
      <c r="D131" s="41">
        <v>-290000000</v>
      </c>
      <c r="E131" s="41">
        <v>810000000</v>
      </c>
      <c r="G131" s="47">
        <v>41670</v>
      </c>
      <c r="H131" s="154">
        <v>-39100000000</v>
      </c>
      <c r="I131" s="41">
        <v>-39000000000</v>
      </c>
      <c r="J131" s="41">
        <v>-42100000000</v>
      </c>
      <c r="K131" s="41">
        <v>-36000000000</v>
      </c>
    </row>
    <row r="132" spans="1:11" x14ac:dyDescent="0.25">
      <c r="A132" s="47">
        <v>41670</v>
      </c>
      <c r="B132" s="154">
        <v>-430000000</v>
      </c>
      <c r="C132" s="41">
        <v>400000000</v>
      </c>
      <c r="D132" s="41">
        <v>-560000000</v>
      </c>
      <c r="E132" s="41">
        <v>1470000000</v>
      </c>
      <c r="G132" s="47">
        <v>41639</v>
      </c>
      <c r="H132" s="154">
        <v>-38700000000</v>
      </c>
      <c r="I132" s="41">
        <v>-36000000000</v>
      </c>
      <c r="J132" s="41">
        <v>-42500000000</v>
      </c>
      <c r="K132" s="41">
        <v>-31000000000</v>
      </c>
    </row>
    <row r="133" spans="1:11" x14ac:dyDescent="0.25">
      <c r="A133" s="47">
        <v>41639</v>
      </c>
      <c r="B133" s="154">
        <v>1530000000</v>
      </c>
      <c r="C133" s="41">
        <v>550000000</v>
      </c>
      <c r="D133" s="41">
        <v>100000000</v>
      </c>
      <c r="E133" s="41">
        <v>1000000000</v>
      </c>
      <c r="G133" s="47">
        <v>41608</v>
      </c>
      <c r="H133" s="154">
        <v>-34300000000</v>
      </c>
      <c r="I133" s="41">
        <v>-40000000000</v>
      </c>
      <c r="J133" s="41">
        <v>-42800000000</v>
      </c>
      <c r="K133" s="41">
        <v>-38000000000</v>
      </c>
    </row>
    <row r="134" spans="1:11" x14ac:dyDescent="0.25">
      <c r="A134" s="47">
        <v>41608</v>
      </c>
      <c r="B134" s="154">
        <v>780000000</v>
      </c>
      <c r="C134" s="41">
        <v>-70000000</v>
      </c>
      <c r="D134" s="41">
        <v>-600000000</v>
      </c>
      <c r="E134" s="41">
        <v>810000000</v>
      </c>
      <c r="G134" s="47">
        <v>41578</v>
      </c>
      <c r="H134" s="154">
        <v>-40600000000</v>
      </c>
      <c r="I134" s="41">
        <v>-40000000000</v>
      </c>
      <c r="J134" s="41">
        <v>-43100000000</v>
      </c>
      <c r="K134" s="41">
        <v>-38000000000</v>
      </c>
    </row>
    <row r="135" spans="1:11" x14ac:dyDescent="0.25">
      <c r="A135" s="47">
        <v>41578</v>
      </c>
      <c r="B135" s="154">
        <v>40000000</v>
      </c>
      <c r="C135" s="41">
        <v>-650000000</v>
      </c>
      <c r="D135" s="41">
        <v>-2700000000</v>
      </c>
      <c r="E135" s="41">
        <v>910000000</v>
      </c>
      <c r="G135" s="47">
        <v>41547</v>
      </c>
      <c r="H135" s="154">
        <v>-41800000000</v>
      </c>
      <c r="I135" s="41">
        <v>-39000000000</v>
      </c>
      <c r="J135" s="41">
        <v>-41600000000</v>
      </c>
      <c r="K135" s="41">
        <v>-37000000000</v>
      </c>
    </row>
    <row r="136" spans="1:11" x14ac:dyDescent="0.25">
      <c r="A136" s="47">
        <v>41547</v>
      </c>
      <c r="B136" s="154">
        <v>-660000000</v>
      </c>
      <c r="C136" s="41">
        <v>-70000000</v>
      </c>
      <c r="D136" s="41">
        <v>-690000000</v>
      </c>
      <c r="E136" s="41">
        <v>550000000</v>
      </c>
      <c r="G136" s="47">
        <v>41517</v>
      </c>
      <c r="H136" s="154">
        <v>-38800000000</v>
      </c>
      <c r="I136" s="41">
        <v>-39500000000</v>
      </c>
      <c r="J136" s="41">
        <v>-42000000000</v>
      </c>
      <c r="K136" s="41">
        <v>-36000000000</v>
      </c>
    </row>
    <row r="137" spans="1:11" x14ac:dyDescent="0.25">
      <c r="A137" s="47">
        <v>41517</v>
      </c>
      <c r="B137" s="154">
        <v>130000000</v>
      </c>
      <c r="C137" s="41">
        <v>-890000000</v>
      </c>
      <c r="D137" s="41">
        <v>-2500000000</v>
      </c>
      <c r="E137" s="41">
        <v>40000000</v>
      </c>
      <c r="G137" s="47">
        <v>41486</v>
      </c>
      <c r="H137" s="154">
        <v>-39100000000</v>
      </c>
      <c r="I137" s="41">
        <v>-38700000000</v>
      </c>
      <c r="J137" s="41">
        <v>-42500000000</v>
      </c>
      <c r="K137" s="41">
        <v>-35000000000</v>
      </c>
    </row>
    <row r="138" spans="1:11" x14ac:dyDescent="0.25">
      <c r="A138" s="47">
        <v>41486</v>
      </c>
      <c r="B138" s="154">
        <v>-1750000000</v>
      </c>
      <c r="C138" s="41">
        <v>-400000000</v>
      </c>
      <c r="D138" s="41">
        <v>-1200000000</v>
      </c>
      <c r="E138" s="41">
        <v>220000000</v>
      </c>
      <c r="G138" s="47">
        <v>41455</v>
      </c>
      <c r="H138" s="154">
        <v>-34200000000</v>
      </c>
      <c r="I138" s="41">
        <v>-43500000000</v>
      </c>
      <c r="J138" s="41">
        <v>-50000000000</v>
      </c>
      <c r="K138" s="41">
        <v>-40000000000</v>
      </c>
    </row>
    <row r="139" spans="1:11" x14ac:dyDescent="0.25">
      <c r="A139" s="47">
        <v>41455</v>
      </c>
      <c r="B139" s="154">
        <v>-850000000</v>
      </c>
      <c r="C139" s="41">
        <v>-780000000</v>
      </c>
      <c r="D139" s="41">
        <v>-1500000000</v>
      </c>
      <c r="E139" s="41">
        <v>1940000000</v>
      </c>
      <c r="G139" s="47">
        <v>41425</v>
      </c>
      <c r="H139" s="154">
        <v>-45000000000</v>
      </c>
      <c r="I139" s="41">
        <v>-40100000000</v>
      </c>
      <c r="J139" s="41">
        <v>-44900000000</v>
      </c>
      <c r="K139" s="41">
        <v>-35900000000</v>
      </c>
    </row>
  </sheetData>
  <mergeCells count="8">
    <mergeCell ref="I17:K17"/>
    <mergeCell ref="A2:H2"/>
    <mergeCell ref="A3:H3"/>
    <mergeCell ref="A17:A19"/>
    <mergeCell ref="B17:B18"/>
    <mergeCell ref="C17:E17"/>
    <mergeCell ref="G17:G19"/>
    <mergeCell ref="H17:H18"/>
  </mergeCells>
  <pageMargins left="0.7" right="0.7" top="0.75" bottom="0.75" header="0.3" footer="0.3"/>
  <customProperties>
    <customPr name="REFI_OFFICE_FUNCTION_DATA" r:id="rId1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791E9-7802-490E-B984-7D68C5BF1307}">
  <dimension ref="A1:J139"/>
  <sheetViews>
    <sheetView topLeftCell="A118" workbookViewId="0">
      <selection activeCell="L128" sqref="L128"/>
    </sheetView>
  </sheetViews>
  <sheetFormatPr defaultRowHeight="15" x14ac:dyDescent="0.25"/>
  <cols>
    <col min="1" max="1" width="13.42578125" style="40" customWidth="1"/>
    <col min="2" max="2" width="22" style="40" customWidth="1"/>
    <col min="3" max="16" width="17.7109375" style="40" customWidth="1"/>
    <col min="17" max="16384" width="9.140625" style="40"/>
  </cols>
  <sheetData>
    <row r="1" spans="1:10" ht="15.75" x14ac:dyDescent="0.25">
      <c r="A1" s="39" t="s">
        <v>42</v>
      </c>
    </row>
    <row r="2" spans="1:10" x14ac:dyDescent="0.25">
      <c r="A2" s="221" t="s">
        <v>43</v>
      </c>
      <c r="B2" s="222"/>
      <c r="C2" s="222"/>
      <c r="D2" s="222"/>
      <c r="E2" s="222"/>
      <c r="F2" s="222"/>
      <c r="G2" s="222"/>
      <c r="H2" s="222"/>
    </row>
    <row r="3" spans="1:10" x14ac:dyDescent="0.25">
      <c r="A3" s="223" t="s">
        <v>44</v>
      </c>
      <c r="B3" s="222"/>
      <c r="C3" s="222"/>
      <c r="D3" s="222"/>
      <c r="E3" s="222"/>
      <c r="F3" s="222"/>
      <c r="G3" s="222"/>
      <c r="H3" s="222"/>
    </row>
    <row r="5" spans="1:10" x14ac:dyDescent="0.25">
      <c r="A5" s="42" t="s">
        <v>45</v>
      </c>
      <c r="B5" s="42" t="s">
        <v>46</v>
      </c>
      <c r="C5" s="42" t="s">
        <v>47</v>
      </c>
      <c r="D5" s="42" t="s">
        <v>48</v>
      </c>
      <c r="E5" s="42" t="s">
        <v>49</v>
      </c>
      <c r="F5" s="42" t="s">
        <v>50</v>
      </c>
    </row>
    <row r="6" spans="1:10" x14ac:dyDescent="0.25">
      <c r="A6" s="42" t="s">
        <v>51</v>
      </c>
      <c r="B6" s="42" t="s">
        <v>52</v>
      </c>
      <c r="C6" s="43" t="s">
        <v>53</v>
      </c>
      <c r="D6" s="43" t="s">
        <v>54</v>
      </c>
      <c r="E6" s="42" t="s">
        <v>55</v>
      </c>
      <c r="F6" s="42" t="s">
        <v>56</v>
      </c>
      <c r="G6" s="42" t="s">
        <v>57</v>
      </c>
      <c r="H6" s="42" t="s">
        <v>56</v>
      </c>
      <c r="I6" s="42" t="s">
        <v>58</v>
      </c>
      <c r="J6" s="42" t="s">
        <v>56</v>
      </c>
    </row>
    <row r="7" spans="1:10" x14ac:dyDescent="0.25">
      <c r="A7" s="42" t="s">
        <v>59</v>
      </c>
      <c r="B7" s="42" t="s">
        <v>60</v>
      </c>
      <c r="C7" s="42" t="s">
        <v>61</v>
      </c>
      <c r="D7" s="42" t="s">
        <v>56</v>
      </c>
      <c r="E7" s="42" t="s">
        <v>62</v>
      </c>
      <c r="F7" s="42" t="s">
        <v>56</v>
      </c>
      <c r="G7" s="42" t="s">
        <v>63</v>
      </c>
      <c r="H7" s="42" t="s">
        <v>56</v>
      </c>
      <c r="I7" s="42" t="s">
        <v>64</v>
      </c>
      <c r="J7" s="42" t="s">
        <v>56</v>
      </c>
    </row>
    <row r="8" spans="1:10" x14ac:dyDescent="0.25">
      <c r="A8" s="42" t="s">
        <v>65</v>
      </c>
      <c r="B8" s="42" t="s">
        <v>66</v>
      </c>
      <c r="C8" s="42" t="s">
        <v>67</v>
      </c>
      <c r="D8" s="42" t="s">
        <v>68</v>
      </c>
      <c r="E8" s="42" t="s">
        <v>69</v>
      </c>
      <c r="F8" s="42" t="s">
        <v>56</v>
      </c>
      <c r="G8" s="42" t="s">
        <v>70</v>
      </c>
      <c r="H8" s="42" t="s">
        <v>56</v>
      </c>
      <c r="I8" s="42" t="s">
        <v>71</v>
      </c>
      <c r="J8" s="42" t="s">
        <v>72</v>
      </c>
    </row>
    <row r="9" spans="1:10" x14ac:dyDescent="0.25">
      <c r="A9" s="42" t="s">
        <v>73</v>
      </c>
      <c r="B9" s="42" t="s">
        <v>74</v>
      </c>
      <c r="C9" s="42" t="s">
        <v>75</v>
      </c>
      <c r="D9" s="42" t="s">
        <v>56</v>
      </c>
      <c r="E9" s="42" t="s">
        <v>76</v>
      </c>
      <c r="F9" s="42" t="s">
        <v>56</v>
      </c>
      <c r="G9" s="42" t="s">
        <v>77</v>
      </c>
      <c r="H9" s="42" t="s">
        <v>56</v>
      </c>
      <c r="I9" s="42" t="s">
        <v>78</v>
      </c>
      <c r="J9" s="42" t="s">
        <v>79</v>
      </c>
    </row>
    <row r="11" spans="1:10" x14ac:dyDescent="0.25">
      <c r="A11" s="43" t="s">
        <v>56</v>
      </c>
    </row>
    <row r="12" spans="1:10" x14ac:dyDescent="0.25">
      <c r="A12" s="43" t="s">
        <v>80</v>
      </c>
      <c r="B12" s="43" t="s">
        <v>81</v>
      </c>
    </row>
    <row r="13" spans="1:10" x14ac:dyDescent="0.25">
      <c r="A13" s="43" t="s">
        <v>82</v>
      </c>
      <c r="B13" s="43" t="s">
        <v>83</v>
      </c>
      <c r="C13" s="43" t="str">
        <f>_xll.RDP.HistoricalPricing($B$19:$E$19,"VALUE"," START:30-Jun-2013 END:31-May-2023 INTERVAL:P1M SOURCE:RFV",,"TSREPEAT:NO RH:TimeStamp",$A$20)</f>
        <v>Updated at 17:14:53</v>
      </c>
    </row>
    <row r="14" spans="1:10" x14ac:dyDescent="0.25">
      <c r="A14" s="43" t="s">
        <v>84</v>
      </c>
      <c r="B14" s="43" t="s">
        <v>85</v>
      </c>
    </row>
    <row r="15" spans="1:10" x14ac:dyDescent="0.25">
      <c r="A15" s="43" t="s">
        <v>56</v>
      </c>
    </row>
    <row r="16" spans="1:10" ht="15.75" x14ac:dyDescent="0.25">
      <c r="A16" s="43" t="s">
        <v>56</v>
      </c>
      <c r="G16" s="49" t="s">
        <v>93</v>
      </c>
    </row>
    <row r="17" spans="1:10" x14ac:dyDescent="0.25">
      <c r="A17" s="197" t="s">
        <v>33</v>
      </c>
      <c r="B17" s="199" t="s">
        <v>86</v>
      </c>
      <c r="C17" s="198" t="s">
        <v>87</v>
      </c>
      <c r="D17" s="197" t="s">
        <v>87</v>
      </c>
      <c r="E17" s="197" t="s">
        <v>87</v>
      </c>
      <c r="G17" s="50" t="s">
        <v>56</v>
      </c>
    </row>
    <row r="18" spans="1:10" x14ac:dyDescent="0.25">
      <c r="A18" s="197" t="s">
        <v>33</v>
      </c>
      <c r="B18" s="199" t="s">
        <v>86</v>
      </c>
      <c r="C18" s="44" t="s">
        <v>88</v>
      </c>
      <c r="D18" s="45" t="s">
        <v>27</v>
      </c>
      <c r="E18" s="45" t="s">
        <v>23</v>
      </c>
      <c r="G18" s="224" t="s">
        <v>33</v>
      </c>
      <c r="H18" s="226" t="s">
        <v>94</v>
      </c>
      <c r="I18" s="227" t="s">
        <v>94</v>
      </c>
    </row>
    <row r="19" spans="1:10" x14ac:dyDescent="0.25">
      <c r="A19" s="197" t="s">
        <v>33</v>
      </c>
      <c r="B19" s="46" t="s">
        <v>89</v>
      </c>
      <c r="C19" s="44" t="s">
        <v>90</v>
      </c>
      <c r="D19" s="45" t="s">
        <v>91</v>
      </c>
      <c r="E19" s="45" t="s">
        <v>92</v>
      </c>
      <c r="G19" s="225" t="s">
        <v>33</v>
      </c>
      <c r="H19" s="51" t="s">
        <v>95</v>
      </c>
      <c r="I19" s="52" t="s">
        <v>96</v>
      </c>
    </row>
    <row r="20" spans="1:10" x14ac:dyDescent="0.25">
      <c r="A20" s="47">
        <v>45077</v>
      </c>
      <c r="B20" s="48">
        <v>4</v>
      </c>
      <c r="C20" s="40">
        <v>4.0999999999999996</v>
      </c>
      <c r="D20" s="40">
        <v>4</v>
      </c>
      <c r="E20" s="40">
        <v>4.5</v>
      </c>
      <c r="G20" s="53" t="s">
        <v>97</v>
      </c>
      <c r="H20" s="54" t="s">
        <v>98</v>
      </c>
      <c r="I20" s="54" t="s">
        <v>99</v>
      </c>
      <c r="J20" s="40">
        <f>+I20-B20%</f>
        <v>0</v>
      </c>
    </row>
    <row r="21" spans="1:10" x14ac:dyDescent="0.25">
      <c r="A21" s="47">
        <v>45046</v>
      </c>
      <c r="B21" s="48">
        <v>4.9000000000000004</v>
      </c>
      <c r="C21" s="40">
        <v>5</v>
      </c>
      <c r="D21" s="40">
        <v>4.8</v>
      </c>
      <c r="E21" s="40">
        <v>5.2</v>
      </c>
      <c r="G21" s="53" t="s">
        <v>100</v>
      </c>
      <c r="H21" s="54" t="s">
        <v>101</v>
      </c>
      <c r="I21" s="54" t="s">
        <v>102</v>
      </c>
      <c r="J21" s="40">
        <f t="shared" ref="J21:J84" si="0">+I21-B21%</f>
        <v>0</v>
      </c>
    </row>
    <row r="22" spans="1:10" x14ac:dyDescent="0.25">
      <c r="A22" s="47">
        <v>45016</v>
      </c>
      <c r="B22" s="48">
        <v>5</v>
      </c>
      <c r="C22" s="40">
        <v>5.2</v>
      </c>
      <c r="D22" s="40">
        <v>5.0999999999999996</v>
      </c>
      <c r="E22" s="40">
        <v>6</v>
      </c>
      <c r="G22" s="53" t="s">
        <v>103</v>
      </c>
      <c r="H22" s="54" t="s">
        <v>104</v>
      </c>
      <c r="I22" s="54" t="s">
        <v>105</v>
      </c>
      <c r="J22" s="40">
        <f t="shared" si="0"/>
        <v>0</v>
      </c>
    </row>
    <row r="23" spans="1:10" x14ac:dyDescent="0.25">
      <c r="A23" s="47">
        <v>44985</v>
      </c>
      <c r="B23" s="48">
        <v>6</v>
      </c>
      <c r="C23" s="40">
        <v>6</v>
      </c>
      <c r="D23" s="40">
        <v>5.8</v>
      </c>
      <c r="E23" s="40">
        <v>6.2</v>
      </c>
      <c r="G23" s="53" t="s">
        <v>106</v>
      </c>
      <c r="H23" s="54" t="s">
        <v>107</v>
      </c>
      <c r="I23" s="54" t="s">
        <v>108</v>
      </c>
      <c r="J23" s="40">
        <f t="shared" si="0"/>
        <v>0</v>
      </c>
    </row>
    <row r="24" spans="1:10" x14ac:dyDescent="0.25">
      <c r="A24" s="47">
        <v>44957</v>
      </c>
      <c r="B24" s="48">
        <v>6.4</v>
      </c>
      <c r="C24" s="40">
        <v>6.2</v>
      </c>
      <c r="D24" s="40">
        <v>6.1</v>
      </c>
      <c r="E24" s="40">
        <v>6.7</v>
      </c>
      <c r="G24" s="53" t="s">
        <v>109</v>
      </c>
      <c r="H24" s="54" t="s">
        <v>110</v>
      </c>
      <c r="I24" s="54" t="s">
        <v>111</v>
      </c>
      <c r="J24" s="40">
        <f t="shared" si="0"/>
        <v>0</v>
      </c>
    </row>
    <row r="25" spans="1:10" x14ac:dyDescent="0.25">
      <c r="A25" s="47">
        <v>44926</v>
      </c>
      <c r="B25" s="48">
        <v>6.5</v>
      </c>
      <c r="C25" s="40">
        <v>6.5</v>
      </c>
      <c r="D25" s="40">
        <v>6.3</v>
      </c>
      <c r="E25" s="40">
        <v>6.8</v>
      </c>
      <c r="G25" s="53" t="s">
        <v>112</v>
      </c>
      <c r="H25" s="54" t="s">
        <v>113</v>
      </c>
      <c r="I25" s="54" t="s">
        <v>114</v>
      </c>
      <c r="J25" s="40">
        <f t="shared" si="0"/>
        <v>0</v>
      </c>
    </row>
    <row r="26" spans="1:10" x14ac:dyDescent="0.25">
      <c r="A26" s="47">
        <v>44895</v>
      </c>
      <c r="B26" s="48">
        <v>7.1</v>
      </c>
      <c r="C26" s="40">
        <v>7.3</v>
      </c>
      <c r="D26" s="40">
        <v>7.2</v>
      </c>
      <c r="E26" s="40">
        <v>7.5</v>
      </c>
      <c r="G26" s="53" t="s">
        <v>115</v>
      </c>
      <c r="H26" s="54" t="s">
        <v>116</v>
      </c>
      <c r="I26" s="54" t="s">
        <v>117</v>
      </c>
      <c r="J26" s="40">
        <f t="shared" si="0"/>
        <v>0</v>
      </c>
    </row>
    <row r="27" spans="1:10" x14ac:dyDescent="0.25">
      <c r="A27" s="47">
        <v>44865</v>
      </c>
      <c r="B27" s="48">
        <v>7.7</v>
      </c>
      <c r="C27" s="40">
        <v>8</v>
      </c>
      <c r="D27" s="40">
        <v>7.6</v>
      </c>
      <c r="E27" s="40">
        <v>8.1999999999999993</v>
      </c>
      <c r="G27" s="53" t="s">
        <v>118</v>
      </c>
      <c r="H27" s="54" t="s">
        <v>119</v>
      </c>
      <c r="I27" s="54" t="s">
        <v>120</v>
      </c>
      <c r="J27" s="40">
        <f t="shared" si="0"/>
        <v>0</v>
      </c>
    </row>
    <row r="28" spans="1:10" x14ac:dyDescent="0.25">
      <c r="A28" s="47">
        <v>44834</v>
      </c>
      <c r="B28" s="48">
        <v>8.1999999999999993</v>
      </c>
      <c r="C28" s="40">
        <v>8.1</v>
      </c>
      <c r="D28" s="40">
        <v>7.9</v>
      </c>
      <c r="E28" s="40">
        <v>8.3000000000000007</v>
      </c>
      <c r="G28" s="53" t="s">
        <v>121</v>
      </c>
      <c r="H28" s="54" t="s">
        <v>122</v>
      </c>
      <c r="I28" s="54" t="s">
        <v>123</v>
      </c>
      <c r="J28" s="40">
        <f t="shared" si="0"/>
        <v>0</v>
      </c>
    </row>
    <row r="29" spans="1:10" x14ac:dyDescent="0.25">
      <c r="A29" s="47">
        <v>44804</v>
      </c>
      <c r="B29" s="48">
        <v>8.3000000000000007</v>
      </c>
      <c r="C29" s="40">
        <v>8.1</v>
      </c>
      <c r="D29" s="40">
        <v>7.9</v>
      </c>
      <c r="E29" s="40">
        <v>8.3000000000000007</v>
      </c>
      <c r="G29" s="53" t="s">
        <v>124</v>
      </c>
      <c r="H29" s="54" t="s">
        <v>125</v>
      </c>
      <c r="I29" s="54" t="s">
        <v>126</v>
      </c>
      <c r="J29" s="40">
        <f t="shared" si="0"/>
        <v>0</v>
      </c>
    </row>
    <row r="30" spans="1:10" x14ac:dyDescent="0.25">
      <c r="A30" s="47">
        <v>44773</v>
      </c>
      <c r="B30" s="48">
        <v>8.5</v>
      </c>
      <c r="C30" s="40">
        <v>8.6999999999999993</v>
      </c>
      <c r="D30" s="40">
        <v>8.5</v>
      </c>
      <c r="E30" s="40">
        <v>9</v>
      </c>
      <c r="G30" s="53" t="s">
        <v>127</v>
      </c>
      <c r="H30" s="54" t="s">
        <v>128</v>
      </c>
      <c r="I30" s="54" t="s">
        <v>129</v>
      </c>
      <c r="J30" s="40">
        <f t="shared" si="0"/>
        <v>0</v>
      </c>
    </row>
    <row r="31" spans="1:10" x14ac:dyDescent="0.25">
      <c r="A31" s="47">
        <v>44742</v>
      </c>
      <c r="B31" s="48">
        <v>9.1</v>
      </c>
      <c r="C31" s="40">
        <v>8.8000000000000007</v>
      </c>
      <c r="D31" s="40">
        <v>8.5</v>
      </c>
      <c r="E31" s="40">
        <v>8.9</v>
      </c>
      <c r="G31" s="53" t="s">
        <v>130</v>
      </c>
      <c r="H31" s="54" t="s">
        <v>131</v>
      </c>
      <c r="I31" s="54" t="s">
        <v>132</v>
      </c>
      <c r="J31" s="40">
        <f t="shared" si="0"/>
        <v>0</v>
      </c>
    </row>
    <row r="32" spans="1:10" x14ac:dyDescent="0.25">
      <c r="A32" s="47">
        <v>44712</v>
      </c>
      <c r="B32" s="48">
        <v>8.6</v>
      </c>
      <c r="C32" s="40">
        <v>8.3000000000000007</v>
      </c>
      <c r="D32" s="40">
        <v>8</v>
      </c>
      <c r="E32" s="40">
        <v>8.5</v>
      </c>
      <c r="G32" s="53" t="s">
        <v>133</v>
      </c>
      <c r="H32" s="54" t="s">
        <v>134</v>
      </c>
      <c r="I32" s="54" t="s">
        <v>135</v>
      </c>
      <c r="J32" s="40">
        <f t="shared" si="0"/>
        <v>0</v>
      </c>
    </row>
    <row r="33" spans="1:10" x14ac:dyDescent="0.25">
      <c r="A33" s="47">
        <v>44681</v>
      </c>
      <c r="B33" s="48">
        <v>8.3000000000000007</v>
      </c>
      <c r="C33" s="40">
        <v>8.1</v>
      </c>
      <c r="D33" s="40">
        <v>7.9</v>
      </c>
      <c r="E33" s="40">
        <v>8.5</v>
      </c>
      <c r="G33" s="53" t="s">
        <v>136</v>
      </c>
      <c r="H33" s="54" t="s">
        <v>137</v>
      </c>
      <c r="I33" s="54" t="s">
        <v>126</v>
      </c>
      <c r="J33" s="40">
        <f t="shared" si="0"/>
        <v>0</v>
      </c>
    </row>
    <row r="34" spans="1:10" x14ac:dyDescent="0.25">
      <c r="A34" s="47">
        <v>44651</v>
      </c>
      <c r="B34" s="48">
        <v>8.5</v>
      </c>
      <c r="C34" s="40">
        <v>8.4</v>
      </c>
      <c r="D34" s="40">
        <v>7.7</v>
      </c>
      <c r="E34" s="40">
        <v>8.6999999999999993</v>
      </c>
      <c r="G34" s="53" t="s">
        <v>138</v>
      </c>
      <c r="H34" s="54" t="s">
        <v>139</v>
      </c>
      <c r="I34" s="54" t="s">
        <v>129</v>
      </c>
      <c r="J34" s="40">
        <f t="shared" si="0"/>
        <v>0</v>
      </c>
    </row>
    <row r="35" spans="1:10" x14ac:dyDescent="0.25">
      <c r="A35" s="47">
        <v>44620</v>
      </c>
      <c r="B35" s="48">
        <v>7.9</v>
      </c>
      <c r="C35" s="40">
        <v>7.9</v>
      </c>
      <c r="D35" s="40">
        <v>7.3</v>
      </c>
      <c r="E35" s="40">
        <v>8.1</v>
      </c>
      <c r="G35" s="53" t="s">
        <v>140</v>
      </c>
      <c r="H35" s="54" t="s">
        <v>141</v>
      </c>
      <c r="I35" s="54" t="s">
        <v>142</v>
      </c>
      <c r="J35" s="40">
        <f t="shared" si="0"/>
        <v>0</v>
      </c>
    </row>
    <row r="36" spans="1:10" x14ac:dyDescent="0.25">
      <c r="A36" s="47">
        <v>44592</v>
      </c>
      <c r="B36" s="48">
        <v>7.5</v>
      </c>
      <c r="C36" s="40">
        <v>7.3</v>
      </c>
      <c r="D36" s="40">
        <v>7</v>
      </c>
      <c r="E36" s="40">
        <v>7.6</v>
      </c>
      <c r="G36" s="53" t="s">
        <v>143</v>
      </c>
      <c r="H36" s="54" t="s">
        <v>144</v>
      </c>
      <c r="I36" s="54" t="s">
        <v>145</v>
      </c>
      <c r="J36" s="40">
        <f t="shared" si="0"/>
        <v>0</v>
      </c>
    </row>
    <row r="37" spans="1:10" x14ac:dyDescent="0.25">
      <c r="A37" s="47">
        <v>44561</v>
      </c>
      <c r="B37" s="48">
        <v>7</v>
      </c>
      <c r="C37" s="40">
        <v>7</v>
      </c>
      <c r="D37" s="40">
        <v>6.6</v>
      </c>
      <c r="E37" s="40">
        <v>7.2</v>
      </c>
      <c r="G37" s="53" t="s">
        <v>146</v>
      </c>
      <c r="H37" s="54" t="s">
        <v>147</v>
      </c>
      <c r="I37" s="54" t="s">
        <v>148</v>
      </c>
      <c r="J37" s="40">
        <f t="shared" si="0"/>
        <v>0</v>
      </c>
    </row>
    <row r="38" spans="1:10" x14ac:dyDescent="0.25">
      <c r="A38" s="47">
        <v>44530</v>
      </c>
      <c r="B38" s="48">
        <v>6.8</v>
      </c>
      <c r="C38" s="40">
        <v>6.8</v>
      </c>
      <c r="D38" s="40">
        <v>6.4</v>
      </c>
      <c r="E38" s="40">
        <v>7.1</v>
      </c>
      <c r="G38" s="53" t="s">
        <v>149</v>
      </c>
      <c r="H38" s="54" t="s">
        <v>150</v>
      </c>
      <c r="I38" s="54" t="s">
        <v>151</v>
      </c>
      <c r="J38" s="40">
        <f t="shared" si="0"/>
        <v>0</v>
      </c>
    </row>
    <row r="39" spans="1:10" x14ac:dyDescent="0.25">
      <c r="A39" s="47">
        <v>44500</v>
      </c>
      <c r="B39" s="48">
        <v>6.2</v>
      </c>
      <c r="C39" s="40">
        <v>5.8</v>
      </c>
      <c r="D39" s="40">
        <v>5.3</v>
      </c>
      <c r="E39" s="40">
        <v>6</v>
      </c>
      <c r="G39" s="53" t="s">
        <v>152</v>
      </c>
      <c r="H39" s="54" t="s">
        <v>153</v>
      </c>
      <c r="I39" s="54" t="s">
        <v>154</v>
      </c>
      <c r="J39" s="40">
        <f t="shared" si="0"/>
        <v>0</v>
      </c>
    </row>
    <row r="40" spans="1:10" x14ac:dyDescent="0.25">
      <c r="A40" s="47">
        <v>44469</v>
      </c>
      <c r="B40" s="48">
        <v>5.4</v>
      </c>
      <c r="C40" s="40">
        <v>5.3</v>
      </c>
      <c r="D40" s="40">
        <v>5</v>
      </c>
      <c r="E40" s="40">
        <v>5.5</v>
      </c>
      <c r="G40" s="53" t="s">
        <v>155</v>
      </c>
      <c r="H40" s="54" t="s">
        <v>156</v>
      </c>
      <c r="I40" s="54" t="s">
        <v>157</v>
      </c>
      <c r="J40" s="40">
        <f t="shared" si="0"/>
        <v>0</v>
      </c>
    </row>
    <row r="41" spans="1:10" x14ac:dyDescent="0.25">
      <c r="A41" s="47">
        <v>44439</v>
      </c>
      <c r="B41" s="48">
        <v>5.3</v>
      </c>
      <c r="C41" s="40">
        <v>5.3</v>
      </c>
      <c r="D41" s="40">
        <v>5</v>
      </c>
      <c r="E41" s="40">
        <v>5.6</v>
      </c>
      <c r="G41" s="53" t="s">
        <v>158</v>
      </c>
      <c r="H41" s="54" t="s">
        <v>159</v>
      </c>
      <c r="I41" s="54" t="s">
        <v>160</v>
      </c>
      <c r="J41" s="40">
        <f t="shared" si="0"/>
        <v>0</v>
      </c>
    </row>
    <row r="42" spans="1:10" x14ac:dyDescent="0.25">
      <c r="A42" s="47">
        <v>44408</v>
      </c>
      <c r="B42" s="48">
        <v>5.4</v>
      </c>
      <c r="C42" s="40">
        <v>5.3</v>
      </c>
      <c r="D42" s="40">
        <v>5.0999999999999996</v>
      </c>
      <c r="E42" s="40">
        <v>5.5</v>
      </c>
      <c r="G42" s="53" t="s">
        <v>161</v>
      </c>
      <c r="H42" s="54" t="s">
        <v>162</v>
      </c>
      <c r="I42" s="54" t="s">
        <v>157</v>
      </c>
      <c r="J42" s="40">
        <f t="shared" si="0"/>
        <v>0</v>
      </c>
    </row>
    <row r="43" spans="1:10" x14ac:dyDescent="0.25">
      <c r="A43" s="47">
        <v>44377</v>
      </c>
      <c r="B43" s="48">
        <v>5.4</v>
      </c>
      <c r="C43" s="40">
        <v>4.9000000000000004</v>
      </c>
      <c r="D43" s="40">
        <v>4.7</v>
      </c>
      <c r="E43" s="40">
        <v>5.0999999999999996</v>
      </c>
      <c r="G43" s="53" t="s">
        <v>163</v>
      </c>
      <c r="H43" s="54" t="s">
        <v>164</v>
      </c>
      <c r="I43" s="54" t="s">
        <v>157</v>
      </c>
      <c r="J43" s="40">
        <f t="shared" si="0"/>
        <v>0</v>
      </c>
    </row>
    <row r="44" spans="1:10" x14ac:dyDescent="0.25">
      <c r="A44" s="47">
        <v>44347</v>
      </c>
      <c r="B44" s="48">
        <v>5</v>
      </c>
      <c r="C44" s="40">
        <v>4.7</v>
      </c>
      <c r="D44" s="40">
        <v>4.2</v>
      </c>
      <c r="E44" s="40">
        <v>4.9000000000000004</v>
      </c>
      <c r="G44" s="53" t="s">
        <v>165</v>
      </c>
      <c r="H44" s="54" t="s">
        <v>166</v>
      </c>
      <c r="I44" s="54" t="s">
        <v>105</v>
      </c>
      <c r="J44" s="40">
        <f t="shared" si="0"/>
        <v>0</v>
      </c>
    </row>
    <row r="45" spans="1:10" x14ac:dyDescent="0.25">
      <c r="A45" s="47">
        <v>44316</v>
      </c>
      <c r="B45" s="48">
        <v>4.2</v>
      </c>
      <c r="C45" s="40">
        <v>3.6</v>
      </c>
      <c r="D45" s="40">
        <v>3.4</v>
      </c>
      <c r="E45" s="40">
        <v>3.9</v>
      </c>
      <c r="G45" s="53" t="s">
        <v>167</v>
      </c>
      <c r="H45" s="54" t="s">
        <v>168</v>
      </c>
      <c r="I45" s="54" t="s">
        <v>169</v>
      </c>
      <c r="J45" s="40">
        <f t="shared" si="0"/>
        <v>0</v>
      </c>
    </row>
    <row r="46" spans="1:10" x14ac:dyDescent="0.25">
      <c r="A46" s="47">
        <v>44286</v>
      </c>
      <c r="B46" s="48">
        <v>2.6</v>
      </c>
      <c r="C46" s="40">
        <v>2.5</v>
      </c>
      <c r="D46" s="40">
        <v>2.2999999999999998</v>
      </c>
      <c r="E46" s="40">
        <v>2.7</v>
      </c>
      <c r="G46" s="53" t="s">
        <v>170</v>
      </c>
      <c r="H46" s="54" t="s">
        <v>171</v>
      </c>
      <c r="I46" s="54" t="s">
        <v>172</v>
      </c>
      <c r="J46" s="40">
        <f t="shared" si="0"/>
        <v>0</v>
      </c>
    </row>
    <row r="47" spans="1:10" x14ac:dyDescent="0.25">
      <c r="A47" s="47">
        <v>44255</v>
      </c>
      <c r="B47" s="48">
        <v>1.7</v>
      </c>
      <c r="C47" s="40">
        <v>1.7</v>
      </c>
      <c r="D47" s="40">
        <v>1.4</v>
      </c>
      <c r="E47" s="40">
        <v>1.8</v>
      </c>
      <c r="G47" s="53" t="s">
        <v>173</v>
      </c>
      <c r="H47" s="54" t="s">
        <v>174</v>
      </c>
      <c r="I47" s="54" t="s">
        <v>175</v>
      </c>
      <c r="J47" s="40">
        <f t="shared" si="0"/>
        <v>0</v>
      </c>
    </row>
    <row r="48" spans="1:10" x14ac:dyDescent="0.25">
      <c r="A48" s="47">
        <v>44227</v>
      </c>
      <c r="B48" s="48">
        <v>1.4</v>
      </c>
      <c r="C48" s="40">
        <v>1.5</v>
      </c>
      <c r="D48" s="40">
        <v>1.4</v>
      </c>
      <c r="E48" s="40">
        <v>1.6</v>
      </c>
      <c r="G48" s="53" t="s">
        <v>176</v>
      </c>
      <c r="H48" s="54" t="s">
        <v>177</v>
      </c>
      <c r="I48" s="54" t="s">
        <v>178</v>
      </c>
      <c r="J48" s="40">
        <f t="shared" si="0"/>
        <v>0</v>
      </c>
    </row>
    <row r="49" spans="1:10" x14ac:dyDescent="0.25">
      <c r="A49" s="47">
        <v>44196</v>
      </c>
      <c r="B49" s="48">
        <v>1.4</v>
      </c>
      <c r="C49" s="40">
        <v>1.3</v>
      </c>
      <c r="D49" s="40">
        <v>1.1000000000000001</v>
      </c>
      <c r="E49" s="40">
        <v>1.5</v>
      </c>
      <c r="G49" s="53" t="s">
        <v>179</v>
      </c>
      <c r="H49" s="54" t="s">
        <v>180</v>
      </c>
      <c r="I49" s="54" t="s">
        <v>178</v>
      </c>
      <c r="J49" s="40">
        <f t="shared" si="0"/>
        <v>0</v>
      </c>
    </row>
    <row r="50" spans="1:10" x14ac:dyDescent="0.25">
      <c r="A50" s="47">
        <v>44165</v>
      </c>
      <c r="B50" s="48">
        <v>1.2</v>
      </c>
      <c r="C50" s="40">
        <v>1.1000000000000001</v>
      </c>
      <c r="D50" s="40">
        <v>1</v>
      </c>
      <c r="E50" s="40">
        <v>1.4</v>
      </c>
      <c r="G50" s="53" t="s">
        <v>181</v>
      </c>
      <c r="H50" s="54" t="s">
        <v>182</v>
      </c>
      <c r="I50" s="54" t="s">
        <v>183</v>
      </c>
      <c r="J50" s="40">
        <f t="shared" si="0"/>
        <v>0</v>
      </c>
    </row>
    <row r="51" spans="1:10" x14ac:dyDescent="0.25">
      <c r="A51" s="47">
        <v>44135</v>
      </c>
      <c r="B51" s="48">
        <v>1.2</v>
      </c>
      <c r="C51" s="40">
        <v>1.3</v>
      </c>
      <c r="D51" s="40">
        <v>1.1000000000000001</v>
      </c>
      <c r="E51" s="40">
        <v>1.5</v>
      </c>
      <c r="G51" s="53" t="s">
        <v>184</v>
      </c>
      <c r="H51" s="54" t="s">
        <v>185</v>
      </c>
      <c r="I51" s="54" t="s">
        <v>183</v>
      </c>
      <c r="J51" s="40">
        <f t="shared" si="0"/>
        <v>0</v>
      </c>
    </row>
    <row r="52" spans="1:10" x14ac:dyDescent="0.25">
      <c r="A52" s="47">
        <v>44104</v>
      </c>
      <c r="B52" s="48">
        <v>1.4</v>
      </c>
      <c r="C52" s="40">
        <v>1.4</v>
      </c>
      <c r="D52" s="40">
        <v>1.2</v>
      </c>
      <c r="E52" s="40">
        <v>1.5</v>
      </c>
      <c r="G52" s="53" t="s">
        <v>186</v>
      </c>
      <c r="H52" s="54" t="s">
        <v>187</v>
      </c>
      <c r="I52" s="54" t="s">
        <v>178</v>
      </c>
      <c r="J52" s="40">
        <f t="shared" si="0"/>
        <v>0</v>
      </c>
    </row>
    <row r="53" spans="1:10" x14ac:dyDescent="0.25">
      <c r="A53" s="47">
        <v>44074</v>
      </c>
      <c r="B53" s="48">
        <v>1.3</v>
      </c>
      <c r="C53" s="40">
        <v>1.2</v>
      </c>
      <c r="D53" s="40">
        <v>1.1000000000000001</v>
      </c>
      <c r="E53" s="40">
        <v>1.4</v>
      </c>
      <c r="G53" s="53" t="s">
        <v>188</v>
      </c>
      <c r="H53" s="54" t="s">
        <v>189</v>
      </c>
      <c r="I53" s="54" t="s">
        <v>190</v>
      </c>
      <c r="J53" s="40">
        <f t="shared" si="0"/>
        <v>0</v>
      </c>
    </row>
    <row r="54" spans="1:10" x14ac:dyDescent="0.25">
      <c r="A54" s="47">
        <v>44043</v>
      </c>
      <c r="B54" s="48">
        <v>1</v>
      </c>
      <c r="C54" s="40">
        <v>0.8</v>
      </c>
      <c r="D54" s="40">
        <v>0.2</v>
      </c>
      <c r="E54" s="40">
        <v>1</v>
      </c>
      <c r="G54" s="53" t="s">
        <v>191</v>
      </c>
      <c r="H54" s="54" t="s">
        <v>192</v>
      </c>
      <c r="I54" s="54" t="s">
        <v>193</v>
      </c>
      <c r="J54" s="40">
        <f t="shared" si="0"/>
        <v>0</v>
      </c>
    </row>
    <row r="55" spans="1:10" x14ac:dyDescent="0.25">
      <c r="A55" s="47">
        <v>44012</v>
      </c>
      <c r="B55" s="48">
        <v>0.6</v>
      </c>
      <c r="C55" s="40">
        <v>0.6</v>
      </c>
      <c r="D55" s="40">
        <v>0.1</v>
      </c>
      <c r="E55" s="40">
        <v>0.9</v>
      </c>
      <c r="G55" s="53" t="s">
        <v>194</v>
      </c>
      <c r="H55" s="54" t="s">
        <v>195</v>
      </c>
      <c r="I55" s="54" t="s">
        <v>196</v>
      </c>
      <c r="J55" s="40">
        <f t="shared" si="0"/>
        <v>0</v>
      </c>
    </row>
    <row r="56" spans="1:10" x14ac:dyDescent="0.25">
      <c r="A56" s="47">
        <v>43982</v>
      </c>
      <c r="B56" s="48">
        <v>0.1</v>
      </c>
      <c r="C56" s="40">
        <v>0.2</v>
      </c>
      <c r="D56" s="40">
        <v>0</v>
      </c>
      <c r="E56" s="40">
        <v>0.4</v>
      </c>
      <c r="G56" s="53" t="s">
        <v>197</v>
      </c>
      <c r="H56" s="54" t="s">
        <v>198</v>
      </c>
      <c r="I56" s="54" t="s">
        <v>199</v>
      </c>
      <c r="J56" s="40">
        <f t="shared" si="0"/>
        <v>0</v>
      </c>
    </row>
    <row r="57" spans="1:10" x14ac:dyDescent="0.25">
      <c r="A57" s="47">
        <v>43951</v>
      </c>
      <c r="B57" s="48">
        <v>0.3</v>
      </c>
      <c r="C57" s="40">
        <v>0.4</v>
      </c>
      <c r="D57" s="40">
        <v>-0.2</v>
      </c>
      <c r="E57" s="40">
        <v>0.8</v>
      </c>
      <c r="G57" s="53" t="s">
        <v>200</v>
      </c>
      <c r="H57" s="54" t="s">
        <v>201</v>
      </c>
      <c r="I57" s="54" t="s">
        <v>202</v>
      </c>
      <c r="J57" s="40">
        <f t="shared" si="0"/>
        <v>0</v>
      </c>
    </row>
    <row r="58" spans="1:10" x14ac:dyDescent="0.25">
      <c r="A58" s="47">
        <v>43921</v>
      </c>
      <c r="B58" s="48">
        <v>1.5</v>
      </c>
      <c r="C58" s="40">
        <v>1.6</v>
      </c>
      <c r="D58" s="40">
        <v>1.2</v>
      </c>
      <c r="E58" s="40">
        <v>2.2000000000000002</v>
      </c>
      <c r="G58" s="53" t="s">
        <v>203</v>
      </c>
      <c r="H58" s="54" t="s">
        <v>204</v>
      </c>
      <c r="I58" s="54" t="s">
        <v>205</v>
      </c>
      <c r="J58" s="40">
        <f t="shared" si="0"/>
        <v>0</v>
      </c>
    </row>
    <row r="59" spans="1:10" x14ac:dyDescent="0.25">
      <c r="A59" s="47">
        <v>43890</v>
      </c>
      <c r="B59" s="48">
        <v>2.2999999999999998</v>
      </c>
      <c r="C59" s="40">
        <v>2.2000000000000002</v>
      </c>
      <c r="D59" s="40">
        <v>2.1</v>
      </c>
      <c r="E59" s="40">
        <v>2.4</v>
      </c>
      <c r="G59" s="53" t="s">
        <v>206</v>
      </c>
      <c r="H59" s="54" t="s">
        <v>207</v>
      </c>
      <c r="I59" s="54" t="s">
        <v>208</v>
      </c>
      <c r="J59" s="40">
        <f t="shared" si="0"/>
        <v>0</v>
      </c>
    </row>
    <row r="60" spans="1:10" x14ac:dyDescent="0.25">
      <c r="A60" s="47">
        <v>43861</v>
      </c>
      <c r="B60" s="48">
        <v>2.5</v>
      </c>
      <c r="C60" s="40">
        <v>2.4</v>
      </c>
      <c r="D60" s="40">
        <v>2.2000000000000002</v>
      </c>
      <c r="E60" s="40">
        <v>2.5</v>
      </c>
      <c r="G60" s="53" t="s">
        <v>209</v>
      </c>
      <c r="H60" s="54" t="s">
        <v>210</v>
      </c>
      <c r="I60" s="54" t="s">
        <v>211</v>
      </c>
      <c r="J60" s="40">
        <f t="shared" si="0"/>
        <v>0</v>
      </c>
    </row>
    <row r="61" spans="1:10" x14ac:dyDescent="0.25">
      <c r="A61" s="47">
        <v>43830</v>
      </c>
      <c r="B61" s="48">
        <v>2.2999999999999998</v>
      </c>
      <c r="C61" s="40">
        <v>2.2999999999999998</v>
      </c>
      <c r="D61" s="40">
        <v>2.2000000000000002</v>
      </c>
      <c r="E61" s="40">
        <v>2.4</v>
      </c>
      <c r="G61" s="53" t="s">
        <v>212</v>
      </c>
      <c r="H61" s="54" t="s">
        <v>213</v>
      </c>
      <c r="I61" s="54" t="s">
        <v>208</v>
      </c>
      <c r="J61" s="40">
        <f t="shared" si="0"/>
        <v>0</v>
      </c>
    </row>
    <row r="62" spans="1:10" x14ac:dyDescent="0.25">
      <c r="A62" s="47">
        <v>43799</v>
      </c>
      <c r="B62" s="48">
        <v>2.1</v>
      </c>
      <c r="C62" s="40">
        <v>2</v>
      </c>
      <c r="D62" s="40">
        <v>1.7</v>
      </c>
      <c r="E62" s="40">
        <v>2.1</v>
      </c>
      <c r="G62" s="53" t="s">
        <v>214</v>
      </c>
      <c r="H62" s="54" t="s">
        <v>215</v>
      </c>
      <c r="I62" s="54" t="s">
        <v>216</v>
      </c>
      <c r="J62" s="40">
        <f t="shared" si="0"/>
        <v>0</v>
      </c>
    </row>
    <row r="63" spans="1:10" x14ac:dyDescent="0.25">
      <c r="A63" s="47">
        <v>43769</v>
      </c>
      <c r="B63" s="48">
        <v>1.8</v>
      </c>
      <c r="C63" s="40">
        <v>1.7</v>
      </c>
      <c r="D63" s="40">
        <v>1.5</v>
      </c>
      <c r="E63" s="40">
        <v>1.9</v>
      </c>
      <c r="G63" s="53" t="s">
        <v>217</v>
      </c>
      <c r="H63" s="54" t="s">
        <v>218</v>
      </c>
      <c r="I63" s="54" t="s">
        <v>219</v>
      </c>
      <c r="J63" s="40">
        <f t="shared" si="0"/>
        <v>0</v>
      </c>
    </row>
    <row r="64" spans="1:10" x14ac:dyDescent="0.25">
      <c r="A64" s="47">
        <v>43738</v>
      </c>
      <c r="B64" s="48">
        <v>1.7</v>
      </c>
      <c r="C64" s="40">
        <v>1.8</v>
      </c>
      <c r="D64" s="40">
        <v>1.6</v>
      </c>
      <c r="E64" s="40">
        <v>2</v>
      </c>
      <c r="G64" s="53" t="s">
        <v>220</v>
      </c>
      <c r="H64" s="54" t="s">
        <v>221</v>
      </c>
      <c r="I64" s="54" t="s">
        <v>175</v>
      </c>
      <c r="J64" s="40">
        <f t="shared" si="0"/>
        <v>0</v>
      </c>
    </row>
    <row r="65" spans="1:10" x14ac:dyDescent="0.25">
      <c r="A65" s="47">
        <v>43708</v>
      </c>
      <c r="B65" s="48">
        <v>1.7</v>
      </c>
      <c r="C65" s="40">
        <v>1.8</v>
      </c>
      <c r="D65" s="40">
        <v>1.6</v>
      </c>
      <c r="E65" s="40">
        <v>1.9</v>
      </c>
      <c r="G65" s="53" t="s">
        <v>222</v>
      </c>
      <c r="H65" s="54" t="s">
        <v>223</v>
      </c>
      <c r="I65" s="54" t="s">
        <v>175</v>
      </c>
      <c r="J65" s="40">
        <f t="shared" si="0"/>
        <v>0</v>
      </c>
    </row>
    <row r="66" spans="1:10" x14ac:dyDescent="0.25">
      <c r="A66" s="47">
        <v>43677</v>
      </c>
      <c r="B66" s="48">
        <v>1.8</v>
      </c>
      <c r="C66" s="40">
        <v>1.7</v>
      </c>
      <c r="D66" s="40">
        <v>1.6</v>
      </c>
      <c r="E66" s="40">
        <v>1.9</v>
      </c>
      <c r="G66" s="53" t="s">
        <v>224</v>
      </c>
      <c r="H66" s="54" t="s">
        <v>225</v>
      </c>
      <c r="I66" s="54" t="s">
        <v>219</v>
      </c>
      <c r="J66" s="40">
        <f t="shared" si="0"/>
        <v>0</v>
      </c>
    </row>
    <row r="67" spans="1:10" x14ac:dyDescent="0.25">
      <c r="A67" s="47">
        <v>43646</v>
      </c>
      <c r="B67" s="48">
        <v>1.6</v>
      </c>
      <c r="C67" s="40">
        <v>1.6</v>
      </c>
      <c r="D67" s="40">
        <v>1.5</v>
      </c>
      <c r="E67" s="40">
        <v>1.7</v>
      </c>
      <c r="G67" s="53" t="s">
        <v>226</v>
      </c>
      <c r="H67" s="54" t="s">
        <v>227</v>
      </c>
      <c r="I67" s="54" t="s">
        <v>228</v>
      </c>
      <c r="J67" s="40">
        <f t="shared" si="0"/>
        <v>0</v>
      </c>
    </row>
    <row r="68" spans="1:10" x14ac:dyDescent="0.25">
      <c r="A68" s="47">
        <v>43616</v>
      </c>
      <c r="B68" s="48">
        <v>1.8</v>
      </c>
      <c r="C68" s="40">
        <v>1.9</v>
      </c>
      <c r="D68" s="40">
        <v>1.6</v>
      </c>
      <c r="E68" s="40">
        <v>2.2000000000000002</v>
      </c>
      <c r="G68" s="53" t="s">
        <v>229</v>
      </c>
      <c r="H68" s="54" t="s">
        <v>230</v>
      </c>
      <c r="I68" s="54" t="s">
        <v>219</v>
      </c>
      <c r="J68" s="40">
        <f t="shared" si="0"/>
        <v>0</v>
      </c>
    </row>
    <row r="69" spans="1:10" x14ac:dyDescent="0.25">
      <c r="A69" s="47">
        <v>43585</v>
      </c>
      <c r="B69" s="48">
        <v>2</v>
      </c>
      <c r="C69" s="40">
        <v>2.1</v>
      </c>
      <c r="D69" s="40">
        <v>1.9</v>
      </c>
      <c r="E69" s="40">
        <v>2.2000000000000002</v>
      </c>
      <c r="G69" s="53" t="s">
        <v>231</v>
      </c>
      <c r="H69" s="54" t="s">
        <v>232</v>
      </c>
      <c r="I69" s="54" t="s">
        <v>233</v>
      </c>
      <c r="J69" s="40">
        <f t="shared" si="0"/>
        <v>0</v>
      </c>
    </row>
    <row r="70" spans="1:10" x14ac:dyDescent="0.25">
      <c r="A70" s="47">
        <v>43555</v>
      </c>
      <c r="B70" s="48">
        <v>1.9</v>
      </c>
      <c r="C70" s="40">
        <v>1.8</v>
      </c>
      <c r="D70" s="40">
        <v>1.7</v>
      </c>
      <c r="E70" s="40">
        <v>2.1</v>
      </c>
      <c r="G70" s="53" t="s">
        <v>234</v>
      </c>
      <c r="H70" s="54" t="s">
        <v>235</v>
      </c>
      <c r="I70" s="54" t="s">
        <v>236</v>
      </c>
      <c r="J70" s="40">
        <f t="shared" si="0"/>
        <v>0</v>
      </c>
    </row>
    <row r="71" spans="1:10" x14ac:dyDescent="0.25">
      <c r="A71" s="47">
        <v>43524</v>
      </c>
      <c r="B71" s="48">
        <v>1.5</v>
      </c>
      <c r="C71" s="40">
        <v>1.6</v>
      </c>
      <c r="D71" s="40">
        <v>1.4</v>
      </c>
      <c r="E71" s="40">
        <v>2.1</v>
      </c>
      <c r="G71" s="53" t="s">
        <v>237</v>
      </c>
      <c r="H71" s="54" t="s">
        <v>238</v>
      </c>
      <c r="I71" s="54" t="s">
        <v>205</v>
      </c>
      <c r="J71" s="40">
        <f t="shared" si="0"/>
        <v>0</v>
      </c>
    </row>
    <row r="72" spans="1:10" x14ac:dyDescent="0.25">
      <c r="A72" s="47">
        <v>43496</v>
      </c>
      <c r="B72" s="48">
        <v>1.6</v>
      </c>
      <c r="C72" s="40">
        <v>1.5</v>
      </c>
      <c r="D72" s="40">
        <v>1.3</v>
      </c>
      <c r="E72" s="40">
        <v>1.9</v>
      </c>
      <c r="G72" s="53" t="s">
        <v>239</v>
      </c>
      <c r="H72" s="54" t="s">
        <v>240</v>
      </c>
      <c r="I72" s="54" t="s">
        <v>228</v>
      </c>
      <c r="J72" s="40">
        <f t="shared" si="0"/>
        <v>0</v>
      </c>
    </row>
    <row r="73" spans="1:10" x14ac:dyDescent="0.25">
      <c r="A73" s="47">
        <v>43465</v>
      </c>
      <c r="B73" s="48">
        <v>1.9</v>
      </c>
      <c r="C73" s="40">
        <v>1.9</v>
      </c>
      <c r="D73" s="40">
        <v>1.8</v>
      </c>
      <c r="E73" s="40">
        <v>2.4</v>
      </c>
      <c r="G73" s="53" t="s">
        <v>241</v>
      </c>
      <c r="H73" s="54" t="s">
        <v>242</v>
      </c>
      <c r="I73" s="54" t="s">
        <v>236</v>
      </c>
      <c r="J73" s="40">
        <f t="shared" si="0"/>
        <v>0</v>
      </c>
    </row>
    <row r="74" spans="1:10" x14ac:dyDescent="0.25">
      <c r="A74" s="47">
        <v>43434</v>
      </c>
      <c r="B74" s="48">
        <v>2.2000000000000002</v>
      </c>
      <c r="C74" s="40">
        <v>2.2000000000000002</v>
      </c>
      <c r="D74" s="40">
        <v>2.1</v>
      </c>
      <c r="E74" s="40">
        <v>2.5</v>
      </c>
      <c r="G74" s="53" t="s">
        <v>243</v>
      </c>
      <c r="H74" s="54" t="s">
        <v>244</v>
      </c>
      <c r="I74" s="54" t="s">
        <v>245</v>
      </c>
      <c r="J74" s="40">
        <f t="shared" si="0"/>
        <v>0</v>
      </c>
    </row>
    <row r="75" spans="1:10" x14ac:dyDescent="0.25">
      <c r="A75" s="47">
        <v>43404</v>
      </c>
      <c r="B75" s="48">
        <v>2.5</v>
      </c>
      <c r="C75" s="40">
        <v>2.5</v>
      </c>
      <c r="D75" s="40">
        <v>2.2000000000000002</v>
      </c>
      <c r="E75" s="40">
        <v>2.7</v>
      </c>
      <c r="G75" s="53" t="s">
        <v>246</v>
      </c>
      <c r="H75" s="54" t="s">
        <v>247</v>
      </c>
      <c r="I75" s="54" t="s">
        <v>211</v>
      </c>
      <c r="J75" s="40">
        <f t="shared" si="0"/>
        <v>0</v>
      </c>
    </row>
    <row r="76" spans="1:10" x14ac:dyDescent="0.25">
      <c r="A76" s="47">
        <v>43373</v>
      </c>
      <c r="B76" s="48">
        <v>2.2999999999999998</v>
      </c>
      <c r="C76" s="40">
        <v>2.4</v>
      </c>
      <c r="D76" s="40">
        <v>2.2999999999999998</v>
      </c>
      <c r="E76" s="40">
        <v>2.9</v>
      </c>
      <c r="G76" s="53" t="s">
        <v>248</v>
      </c>
      <c r="H76" s="54" t="s">
        <v>249</v>
      </c>
      <c r="I76" s="54" t="s">
        <v>208</v>
      </c>
      <c r="J76" s="40">
        <f t="shared" si="0"/>
        <v>0</v>
      </c>
    </row>
    <row r="77" spans="1:10" x14ac:dyDescent="0.25">
      <c r="A77" s="47">
        <v>43343</v>
      </c>
      <c r="B77" s="48">
        <v>2.7</v>
      </c>
      <c r="C77" s="40">
        <v>2.8</v>
      </c>
      <c r="D77" s="40">
        <v>2.6</v>
      </c>
      <c r="E77" s="40">
        <v>2.9</v>
      </c>
      <c r="G77" s="53" t="s">
        <v>250</v>
      </c>
      <c r="H77" s="54" t="s">
        <v>251</v>
      </c>
      <c r="I77" s="54" t="s">
        <v>252</v>
      </c>
      <c r="J77" s="40">
        <f t="shared" si="0"/>
        <v>0</v>
      </c>
    </row>
    <row r="78" spans="1:10" x14ac:dyDescent="0.25">
      <c r="A78" s="47">
        <v>43312</v>
      </c>
      <c r="B78" s="48">
        <v>2.9</v>
      </c>
      <c r="C78" s="40">
        <v>3</v>
      </c>
      <c r="D78" s="40">
        <v>2.2999999999999998</v>
      </c>
      <c r="E78" s="40">
        <v>3.1</v>
      </c>
      <c r="G78" s="53" t="s">
        <v>253</v>
      </c>
      <c r="H78" s="54" t="s">
        <v>254</v>
      </c>
      <c r="I78" s="54" t="s">
        <v>255</v>
      </c>
      <c r="J78" s="40">
        <f t="shared" si="0"/>
        <v>0</v>
      </c>
    </row>
    <row r="79" spans="1:10" x14ac:dyDescent="0.25">
      <c r="A79" s="47">
        <v>43281</v>
      </c>
      <c r="B79" s="48">
        <v>2.9</v>
      </c>
      <c r="C79" s="40">
        <v>2.9</v>
      </c>
      <c r="D79" s="40">
        <v>2.7</v>
      </c>
      <c r="E79" s="40">
        <v>3.2</v>
      </c>
      <c r="G79" s="53" t="s">
        <v>256</v>
      </c>
      <c r="H79" s="54" t="s">
        <v>257</v>
      </c>
      <c r="I79" s="54" t="s">
        <v>255</v>
      </c>
      <c r="J79" s="40">
        <f t="shared" si="0"/>
        <v>0</v>
      </c>
    </row>
    <row r="80" spans="1:10" x14ac:dyDescent="0.25">
      <c r="A80" s="47">
        <v>43251</v>
      </c>
      <c r="B80" s="48">
        <v>2.8</v>
      </c>
      <c r="C80" s="40">
        <v>2.7</v>
      </c>
      <c r="D80" s="40">
        <v>2.5</v>
      </c>
      <c r="E80" s="40">
        <v>3.1</v>
      </c>
      <c r="G80" s="53" t="s">
        <v>258</v>
      </c>
      <c r="H80" s="54" t="s">
        <v>259</v>
      </c>
      <c r="I80" s="54" t="s">
        <v>260</v>
      </c>
      <c r="J80" s="40">
        <f t="shared" si="0"/>
        <v>0</v>
      </c>
    </row>
    <row r="81" spans="1:10" x14ac:dyDescent="0.25">
      <c r="A81" s="47">
        <v>43220</v>
      </c>
      <c r="B81" s="48">
        <v>2.5</v>
      </c>
      <c r="C81" s="40">
        <v>2.5</v>
      </c>
      <c r="D81" s="40">
        <v>2.2000000000000002</v>
      </c>
      <c r="E81" s="40">
        <v>2.6</v>
      </c>
      <c r="G81" s="53" t="s">
        <v>261</v>
      </c>
      <c r="H81" s="54" t="s">
        <v>262</v>
      </c>
      <c r="I81" s="54" t="s">
        <v>211</v>
      </c>
      <c r="J81" s="40">
        <f t="shared" si="0"/>
        <v>0</v>
      </c>
    </row>
    <row r="82" spans="1:10" x14ac:dyDescent="0.25">
      <c r="A82" s="47">
        <v>43190</v>
      </c>
      <c r="B82" s="48">
        <v>2.4</v>
      </c>
      <c r="C82" s="40">
        <v>2.4</v>
      </c>
      <c r="D82" s="40">
        <v>2.2000000000000002</v>
      </c>
      <c r="E82" s="40">
        <v>2.6</v>
      </c>
      <c r="G82" s="53" t="s">
        <v>263</v>
      </c>
      <c r="H82" s="54" t="s">
        <v>264</v>
      </c>
      <c r="I82" s="54" t="s">
        <v>265</v>
      </c>
      <c r="J82" s="40">
        <f t="shared" si="0"/>
        <v>0</v>
      </c>
    </row>
    <row r="83" spans="1:10" x14ac:dyDescent="0.25">
      <c r="A83" s="47">
        <v>43159</v>
      </c>
      <c r="B83" s="48">
        <v>2.2000000000000002</v>
      </c>
      <c r="C83" s="40">
        <v>2.2000000000000002</v>
      </c>
      <c r="D83" s="40">
        <v>2</v>
      </c>
      <c r="E83" s="40">
        <v>2.4</v>
      </c>
      <c r="G83" s="53" t="s">
        <v>266</v>
      </c>
      <c r="H83" s="54" t="s">
        <v>267</v>
      </c>
      <c r="I83" s="54" t="s">
        <v>245</v>
      </c>
      <c r="J83" s="40">
        <f t="shared" si="0"/>
        <v>0</v>
      </c>
    </row>
    <row r="84" spans="1:10" x14ac:dyDescent="0.25">
      <c r="A84" s="47">
        <v>43131</v>
      </c>
      <c r="B84" s="48">
        <v>2.1</v>
      </c>
      <c r="C84" s="40">
        <v>1.9</v>
      </c>
      <c r="D84" s="40">
        <v>1.8</v>
      </c>
      <c r="E84" s="40">
        <v>2.2999999999999998</v>
      </c>
      <c r="G84" s="53" t="s">
        <v>268</v>
      </c>
      <c r="H84" s="54" t="s">
        <v>269</v>
      </c>
      <c r="I84" s="54" t="s">
        <v>216</v>
      </c>
      <c r="J84" s="40">
        <f t="shared" si="0"/>
        <v>0</v>
      </c>
    </row>
    <row r="85" spans="1:10" x14ac:dyDescent="0.25">
      <c r="A85" s="47">
        <v>43100</v>
      </c>
      <c r="B85" s="48">
        <v>2.1</v>
      </c>
      <c r="C85" s="40">
        <v>2.1</v>
      </c>
      <c r="D85" s="40">
        <v>2</v>
      </c>
      <c r="E85" s="40">
        <v>2.2999999999999998</v>
      </c>
      <c r="G85" s="53" t="s">
        <v>270</v>
      </c>
      <c r="H85" s="54" t="s">
        <v>271</v>
      </c>
      <c r="I85" s="54" t="s">
        <v>216</v>
      </c>
      <c r="J85" s="40">
        <f t="shared" ref="J85:J139" si="1">+I85-B85%</f>
        <v>0</v>
      </c>
    </row>
    <row r="86" spans="1:10" x14ac:dyDescent="0.25">
      <c r="A86" s="47">
        <v>43069</v>
      </c>
      <c r="B86" s="48">
        <v>2.2000000000000002</v>
      </c>
      <c r="C86" s="40">
        <v>2.2000000000000002</v>
      </c>
      <c r="D86" s="40">
        <v>2</v>
      </c>
      <c r="E86" s="40">
        <v>2.2999999999999998</v>
      </c>
      <c r="G86" s="53" t="s">
        <v>272</v>
      </c>
      <c r="H86" s="54" t="s">
        <v>273</v>
      </c>
      <c r="I86" s="54" t="s">
        <v>245</v>
      </c>
      <c r="J86" s="40">
        <f t="shared" si="1"/>
        <v>0</v>
      </c>
    </row>
    <row r="87" spans="1:10" x14ac:dyDescent="0.25">
      <c r="A87" s="47">
        <v>43039</v>
      </c>
      <c r="B87" s="48">
        <v>2</v>
      </c>
      <c r="C87" s="40">
        <v>2</v>
      </c>
      <c r="D87" s="40">
        <v>1.9</v>
      </c>
      <c r="E87" s="40">
        <v>2.2999999999999998</v>
      </c>
      <c r="G87" s="53" t="s">
        <v>274</v>
      </c>
      <c r="H87" s="54" t="s">
        <v>275</v>
      </c>
      <c r="I87" s="54" t="s">
        <v>233</v>
      </c>
      <c r="J87" s="40">
        <f t="shared" si="1"/>
        <v>0</v>
      </c>
    </row>
    <row r="88" spans="1:10" x14ac:dyDescent="0.25">
      <c r="A88" s="47">
        <v>43008</v>
      </c>
      <c r="B88" s="48">
        <v>2.2000000000000002</v>
      </c>
      <c r="C88" s="40">
        <v>2.2999999999999998</v>
      </c>
      <c r="D88" s="40">
        <v>1.9</v>
      </c>
      <c r="E88" s="40">
        <v>2.4</v>
      </c>
      <c r="G88" s="53" t="s">
        <v>276</v>
      </c>
      <c r="H88" s="54" t="s">
        <v>277</v>
      </c>
      <c r="I88" s="54" t="s">
        <v>245</v>
      </c>
      <c r="J88" s="40">
        <f t="shared" si="1"/>
        <v>0</v>
      </c>
    </row>
    <row r="89" spans="1:10" x14ac:dyDescent="0.25">
      <c r="A89" s="47">
        <v>42978</v>
      </c>
      <c r="B89" s="48">
        <v>1.9</v>
      </c>
      <c r="C89" s="40">
        <v>1.8</v>
      </c>
      <c r="D89" s="40">
        <v>1.6</v>
      </c>
      <c r="E89" s="40">
        <v>2</v>
      </c>
      <c r="G89" s="53" t="s">
        <v>278</v>
      </c>
      <c r="H89" s="54" t="s">
        <v>279</v>
      </c>
      <c r="I89" s="54" t="s">
        <v>236</v>
      </c>
      <c r="J89" s="40">
        <f t="shared" si="1"/>
        <v>0</v>
      </c>
    </row>
    <row r="90" spans="1:10" x14ac:dyDescent="0.25">
      <c r="A90" s="47">
        <v>42947</v>
      </c>
      <c r="B90" s="48">
        <v>1.7</v>
      </c>
      <c r="C90" s="40">
        <v>1.8</v>
      </c>
      <c r="D90" s="40">
        <v>1.6</v>
      </c>
      <c r="E90" s="40">
        <v>1.9</v>
      </c>
      <c r="G90" s="53" t="s">
        <v>280</v>
      </c>
      <c r="H90" s="54" t="s">
        <v>281</v>
      </c>
      <c r="I90" s="54" t="s">
        <v>175</v>
      </c>
      <c r="J90" s="40">
        <f t="shared" si="1"/>
        <v>0</v>
      </c>
    </row>
    <row r="91" spans="1:10" x14ac:dyDescent="0.25">
      <c r="A91" s="47">
        <v>42916</v>
      </c>
      <c r="B91" s="48">
        <v>1.6</v>
      </c>
      <c r="C91" s="40">
        <v>1.7</v>
      </c>
      <c r="D91" s="40">
        <v>1.5</v>
      </c>
      <c r="E91" s="40">
        <v>1.9</v>
      </c>
      <c r="G91" s="53" t="s">
        <v>282</v>
      </c>
      <c r="H91" s="54" t="s">
        <v>283</v>
      </c>
      <c r="I91" s="54" t="s">
        <v>228</v>
      </c>
      <c r="J91" s="40">
        <f t="shared" si="1"/>
        <v>0</v>
      </c>
    </row>
    <row r="92" spans="1:10" x14ac:dyDescent="0.25">
      <c r="A92" s="47">
        <v>42886</v>
      </c>
      <c r="B92" s="48">
        <v>1.9</v>
      </c>
      <c r="C92" s="40">
        <v>2</v>
      </c>
      <c r="D92" s="40">
        <v>1.9</v>
      </c>
      <c r="E92" s="40">
        <v>2.2000000000000002</v>
      </c>
      <c r="G92" s="53" t="s">
        <v>284</v>
      </c>
      <c r="H92" s="54" t="s">
        <v>285</v>
      </c>
      <c r="I92" s="54" t="s">
        <v>236</v>
      </c>
      <c r="J92" s="40">
        <f t="shared" si="1"/>
        <v>0</v>
      </c>
    </row>
    <row r="93" spans="1:10" x14ac:dyDescent="0.25">
      <c r="A93" s="47">
        <v>42855</v>
      </c>
      <c r="B93" s="48">
        <v>2.2000000000000002</v>
      </c>
      <c r="C93" s="40">
        <v>2.2999999999999998</v>
      </c>
      <c r="D93" s="40">
        <v>2.1</v>
      </c>
      <c r="E93" s="40">
        <v>2.4</v>
      </c>
      <c r="G93" s="53" t="s">
        <v>286</v>
      </c>
      <c r="H93" s="54" t="s">
        <v>287</v>
      </c>
      <c r="I93" s="54" t="s">
        <v>245</v>
      </c>
      <c r="J93" s="40">
        <f t="shared" si="1"/>
        <v>0</v>
      </c>
    </row>
    <row r="94" spans="1:10" x14ac:dyDescent="0.25">
      <c r="A94" s="47">
        <v>42825</v>
      </c>
      <c r="B94" s="48">
        <v>2.4</v>
      </c>
      <c r="C94" s="40">
        <v>2.6</v>
      </c>
      <c r="D94" s="40">
        <v>2.4</v>
      </c>
      <c r="E94" s="40">
        <v>3</v>
      </c>
      <c r="G94" s="53" t="s">
        <v>288</v>
      </c>
      <c r="H94" s="54" t="s">
        <v>289</v>
      </c>
      <c r="I94" s="54" t="s">
        <v>265</v>
      </c>
      <c r="J94" s="40">
        <f t="shared" si="1"/>
        <v>0</v>
      </c>
    </row>
    <row r="95" spans="1:10" x14ac:dyDescent="0.25">
      <c r="A95" s="47">
        <v>42794</v>
      </c>
      <c r="B95" s="48">
        <v>2.7</v>
      </c>
      <c r="C95" s="40">
        <v>2.7</v>
      </c>
      <c r="D95" s="40">
        <v>2.2000000000000002</v>
      </c>
      <c r="E95" s="40">
        <v>2.9</v>
      </c>
      <c r="G95" s="53" t="s">
        <v>290</v>
      </c>
      <c r="H95" s="54" t="s">
        <v>291</v>
      </c>
      <c r="I95" s="54" t="s">
        <v>252</v>
      </c>
      <c r="J95" s="40">
        <f t="shared" si="1"/>
        <v>0</v>
      </c>
    </row>
    <row r="96" spans="1:10" x14ac:dyDescent="0.25">
      <c r="A96" s="47">
        <v>42766</v>
      </c>
      <c r="B96" s="48">
        <v>2.5</v>
      </c>
      <c r="C96" s="40">
        <v>2.4</v>
      </c>
      <c r="D96" s="40">
        <v>2.1</v>
      </c>
      <c r="E96" s="40">
        <v>2.5</v>
      </c>
      <c r="G96" s="53" t="s">
        <v>292</v>
      </c>
      <c r="H96" s="54" t="s">
        <v>293</v>
      </c>
      <c r="I96" s="54" t="s">
        <v>211</v>
      </c>
      <c r="J96" s="40">
        <f t="shared" si="1"/>
        <v>0</v>
      </c>
    </row>
    <row r="97" spans="1:10" x14ac:dyDescent="0.25">
      <c r="A97" s="47">
        <v>42735</v>
      </c>
      <c r="B97" s="48">
        <v>2.1</v>
      </c>
      <c r="C97" s="40">
        <v>2.1</v>
      </c>
      <c r="D97" s="40">
        <v>2</v>
      </c>
      <c r="E97" s="40">
        <v>2.2000000000000002</v>
      </c>
      <c r="G97" s="53" t="s">
        <v>294</v>
      </c>
      <c r="H97" s="54" t="s">
        <v>295</v>
      </c>
      <c r="I97" s="54" t="s">
        <v>216</v>
      </c>
      <c r="J97" s="40">
        <f t="shared" si="1"/>
        <v>0</v>
      </c>
    </row>
    <row r="98" spans="1:10" x14ac:dyDescent="0.25">
      <c r="A98" s="47">
        <v>42704</v>
      </c>
      <c r="B98" s="48">
        <v>1.7</v>
      </c>
      <c r="C98" s="40">
        <v>1.7</v>
      </c>
      <c r="D98" s="40">
        <v>1.5</v>
      </c>
      <c r="E98" s="40">
        <v>1.8</v>
      </c>
      <c r="G98" s="53" t="s">
        <v>296</v>
      </c>
      <c r="H98" s="54" t="s">
        <v>297</v>
      </c>
      <c r="I98" s="54" t="s">
        <v>175</v>
      </c>
      <c r="J98" s="40">
        <f t="shared" si="1"/>
        <v>0</v>
      </c>
    </row>
    <row r="99" spans="1:10" x14ac:dyDescent="0.25">
      <c r="A99" s="47">
        <v>42674</v>
      </c>
      <c r="B99" s="48">
        <v>1.6</v>
      </c>
      <c r="C99" s="40">
        <v>1.6</v>
      </c>
      <c r="D99" s="40">
        <v>1.5</v>
      </c>
      <c r="E99" s="40">
        <v>1.7</v>
      </c>
      <c r="G99" s="53" t="s">
        <v>298</v>
      </c>
      <c r="H99" s="54" t="s">
        <v>299</v>
      </c>
      <c r="I99" s="54" t="s">
        <v>228</v>
      </c>
      <c r="J99" s="40">
        <f t="shared" si="1"/>
        <v>0</v>
      </c>
    </row>
    <row r="100" spans="1:10" x14ac:dyDescent="0.25">
      <c r="A100" s="47">
        <v>42643</v>
      </c>
      <c r="B100" s="48">
        <v>1.5</v>
      </c>
      <c r="C100" s="40">
        <v>1.5</v>
      </c>
      <c r="D100" s="40">
        <v>1.1000000000000001</v>
      </c>
      <c r="E100" s="40">
        <v>1.6</v>
      </c>
      <c r="G100" s="53" t="s">
        <v>300</v>
      </c>
      <c r="H100" s="54" t="s">
        <v>301</v>
      </c>
      <c r="I100" s="54" t="s">
        <v>205</v>
      </c>
      <c r="J100" s="40">
        <f t="shared" si="1"/>
        <v>0</v>
      </c>
    </row>
    <row r="101" spans="1:10" x14ac:dyDescent="0.25">
      <c r="A101" s="47">
        <v>42613</v>
      </c>
      <c r="B101" s="48">
        <v>1.1000000000000001</v>
      </c>
      <c r="C101" s="40">
        <v>1</v>
      </c>
      <c r="D101" s="40">
        <v>0.8</v>
      </c>
      <c r="E101" s="40">
        <v>1.2</v>
      </c>
      <c r="G101" s="53" t="s">
        <v>302</v>
      </c>
      <c r="H101" s="54" t="s">
        <v>303</v>
      </c>
      <c r="I101" s="54" t="s">
        <v>304</v>
      </c>
      <c r="J101" s="40">
        <f t="shared" si="1"/>
        <v>0</v>
      </c>
    </row>
    <row r="102" spans="1:10" x14ac:dyDescent="0.25">
      <c r="A102" s="47">
        <v>42582</v>
      </c>
      <c r="B102" s="48">
        <v>0.8</v>
      </c>
      <c r="C102" s="40">
        <v>0.9</v>
      </c>
      <c r="D102" s="40">
        <v>0.8</v>
      </c>
      <c r="E102" s="40">
        <v>1.1000000000000001</v>
      </c>
      <c r="G102" s="53" t="s">
        <v>305</v>
      </c>
      <c r="H102" s="54" t="s">
        <v>306</v>
      </c>
      <c r="I102" s="54" t="s">
        <v>307</v>
      </c>
      <c r="J102" s="40">
        <f t="shared" si="1"/>
        <v>0</v>
      </c>
    </row>
    <row r="103" spans="1:10" x14ac:dyDescent="0.25">
      <c r="A103" s="47">
        <v>42551</v>
      </c>
      <c r="B103" s="48">
        <v>1</v>
      </c>
      <c r="C103" s="40">
        <v>1.1000000000000001</v>
      </c>
      <c r="D103" s="40">
        <v>0.9</v>
      </c>
      <c r="E103" s="40">
        <v>1.3</v>
      </c>
      <c r="G103" s="53" t="s">
        <v>308</v>
      </c>
      <c r="H103" s="54" t="s">
        <v>309</v>
      </c>
      <c r="I103" s="54" t="s">
        <v>193</v>
      </c>
      <c r="J103" s="40">
        <f t="shared" si="1"/>
        <v>0</v>
      </c>
    </row>
    <row r="104" spans="1:10" x14ac:dyDescent="0.25">
      <c r="A104" s="47">
        <v>42521</v>
      </c>
      <c r="B104" s="48">
        <v>1</v>
      </c>
      <c r="C104" s="40">
        <v>1.1000000000000001</v>
      </c>
      <c r="D104" s="40">
        <v>1</v>
      </c>
      <c r="E104" s="40">
        <v>1.3</v>
      </c>
      <c r="G104" s="53" t="s">
        <v>310</v>
      </c>
      <c r="H104" s="54" t="s">
        <v>311</v>
      </c>
      <c r="I104" s="54" t="s">
        <v>193</v>
      </c>
      <c r="J104" s="40">
        <f t="shared" si="1"/>
        <v>0</v>
      </c>
    </row>
    <row r="105" spans="1:10" x14ac:dyDescent="0.25">
      <c r="A105" s="47">
        <v>42490</v>
      </c>
      <c r="B105" s="48">
        <v>1.1000000000000001</v>
      </c>
      <c r="C105" s="40">
        <v>1.1000000000000001</v>
      </c>
      <c r="D105" s="40">
        <v>0.9</v>
      </c>
      <c r="E105" s="40">
        <v>1.2</v>
      </c>
      <c r="G105" s="53" t="s">
        <v>312</v>
      </c>
      <c r="H105" s="54" t="s">
        <v>313</v>
      </c>
      <c r="I105" s="54" t="s">
        <v>304</v>
      </c>
      <c r="J105" s="40">
        <f t="shared" si="1"/>
        <v>0</v>
      </c>
    </row>
    <row r="106" spans="1:10" x14ac:dyDescent="0.25">
      <c r="A106" s="47">
        <v>42460</v>
      </c>
      <c r="B106" s="48">
        <v>0.9</v>
      </c>
      <c r="C106" s="40">
        <v>1.1000000000000001</v>
      </c>
      <c r="D106" s="40">
        <v>0.9</v>
      </c>
      <c r="E106" s="40">
        <v>1.6</v>
      </c>
      <c r="G106" s="53" t="s">
        <v>314</v>
      </c>
      <c r="H106" s="54" t="s">
        <v>315</v>
      </c>
      <c r="I106" s="54" t="s">
        <v>316</v>
      </c>
      <c r="J106" s="40">
        <f t="shared" si="1"/>
        <v>0</v>
      </c>
    </row>
    <row r="107" spans="1:10" x14ac:dyDescent="0.25">
      <c r="A107" s="47">
        <v>42429</v>
      </c>
      <c r="B107" s="48">
        <v>1</v>
      </c>
      <c r="C107" s="40">
        <v>0.9</v>
      </c>
      <c r="D107" s="40">
        <v>0.1</v>
      </c>
      <c r="E107" s="40">
        <v>1.4</v>
      </c>
      <c r="G107" s="53" t="s">
        <v>317</v>
      </c>
      <c r="H107" s="54" t="s">
        <v>318</v>
      </c>
      <c r="I107" s="54" t="s">
        <v>193</v>
      </c>
      <c r="J107" s="40">
        <f t="shared" si="1"/>
        <v>0</v>
      </c>
    </row>
    <row r="108" spans="1:10" x14ac:dyDescent="0.25">
      <c r="A108" s="47">
        <v>42400</v>
      </c>
      <c r="B108" s="48">
        <v>1.4</v>
      </c>
      <c r="C108" s="40">
        <v>1.3</v>
      </c>
      <c r="D108" s="40">
        <v>1.1000000000000001</v>
      </c>
      <c r="E108" s="40">
        <v>1.4</v>
      </c>
      <c r="G108" s="53" t="s">
        <v>319</v>
      </c>
      <c r="H108" s="54" t="s">
        <v>320</v>
      </c>
      <c r="I108" s="54" t="s">
        <v>178</v>
      </c>
      <c r="J108" s="40">
        <f t="shared" si="1"/>
        <v>0</v>
      </c>
    </row>
    <row r="109" spans="1:10" x14ac:dyDescent="0.25">
      <c r="A109" s="47">
        <v>42369</v>
      </c>
      <c r="B109" s="48">
        <v>0.7</v>
      </c>
      <c r="C109" s="40">
        <v>0.8</v>
      </c>
      <c r="D109" s="40">
        <v>0.5</v>
      </c>
      <c r="E109" s="40">
        <v>1</v>
      </c>
      <c r="G109" s="53" t="s">
        <v>321</v>
      </c>
      <c r="H109" s="54" t="s">
        <v>322</v>
      </c>
      <c r="I109" s="54" t="s">
        <v>323</v>
      </c>
      <c r="J109" s="40">
        <f t="shared" si="1"/>
        <v>0</v>
      </c>
    </row>
    <row r="110" spans="1:10" x14ac:dyDescent="0.25">
      <c r="A110" s="47">
        <v>42338</v>
      </c>
      <c r="B110" s="48">
        <v>0.5</v>
      </c>
      <c r="C110" s="40">
        <v>0.4</v>
      </c>
      <c r="D110" s="40">
        <v>0.2</v>
      </c>
      <c r="E110" s="40">
        <v>0.6</v>
      </c>
      <c r="G110" s="53" t="s">
        <v>324</v>
      </c>
      <c r="H110" s="54" t="s">
        <v>325</v>
      </c>
      <c r="I110" s="54" t="s">
        <v>326</v>
      </c>
      <c r="J110" s="40">
        <f t="shared" si="1"/>
        <v>0</v>
      </c>
    </row>
    <row r="111" spans="1:10" x14ac:dyDescent="0.25">
      <c r="A111" s="47">
        <v>42308</v>
      </c>
      <c r="B111" s="48">
        <v>0.2</v>
      </c>
      <c r="C111" s="40">
        <v>0.1</v>
      </c>
      <c r="D111" s="40">
        <v>-0.1</v>
      </c>
      <c r="E111" s="40">
        <v>0.2</v>
      </c>
      <c r="G111" s="53" t="s">
        <v>327</v>
      </c>
      <c r="H111" s="54" t="s">
        <v>328</v>
      </c>
      <c r="I111" s="54" t="s">
        <v>329</v>
      </c>
      <c r="J111" s="40">
        <f t="shared" si="1"/>
        <v>0</v>
      </c>
    </row>
    <row r="112" spans="1:10" x14ac:dyDescent="0.25">
      <c r="A112" s="47">
        <v>42277</v>
      </c>
      <c r="B112" s="48">
        <v>0</v>
      </c>
      <c r="C112" s="40">
        <v>-0.1</v>
      </c>
      <c r="D112" s="40">
        <v>-0.3</v>
      </c>
      <c r="E112" s="40">
        <v>0.2</v>
      </c>
      <c r="G112" s="53" t="s">
        <v>330</v>
      </c>
      <c r="H112" s="54" t="s">
        <v>331</v>
      </c>
      <c r="I112" s="54" t="s">
        <v>332</v>
      </c>
      <c r="J112" s="40">
        <f t="shared" si="1"/>
        <v>0</v>
      </c>
    </row>
    <row r="113" spans="1:10" x14ac:dyDescent="0.25">
      <c r="A113" s="47">
        <v>42247</v>
      </c>
      <c r="B113" s="48">
        <v>0.2</v>
      </c>
      <c r="C113" s="40">
        <v>0.2</v>
      </c>
      <c r="D113" s="40">
        <v>0.1</v>
      </c>
      <c r="E113" s="40">
        <v>0.4</v>
      </c>
      <c r="G113" s="53" t="s">
        <v>333</v>
      </c>
      <c r="H113" s="54" t="s">
        <v>334</v>
      </c>
      <c r="I113" s="54" t="s">
        <v>329</v>
      </c>
      <c r="J113" s="40">
        <f t="shared" si="1"/>
        <v>0</v>
      </c>
    </row>
    <row r="114" spans="1:10" x14ac:dyDescent="0.25">
      <c r="A114" s="47">
        <v>42216</v>
      </c>
      <c r="B114" s="48">
        <v>0.2</v>
      </c>
      <c r="C114" s="40">
        <v>0.2</v>
      </c>
      <c r="D114" s="40">
        <v>0</v>
      </c>
      <c r="E114" s="40">
        <v>0.4</v>
      </c>
      <c r="G114" s="53" t="s">
        <v>335</v>
      </c>
      <c r="H114" s="54" t="s">
        <v>336</v>
      </c>
      <c r="I114" s="54" t="s">
        <v>329</v>
      </c>
      <c r="J114" s="40">
        <f t="shared" si="1"/>
        <v>0</v>
      </c>
    </row>
    <row r="115" spans="1:10" x14ac:dyDescent="0.25">
      <c r="A115" s="47">
        <v>42185</v>
      </c>
      <c r="B115" s="48">
        <v>0.1</v>
      </c>
      <c r="C115" s="40">
        <v>0.1</v>
      </c>
      <c r="D115" s="40">
        <v>-0.1</v>
      </c>
      <c r="E115" s="40">
        <v>0.3</v>
      </c>
      <c r="G115" s="53" t="s">
        <v>337</v>
      </c>
      <c r="H115" s="54" t="s">
        <v>338</v>
      </c>
      <c r="I115" s="54" t="s">
        <v>199</v>
      </c>
      <c r="J115" s="40">
        <f t="shared" si="1"/>
        <v>0</v>
      </c>
    </row>
    <row r="116" spans="1:10" x14ac:dyDescent="0.25">
      <c r="A116" s="47">
        <v>42155</v>
      </c>
      <c r="B116" s="48">
        <v>0</v>
      </c>
      <c r="C116" s="40">
        <v>0</v>
      </c>
      <c r="D116" s="40">
        <v>-0.3</v>
      </c>
      <c r="E116" s="40">
        <v>0.4</v>
      </c>
      <c r="G116" s="53" t="s">
        <v>339</v>
      </c>
      <c r="H116" s="54" t="s">
        <v>340</v>
      </c>
      <c r="I116" s="54" t="s">
        <v>332</v>
      </c>
      <c r="J116" s="40">
        <f t="shared" si="1"/>
        <v>0</v>
      </c>
    </row>
    <row r="117" spans="1:10" x14ac:dyDescent="0.25">
      <c r="A117" s="47">
        <v>42124</v>
      </c>
      <c r="B117" s="48">
        <v>-0.2</v>
      </c>
      <c r="C117" s="40">
        <v>-0.1</v>
      </c>
      <c r="D117" s="40">
        <v>-0.7</v>
      </c>
      <c r="E117" s="40">
        <v>0.2</v>
      </c>
      <c r="G117" s="53" t="s">
        <v>341</v>
      </c>
      <c r="H117" s="54" t="s">
        <v>342</v>
      </c>
      <c r="I117" s="54" t="s">
        <v>343</v>
      </c>
      <c r="J117" s="40">
        <f t="shared" si="1"/>
        <v>0</v>
      </c>
    </row>
    <row r="118" spans="1:10" x14ac:dyDescent="0.25">
      <c r="A118" s="47">
        <v>42094</v>
      </c>
      <c r="B118" s="48">
        <v>-0.1</v>
      </c>
      <c r="C118" s="40">
        <v>0</v>
      </c>
      <c r="D118" s="40">
        <v>-0.2</v>
      </c>
      <c r="E118" s="40">
        <v>0.2</v>
      </c>
      <c r="G118" s="53" t="s">
        <v>344</v>
      </c>
      <c r="H118" s="54" t="s">
        <v>345</v>
      </c>
      <c r="I118" s="54" t="s">
        <v>346</v>
      </c>
      <c r="J118" s="40">
        <f t="shared" si="1"/>
        <v>0</v>
      </c>
    </row>
    <row r="119" spans="1:10" x14ac:dyDescent="0.25">
      <c r="A119" s="47">
        <v>42063</v>
      </c>
      <c r="B119" s="48">
        <v>0</v>
      </c>
      <c r="C119" s="40">
        <v>-0.1</v>
      </c>
      <c r="D119" s="40">
        <v>-0.9</v>
      </c>
      <c r="E119" s="40">
        <v>0.2</v>
      </c>
      <c r="G119" s="53" t="s">
        <v>347</v>
      </c>
      <c r="H119" s="54" t="s">
        <v>348</v>
      </c>
      <c r="I119" s="54" t="s">
        <v>332</v>
      </c>
      <c r="J119" s="40">
        <f t="shared" si="1"/>
        <v>0</v>
      </c>
    </row>
    <row r="120" spans="1:10" x14ac:dyDescent="0.25">
      <c r="A120" s="47">
        <v>42035</v>
      </c>
      <c r="B120" s="48">
        <v>-0.1</v>
      </c>
      <c r="C120" s="40">
        <v>-0.1</v>
      </c>
      <c r="D120" s="40">
        <v>-0.5</v>
      </c>
      <c r="E120" s="40">
        <v>0.8</v>
      </c>
      <c r="G120" s="53" t="s">
        <v>349</v>
      </c>
      <c r="H120" s="54" t="s">
        <v>350</v>
      </c>
      <c r="I120" s="54" t="s">
        <v>346</v>
      </c>
      <c r="J120" s="40">
        <f t="shared" si="1"/>
        <v>0</v>
      </c>
    </row>
    <row r="121" spans="1:10" x14ac:dyDescent="0.25">
      <c r="A121" s="47">
        <v>42004</v>
      </c>
      <c r="B121" s="48">
        <v>0.8</v>
      </c>
      <c r="C121" s="40">
        <v>0.7</v>
      </c>
      <c r="D121" s="40">
        <v>0.3</v>
      </c>
      <c r="E121" s="40">
        <v>1.3</v>
      </c>
      <c r="G121" s="53" t="s">
        <v>351</v>
      </c>
      <c r="H121" s="54" t="s">
        <v>352</v>
      </c>
      <c r="I121" s="54" t="s">
        <v>307</v>
      </c>
      <c r="J121" s="40">
        <f t="shared" si="1"/>
        <v>0</v>
      </c>
    </row>
    <row r="122" spans="1:10" x14ac:dyDescent="0.25">
      <c r="A122" s="47">
        <v>41973</v>
      </c>
      <c r="B122" s="48">
        <v>1.3</v>
      </c>
      <c r="C122" s="40">
        <v>1.4</v>
      </c>
      <c r="D122" s="40">
        <v>1.3</v>
      </c>
      <c r="E122" s="40">
        <v>1.7</v>
      </c>
      <c r="G122" s="53" t="s">
        <v>353</v>
      </c>
      <c r="H122" s="54" t="s">
        <v>354</v>
      </c>
      <c r="I122" s="54" t="s">
        <v>190</v>
      </c>
      <c r="J122" s="40">
        <f t="shared" si="1"/>
        <v>0</v>
      </c>
    </row>
    <row r="123" spans="1:10" x14ac:dyDescent="0.25">
      <c r="A123" s="47">
        <v>41943</v>
      </c>
      <c r="B123" s="48">
        <v>1.7</v>
      </c>
      <c r="C123" s="40">
        <v>1.6</v>
      </c>
      <c r="D123" s="40">
        <v>1.4</v>
      </c>
      <c r="E123" s="40">
        <v>1.7</v>
      </c>
      <c r="G123" s="53" t="s">
        <v>355</v>
      </c>
      <c r="H123" s="54" t="s">
        <v>356</v>
      </c>
      <c r="I123" s="54" t="s">
        <v>175</v>
      </c>
      <c r="J123" s="40">
        <f t="shared" si="1"/>
        <v>0</v>
      </c>
    </row>
    <row r="124" spans="1:10" x14ac:dyDescent="0.25">
      <c r="A124" s="47">
        <v>41912</v>
      </c>
      <c r="B124" s="48">
        <v>1.7</v>
      </c>
      <c r="C124" s="40">
        <v>1.6</v>
      </c>
      <c r="D124" s="40">
        <v>1.3</v>
      </c>
      <c r="E124" s="40">
        <v>1.7</v>
      </c>
      <c r="G124" s="53" t="s">
        <v>357</v>
      </c>
      <c r="H124" s="54" t="s">
        <v>358</v>
      </c>
      <c r="I124" s="54" t="s">
        <v>175</v>
      </c>
      <c r="J124" s="40">
        <f t="shared" si="1"/>
        <v>0</v>
      </c>
    </row>
    <row r="125" spans="1:10" x14ac:dyDescent="0.25">
      <c r="A125" s="47">
        <v>41882</v>
      </c>
      <c r="B125" s="48">
        <v>1.7</v>
      </c>
      <c r="C125" s="40">
        <v>1.9</v>
      </c>
      <c r="D125" s="40">
        <v>1.6</v>
      </c>
      <c r="E125" s="40">
        <v>2</v>
      </c>
      <c r="G125" s="53" t="s">
        <v>359</v>
      </c>
      <c r="H125" s="54" t="s">
        <v>360</v>
      </c>
      <c r="I125" s="54" t="s">
        <v>175</v>
      </c>
      <c r="J125" s="40">
        <f t="shared" si="1"/>
        <v>0</v>
      </c>
    </row>
    <row r="126" spans="1:10" x14ac:dyDescent="0.25">
      <c r="A126" s="47">
        <v>41851</v>
      </c>
      <c r="B126" s="48">
        <v>2</v>
      </c>
      <c r="C126" s="40">
        <v>2</v>
      </c>
      <c r="D126" s="40">
        <v>1.9</v>
      </c>
      <c r="E126" s="40">
        <v>2.2000000000000002</v>
      </c>
      <c r="G126" s="53" t="s">
        <v>361</v>
      </c>
      <c r="H126" s="54" t="s">
        <v>362</v>
      </c>
      <c r="I126" s="54" t="s">
        <v>233</v>
      </c>
      <c r="J126" s="40">
        <f t="shared" si="1"/>
        <v>0</v>
      </c>
    </row>
    <row r="127" spans="1:10" x14ac:dyDescent="0.25">
      <c r="A127" s="47">
        <v>41820</v>
      </c>
      <c r="B127" s="48">
        <v>2.1</v>
      </c>
      <c r="C127" s="40">
        <v>2.1</v>
      </c>
      <c r="D127" s="40">
        <v>2</v>
      </c>
      <c r="E127" s="40">
        <v>2.2000000000000002</v>
      </c>
      <c r="G127" s="53" t="s">
        <v>363</v>
      </c>
      <c r="H127" s="54" t="s">
        <v>364</v>
      </c>
      <c r="I127" s="54" t="s">
        <v>216</v>
      </c>
      <c r="J127" s="40">
        <f t="shared" si="1"/>
        <v>0</v>
      </c>
    </row>
    <row r="128" spans="1:10" x14ac:dyDescent="0.25">
      <c r="A128" s="47">
        <v>41790</v>
      </c>
      <c r="B128" s="48">
        <v>2.1</v>
      </c>
      <c r="C128" s="40">
        <v>2</v>
      </c>
      <c r="D128" s="40">
        <v>1.8</v>
      </c>
      <c r="E128" s="40">
        <v>2.1</v>
      </c>
      <c r="G128" s="53" t="s">
        <v>365</v>
      </c>
      <c r="H128" s="54" t="s">
        <v>366</v>
      </c>
      <c r="I128" s="54" t="s">
        <v>216</v>
      </c>
      <c r="J128" s="40">
        <f t="shared" si="1"/>
        <v>0</v>
      </c>
    </row>
    <row r="129" spans="1:10" x14ac:dyDescent="0.25">
      <c r="A129" s="47">
        <v>41759</v>
      </c>
      <c r="B129" s="48">
        <v>2</v>
      </c>
      <c r="C129" s="40">
        <v>2</v>
      </c>
      <c r="D129" s="40">
        <v>1.5</v>
      </c>
      <c r="E129" s="40">
        <v>2.1</v>
      </c>
      <c r="G129" s="53" t="s">
        <v>367</v>
      </c>
      <c r="H129" s="54" t="s">
        <v>368</v>
      </c>
      <c r="I129" s="54" t="s">
        <v>233</v>
      </c>
      <c r="J129" s="40">
        <f t="shared" si="1"/>
        <v>0</v>
      </c>
    </row>
    <row r="130" spans="1:10" x14ac:dyDescent="0.25">
      <c r="A130" s="47">
        <v>41729</v>
      </c>
      <c r="B130" s="48">
        <v>1.5</v>
      </c>
      <c r="C130" s="40">
        <v>1.4</v>
      </c>
      <c r="D130" s="40">
        <v>1.2</v>
      </c>
      <c r="E130" s="40">
        <v>1.6</v>
      </c>
      <c r="G130" s="53" t="s">
        <v>369</v>
      </c>
      <c r="H130" s="54" t="s">
        <v>370</v>
      </c>
      <c r="I130" s="54" t="s">
        <v>205</v>
      </c>
      <c r="J130" s="40">
        <f t="shared" si="1"/>
        <v>0</v>
      </c>
    </row>
    <row r="131" spans="1:10" x14ac:dyDescent="0.25">
      <c r="A131" s="47">
        <v>41698</v>
      </c>
      <c r="B131" s="48">
        <v>1.1000000000000001</v>
      </c>
      <c r="C131" s="40">
        <v>1.2</v>
      </c>
      <c r="D131" s="40">
        <v>0.9</v>
      </c>
      <c r="E131" s="40">
        <v>1.7</v>
      </c>
      <c r="G131" s="53" t="s">
        <v>371</v>
      </c>
      <c r="H131" s="54" t="s">
        <v>372</v>
      </c>
      <c r="I131" s="54" t="s">
        <v>304</v>
      </c>
      <c r="J131" s="40">
        <f t="shared" si="1"/>
        <v>0</v>
      </c>
    </row>
    <row r="132" spans="1:10" x14ac:dyDescent="0.25">
      <c r="A132" s="47">
        <v>41670</v>
      </c>
      <c r="B132" s="48">
        <v>1.6</v>
      </c>
      <c r="C132" s="40">
        <v>1.6</v>
      </c>
      <c r="D132" s="40">
        <v>1.4</v>
      </c>
      <c r="E132" s="40">
        <v>1.8</v>
      </c>
      <c r="G132" s="53" t="s">
        <v>373</v>
      </c>
      <c r="H132" s="54" t="s">
        <v>374</v>
      </c>
      <c r="I132" s="54" t="s">
        <v>228</v>
      </c>
      <c r="J132" s="40">
        <f t="shared" si="1"/>
        <v>0</v>
      </c>
    </row>
    <row r="133" spans="1:10" x14ac:dyDescent="0.25">
      <c r="A133" s="47">
        <v>41639</v>
      </c>
      <c r="B133" s="48">
        <v>1.5</v>
      </c>
      <c r="C133" s="40">
        <v>1.5</v>
      </c>
      <c r="D133" s="40">
        <v>1.2</v>
      </c>
      <c r="E133" s="40">
        <v>1.7</v>
      </c>
      <c r="G133" s="53" t="s">
        <v>375</v>
      </c>
      <c r="H133" s="54" t="s">
        <v>376</v>
      </c>
      <c r="I133" s="54" t="s">
        <v>205</v>
      </c>
      <c r="J133" s="40">
        <f t="shared" si="1"/>
        <v>0</v>
      </c>
    </row>
    <row r="134" spans="1:10" x14ac:dyDescent="0.25">
      <c r="A134" s="47">
        <v>41608</v>
      </c>
      <c r="B134" s="48">
        <v>1.2</v>
      </c>
      <c r="C134" s="40">
        <v>1.3</v>
      </c>
      <c r="D134" s="40">
        <v>1</v>
      </c>
      <c r="E134" s="40">
        <v>1.3</v>
      </c>
      <c r="G134" s="53" t="s">
        <v>377</v>
      </c>
      <c r="H134" s="54" t="s">
        <v>378</v>
      </c>
      <c r="I134" s="54" t="s">
        <v>183</v>
      </c>
      <c r="J134" s="40">
        <f t="shared" si="1"/>
        <v>0</v>
      </c>
    </row>
    <row r="135" spans="1:10" x14ac:dyDescent="0.25">
      <c r="A135" s="47">
        <v>41578</v>
      </c>
      <c r="B135" s="48">
        <v>1</v>
      </c>
      <c r="C135" s="40">
        <v>1</v>
      </c>
      <c r="D135" s="40">
        <v>0.9</v>
      </c>
      <c r="E135" s="40">
        <v>1.2</v>
      </c>
      <c r="G135" s="53" t="s">
        <v>379</v>
      </c>
      <c r="H135" s="54" t="s">
        <v>380</v>
      </c>
      <c r="I135" s="54" t="s">
        <v>193</v>
      </c>
      <c r="J135" s="40">
        <f t="shared" si="1"/>
        <v>0</v>
      </c>
    </row>
    <row r="136" spans="1:10" x14ac:dyDescent="0.25">
      <c r="A136" s="47">
        <v>41547</v>
      </c>
      <c r="B136" s="48">
        <v>1.2</v>
      </c>
      <c r="C136" s="40">
        <v>1.2</v>
      </c>
      <c r="D136" s="40">
        <v>0.8</v>
      </c>
      <c r="E136" s="40">
        <v>1.3</v>
      </c>
      <c r="G136" s="53" t="s">
        <v>381</v>
      </c>
      <c r="H136" s="54" t="s">
        <v>382</v>
      </c>
      <c r="I136" s="54" t="s">
        <v>183</v>
      </c>
      <c r="J136" s="40">
        <f t="shared" si="1"/>
        <v>0</v>
      </c>
    </row>
    <row r="137" spans="1:10" x14ac:dyDescent="0.25">
      <c r="A137" s="47">
        <v>41517</v>
      </c>
      <c r="B137" s="48">
        <v>1.5</v>
      </c>
      <c r="C137" s="40">
        <v>1.6</v>
      </c>
      <c r="D137" s="40">
        <v>1.4</v>
      </c>
      <c r="E137" s="40">
        <v>2</v>
      </c>
      <c r="G137" s="53" t="s">
        <v>383</v>
      </c>
      <c r="H137" s="54" t="s">
        <v>384</v>
      </c>
      <c r="I137" s="54" t="s">
        <v>205</v>
      </c>
      <c r="J137" s="40">
        <f t="shared" si="1"/>
        <v>0</v>
      </c>
    </row>
    <row r="138" spans="1:10" x14ac:dyDescent="0.25">
      <c r="A138" s="47">
        <v>41486</v>
      </c>
      <c r="B138" s="48">
        <v>2</v>
      </c>
      <c r="C138" s="40">
        <v>2</v>
      </c>
      <c r="D138" s="40">
        <v>1.7</v>
      </c>
      <c r="E138" s="40">
        <v>2.1</v>
      </c>
      <c r="G138" s="53" t="s">
        <v>385</v>
      </c>
      <c r="H138" s="54" t="s">
        <v>386</v>
      </c>
      <c r="I138" s="54" t="s">
        <v>233</v>
      </c>
      <c r="J138" s="40">
        <f t="shared" si="1"/>
        <v>0</v>
      </c>
    </row>
    <row r="139" spans="1:10" x14ac:dyDescent="0.25">
      <c r="A139" s="47">
        <v>41455</v>
      </c>
      <c r="B139" s="48">
        <v>1.8</v>
      </c>
      <c r="C139" s="40">
        <v>1.7</v>
      </c>
      <c r="D139" s="40">
        <v>1.3</v>
      </c>
      <c r="E139" s="40">
        <v>1.9</v>
      </c>
      <c r="G139" s="53" t="s">
        <v>387</v>
      </c>
      <c r="H139" s="54" t="s">
        <v>388</v>
      </c>
      <c r="I139" s="54" t="s">
        <v>219</v>
      </c>
      <c r="J139" s="40">
        <f t="shared" si="1"/>
        <v>0</v>
      </c>
    </row>
  </sheetData>
  <mergeCells count="7">
    <mergeCell ref="A2:H2"/>
    <mergeCell ref="A3:H3"/>
    <mergeCell ref="A17:A19"/>
    <mergeCell ref="B17:B18"/>
    <mergeCell ref="C17:E17"/>
    <mergeCell ref="G18:G19"/>
    <mergeCell ref="H18:I18"/>
  </mergeCells>
  <pageMargins left="0.7" right="0.7" top="0.75" bottom="0.75" header="0.3" footer="0.3"/>
  <customProperties>
    <customPr name="REFI_OFFICE_FUNCTION_DATA" r:id="rId1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61BE3-805A-4103-8C19-C0CE51449FB6}">
  <dimension ref="A1:C125"/>
  <sheetViews>
    <sheetView topLeftCell="A55" workbookViewId="0">
      <selection activeCell="J123" sqref="J123"/>
    </sheetView>
  </sheetViews>
  <sheetFormatPr defaultRowHeight="15" x14ac:dyDescent="0.25"/>
  <cols>
    <col min="2" max="2" width="21" customWidth="1"/>
  </cols>
  <sheetData>
    <row r="1" spans="1:3" ht="15.75" x14ac:dyDescent="0.25">
      <c r="A1" s="49" t="s">
        <v>93</v>
      </c>
      <c r="B1" s="40"/>
      <c r="C1" s="40"/>
    </row>
    <row r="2" spans="1:3" x14ac:dyDescent="0.25">
      <c r="A2" s="50" t="s">
        <v>56</v>
      </c>
      <c r="B2" s="40"/>
      <c r="C2" s="40"/>
    </row>
    <row r="3" spans="1:3" x14ac:dyDescent="0.25">
      <c r="A3" s="224" t="s">
        <v>33</v>
      </c>
      <c r="B3" s="226" t="s">
        <v>94</v>
      </c>
      <c r="C3" s="227" t="s">
        <v>94</v>
      </c>
    </row>
    <row r="4" spans="1:3" x14ac:dyDescent="0.25">
      <c r="A4" s="225" t="s">
        <v>33</v>
      </c>
      <c r="B4" s="51" t="s">
        <v>95</v>
      </c>
      <c r="C4" s="52" t="s">
        <v>96</v>
      </c>
    </row>
    <row r="5" spans="1:3" x14ac:dyDescent="0.25">
      <c r="A5" s="53" t="s">
        <v>97</v>
      </c>
      <c r="B5" s="54" t="s">
        <v>389</v>
      </c>
      <c r="C5" s="54" t="s">
        <v>390</v>
      </c>
    </row>
    <row r="6" spans="1:3" x14ac:dyDescent="0.25">
      <c r="A6" s="53" t="s">
        <v>100</v>
      </c>
      <c r="B6" s="54" t="s">
        <v>391</v>
      </c>
      <c r="C6" s="54" t="s">
        <v>392</v>
      </c>
    </row>
    <row r="7" spans="1:3" x14ac:dyDescent="0.25">
      <c r="A7" s="53" t="s">
        <v>103</v>
      </c>
      <c r="B7" s="54" t="s">
        <v>393</v>
      </c>
      <c r="C7" s="54" t="s">
        <v>394</v>
      </c>
    </row>
    <row r="8" spans="1:3" x14ac:dyDescent="0.25">
      <c r="A8" s="53" t="s">
        <v>106</v>
      </c>
      <c r="B8" s="54" t="s">
        <v>395</v>
      </c>
      <c r="C8" s="54" t="s">
        <v>396</v>
      </c>
    </row>
    <row r="9" spans="1:3" x14ac:dyDescent="0.25">
      <c r="A9" s="53" t="s">
        <v>109</v>
      </c>
      <c r="B9" s="54" t="s">
        <v>397</v>
      </c>
      <c r="C9" s="54" t="s">
        <v>398</v>
      </c>
    </row>
    <row r="10" spans="1:3" x14ac:dyDescent="0.25">
      <c r="A10" s="53" t="s">
        <v>112</v>
      </c>
      <c r="B10" s="54" t="s">
        <v>399</v>
      </c>
      <c r="C10" s="54" t="s">
        <v>400</v>
      </c>
    </row>
    <row r="11" spans="1:3" x14ac:dyDescent="0.25">
      <c r="A11" s="53" t="s">
        <v>115</v>
      </c>
      <c r="B11" s="54" t="s">
        <v>401</v>
      </c>
      <c r="C11" s="54" t="s">
        <v>402</v>
      </c>
    </row>
    <row r="12" spans="1:3" x14ac:dyDescent="0.25">
      <c r="A12" s="53" t="s">
        <v>118</v>
      </c>
      <c r="B12" s="54" t="s">
        <v>403</v>
      </c>
      <c r="C12" s="54" t="s">
        <v>404</v>
      </c>
    </row>
    <row r="13" spans="1:3" x14ac:dyDescent="0.25">
      <c r="A13" s="53" t="s">
        <v>121</v>
      </c>
      <c r="B13" s="54" t="s">
        <v>405</v>
      </c>
      <c r="C13" s="54" t="s">
        <v>406</v>
      </c>
    </row>
    <row r="14" spans="1:3" x14ac:dyDescent="0.25">
      <c r="A14" s="53" t="s">
        <v>124</v>
      </c>
      <c r="B14" s="54" t="s">
        <v>407</v>
      </c>
      <c r="C14" s="54" t="s">
        <v>408</v>
      </c>
    </row>
    <row r="15" spans="1:3" x14ac:dyDescent="0.25">
      <c r="A15" s="53" t="s">
        <v>127</v>
      </c>
      <c r="B15" s="54" t="s">
        <v>409</v>
      </c>
      <c r="C15" s="54" t="s">
        <v>410</v>
      </c>
    </row>
    <row r="16" spans="1:3" x14ac:dyDescent="0.25">
      <c r="A16" s="53" t="s">
        <v>130</v>
      </c>
      <c r="B16" s="54" t="s">
        <v>411</v>
      </c>
      <c r="C16" s="54" t="s">
        <v>412</v>
      </c>
    </row>
    <row r="17" spans="1:3" x14ac:dyDescent="0.25">
      <c r="A17" s="53" t="s">
        <v>133</v>
      </c>
      <c r="B17" s="54" t="s">
        <v>413</v>
      </c>
      <c r="C17" s="54" t="s">
        <v>414</v>
      </c>
    </row>
    <row r="18" spans="1:3" x14ac:dyDescent="0.25">
      <c r="A18" s="53" t="s">
        <v>136</v>
      </c>
      <c r="B18" s="54" t="s">
        <v>415</v>
      </c>
      <c r="C18" s="54" t="s">
        <v>416</v>
      </c>
    </row>
    <row r="19" spans="1:3" x14ac:dyDescent="0.25">
      <c r="A19" s="53" t="s">
        <v>138</v>
      </c>
      <c r="B19" s="54" t="s">
        <v>417</v>
      </c>
      <c r="C19" s="54" t="s">
        <v>418</v>
      </c>
    </row>
    <row r="20" spans="1:3" x14ac:dyDescent="0.25">
      <c r="A20" s="53" t="s">
        <v>140</v>
      </c>
      <c r="B20" s="54" t="s">
        <v>419</v>
      </c>
      <c r="C20" s="54" t="s">
        <v>420</v>
      </c>
    </row>
    <row r="21" spans="1:3" x14ac:dyDescent="0.25">
      <c r="A21" s="53" t="s">
        <v>143</v>
      </c>
      <c r="B21" s="54" t="s">
        <v>421</v>
      </c>
      <c r="C21" s="54" t="s">
        <v>422</v>
      </c>
    </row>
    <row r="22" spans="1:3" x14ac:dyDescent="0.25">
      <c r="A22" s="53" t="s">
        <v>146</v>
      </c>
      <c r="B22" s="54" t="s">
        <v>423</v>
      </c>
      <c r="C22" s="54" t="s">
        <v>424</v>
      </c>
    </row>
    <row r="23" spans="1:3" x14ac:dyDescent="0.25">
      <c r="A23" s="53" t="s">
        <v>149</v>
      </c>
      <c r="B23" s="54" t="s">
        <v>425</v>
      </c>
      <c r="C23" s="54" t="s">
        <v>426</v>
      </c>
    </row>
    <row r="24" spans="1:3" x14ac:dyDescent="0.25">
      <c r="A24" s="53" t="s">
        <v>152</v>
      </c>
      <c r="B24" s="54" t="s">
        <v>427</v>
      </c>
      <c r="C24" s="54" t="s">
        <v>428</v>
      </c>
    </row>
    <row r="25" spans="1:3" x14ac:dyDescent="0.25">
      <c r="A25" s="53" t="s">
        <v>155</v>
      </c>
      <c r="B25" s="54" t="s">
        <v>429</v>
      </c>
      <c r="C25" s="54" t="s">
        <v>430</v>
      </c>
    </row>
    <row r="26" spans="1:3" x14ac:dyDescent="0.25">
      <c r="A26" s="53" t="s">
        <v>158</v>
      </c>
      <c r="B26" s="54" t="s">
        <v>431</v>
      </c>
      <c r="C26" s="54" t="s">
        <v>432</v>
      </c>
    </row>
    <row r="27" spans="1:3" x14ac:dyDescent="0.25">
      <c r="A27" s="53" t="s">
        <v>161</v>
      </c>
      <c r="B27" s="54" t="s">
        <v>433</v>
      </c>
      <c r="C27" s="54" t="s">
        <v>434</v>
      </c>
    </row>
    <row r="28" spans="1:3" x14ac:dyDescent="0.25">
      <c r="A28" s="53" t="s">
        <v>163</v>
      </c>
      <c r="B28" s="54" t="s">
        <v>435</v>
      </c>
      <c r="C28" s="54" t="s">
        <v>436</v>
      </c>
    </row>
    <row r="29" spans="1:3" x14ac:dyDescent="0.25">
      <c r="A29" s="53" t="s">
        <v>165</v>
      </c>
      <c r="B29" s="54" t="s">
        <v>437</v>
      </c>
      <c r="C29" s="54" t="s">
        <v>438</v>
      </c>
    </row>
    <row r="30" spans="1:3" x14ac:dyDescent="0.25">
      <c r="A30" s="53" t="s">
        <v>167</v>
      </c>
      <c r="B30" s="54" t="s">
        <v>439</v>
      </c>
      <c r="C30" s="54" t="s">
        <v>440</v>
      </c>
    </row>
    <row r="31" spans="1:3" x14ac:dyDescent="0.25">
      <c r="A31" s="53" t="s">
        <v>170</v>
      </c>
      <c r="B31" s="54" t="s">
        <v>441</v>
      </c>
      <c r="C31" s="54" t="s">
        <v>442</v>
      </c>
    </row>
    <row r="32" spans="1:3" x14ac:dyDescent="0.25">
      <c r="A32" s="53" t="s">
        <v>173</v>
      </c>
      <c r="B32" s="54" t="s">
        <v>443</v>
      </c>
      <c r="C32" s="54" t="s">
        <v>444</v>
      </c>
    </row>
    <row r="33" spans="1:3" x14ac:dyDescent="0.25">
      <c r="A33" s="53" t="s">
        <v>176</v>
      </c>
      <c r="B33" s="54" t="s">
        <v>445</v>
      </c>
      <c r="C33" s="54" t="s">
        <v>446</v>
      </c>
    </row>
    <row r="34" spans="1:3" x14ac:dyDescent="0.25">
      <c r="A34" s="53" t="s">
        <v>179</v>
      </c>
      <c r="B34" s="54" t="s">
        <v>447</v>
      </c>
      <c r="C34" s="54" t="s">
        <v>438</v>
      </c>
    </row>
    <row r="35" spans="1:3" x14ac:dyDescent="0.25">
      <c r="A35" s="53" t="s">
        <v>181</v>
      </c>
      <c r="B35" s="54" t="s">
        <v>448</v>
      </c>
      <c r="C35" s="54" t="s">
        <v>432</v>
      </c>
    </row>
    <row r="36" spans="1:3" x14ac:dyDescent="0.25">
      <c r="A36" s="53" t="s">
        <v>184</v>
      </c>
      <c r="B36" s="54" t="s">
        <v>449</v>
      </c>
      <c r="C36" s="54" t="s">
        <v>450</v>
      </c>
    </row>
    <row r="37" spans="1:3" x14ac:dyDescent="0.25">
      <c r="A37" s="53" t="s">
        <v>186</v>
      </c>
      <c r="B37" s="54" t="s">
        <v>451</v>
      </c>
      <c r="C37" s="54" t="s">
        <v>440</v>
      </c>
    </row>
    <row r="38" spans="1:3" x14ac:dyDescent="0.25">
      <c r="A38" s="53" t="s">
        <v>188</v>
      </c>
      <c r="B38" s="54" t="s">
        <v>452</v>
      </c>
      <c r="C38" s="54" t="s">
        <v>453</v>
      </c>
    </row>
    <row r="39" spans="1:3" x14ac:dyDescent="0.25">
      <c r="A39" s="53" t="s">
        <v>191</v>
      </c>
      <c r="B39" s="54" t="s">
        <v>454</v>
      </c>
      <c r="C39" s="54" t="s">
        <v>455</v>
      </c>
    </row>
    <row r="40" spans="1:3" x14ac:dyDescent="0.25">
      <c r="A40" s="53" t="s">
        <v>194</v>
      </c>
      <c r="B40" s="54" t="s">
        <v>456</v>
      </c>
      <c r="C40" s="54" t="s">
        <v>457</v>
      </c>
    </row>
    <row r="41" spans="1:3" x14ac:dyDescent="0.25">
      <c r="A41" s="53" t="s">
        <v>197</v>
      </c>
      <c r="B41" s="54" t="s">
        <v>458</v>
      </c>
      <c r="C41" s="54" t="s">
        <v>459</v>
      </c>
    </row>
    <row r="42" spans="1:3" x14ac:dyDescent="0.25">
      <c r="A42" s="53" t="s">
        <v>200</v>
      </c>
      <c r="B42" s="54" t="s">
        <v>460</v>
      </c>
      <c r="C42" s="54" t="s">
        <v>461</v>
      </c>
    </row>
    <row r="43" spans="1:3" x14ac:dyDescent="0.25">
      <c r="A43" s="53" t="s">
        <v>203</v>
      </c>
      <c r="B43" s="54" t="s">
        <v>462</v>
      </c>
      <c r="C43" s="54" t="s">
        <v>463</v>
      </c>
    </row>
    <row r="44" spans="1:3" x14ac:dyDescent="0.25">
      <c r="A44" s="53" t="s">
        <v>206</v>
      </c>
      <c r="B44" s="54" t="s">
        <v>464</v>
      </c>
      <c r="C44" s="54" t="s">
        <v>465</v>
      </c>
    </row>
    <row r="45" spans="1:3" x14ac:dyDescent="0.25">
      <c r="A45" s="53" t="s">
        <v>209</v>
      </c>
      <c r="B45" s="54" t="s">
        <v>466</v>
      </c>
      <c r="C45" s="54" t="s">
        <v>467</v>
      </c>
    </row>
    <row r="46" spans="1:3" x14ac:dyDescent="0.25">
      <c r="A46" s="53" t="s">
        <v>212</v>
      </c>
      <c r="B46" s="54" t="s">
        <v>468</v>
      </c>
      <c r="C46" s="54" t="s">
        <v>469</v>
      </c>
    </row>
    <row r="47" spans="1:3" x14ac:dyDescent="0.25">
      <c r="A47" s="53" t="s">
        <v>214</v>
      </c>
      <c r="B47" s="54" t="s">
        <v>470</v>
      </c>
      <c r="C47" s="54" t="s">
        <v>471</v>
      </c>
    </row>
    <row r="48" spans="1:3" x14ac:dyDescent="0.25">
      <c r="A48" s="53" t="s">
        <v>217</v>
      </c>
      <c r="B48" s="54" t="s">
        <v>472</v>
      </c>
      <c r="C48" s="54" t="s">
        <v>473</v>
      </c>
    </row>
    <row r="49" spans="1:3" x14ac:dyDescent="0.25">
      <c r="A49" s="53" t="s">
        <v>220</v>
      </c>
      <c r="B49" s="54" t="s">
        <v>474</v>
      </c>
      <c r="C49" s="54" t="s">
        <v>475</v>
      </c>
    </row>
    <row r="50" spans="1:3" x14ac:dyDescent="0.25">
      <c r="A50" s="53" t="s">
        <v>222</v>
      </c>
      <c r="B50" s="54" t="s">
        <v>476</v>
      </c>
      <c r="C50" s="54" t="s">
        <v>477</v>
      </c>
    </row>
    <row r="51" spans="1:3" x14ac:dyDescent="0.25">
      <c r="A51" s="53" t="s">
        <v>224</v>
      </c>
      <c r="B51" s="54" t="s">
        <v>478</v>
      </c>
      <c r="C51" s="54" t="s">
        <v>479</v>
      </c>
    </row>
    <row r="52" spans="1:3" x14ac:dyDescent="0.25">
      <c r="A52" s="53" t="s">
        <v>226</v>
      </c>
      <c r="B52" s="54" t="s">
        <v>480</v>
      </c>
      <c r="C52" s="54" t="s">
        <v>481</v>
      </c>
    </row>
    <row r="53" spans="1:3" x14ac:dyDescent="0.25">
      <c r="A53" s="53" t="s">
        <v>229</v>
      </c>
      <c r="B53" s="54" t="s">
        <v>482</v>
      </c>
      <c r="C53" s="54" t="s">
        <v>479</v>
      </c>
    </row>
    <row r="54" spans="1:3" x14ac:dyDescent="0.25">
      <c r="A54" s="53" t="s">
        <v>231</v>
      </c>
      <c r="B54" s="54" t="s">
        <v>483</v>
      </c>
      <c r="C54" s="54" t="s">
        <v>484</v>
      </c>
    </row>
    <row r="55" spans="1:3" x14ac:dyDescent="0.25">
      <c r="A55" s="53" t="s">
        <v>234</v>
      </c>
      <c r="B55" s="54" t="s">
        <v>485</v>
      </c>
      <c r="C55" s="54" t="s">
        <v>486</v>
      </c>
    </row>
    <row r="56" spans="1:3" x14ac:dyDescent="0.25">
      <c r="A56" s="53" t="s">
        <v>237</v>
      </c>
      <c r="B56" s="54" t="s">
        <v>487</v>
      </c>
      <c r="C56" s="54" t="s">
        <v>488</v>
      </c>
    </row>
    <row r="57" spans="1:3" x14ac:dyDescent="0.25">
      <c r="A57" s="53" t="s">
        <v>239</v>
      </c>
      <c r="B57" s="54" t="s">
        <v>489</v>
      </c>
      <c r="C57" s="54" t="s">
        <v>490</v>
      </c>
    </row>
    <row r="58" spans="1:3" x14ac:dyDescent="0.25">
      <c r="A58" s="53" t="s">
        <v>241</v>
      </c>
      <c r="B58" s="54" t="s">
        <v>491</v>
      </c>
      <c r="C58" s="54" t="s">
        <v>473</v>
      </c>
    </row>
    <row r="59" spans="1:3" x14ac:dyDescent="0.25">
      <c r="A59" s="53" t="s">
        <v>243</v>
      </c>
      <c r="B59" s="54" t="s">
        <v>492</v>
      </c>
      <c r="C59" s="54" t="s">
        <v>493</v>
      </c>
    </row>
    <row r="60" spans="1:3" x14ac:dyDescent="0.25">
      <c r="A60" s="53" t="s">
        <v>246</v>
      </c>
      <c r="B60" s="54" t="s">
        <v>494</v>
      </c>
      <c r="C60" s="54" t="s">
        <v>495</v>
      </c>
    </row>
    <row r="61" spans="1:3" x14ac:dyDescent="0.25">
      <c r="A61" s="53" t="s">
        <v>248</v>
      </c>
      <c r="B61" s="54" t="s">
        <v>496</v>
      </c>
      <c r="C61" s="54" t="s">
        <v>497</v>
      </c>
    </row>
    <row r="62" spans="1:3" x14ac:dyDescent="0.25">
      <c r="A62" s="53" t="s">
        <v>250</v>
      </c>
      <c r="B62" s="54" t="s">
        <v>498</v>
      </c>
      <c r="C62" s="54" t="s">
        <v>499</v>
      </c>
    </row>
    <row r="63" spans="1:3" x14ac:dyDescent="0.25">
      <c r="A63" s="53" t="s">
        <v>253</v>
      </c>
      <c r="B63" s="54" t="s">
        <v>500</v>
      </c>
      <c r="C63" s="54" t="s">
        <v>501</v>
      </c>
    </row>
    <row r="64" spans="1:3" x14ac:dyDescent="0.25">
      <c r="A64" s="53" t="s">
        <v>256</v>
      </c>
      <c r="B64" s="54" t="s">
        <v>502</v>
      </c>
      <c r="C64" s="54" t="s">
        <v>503</v>
      </c>
    </row>
    <row r="65" spans="1:3" x14ac:dyDescent="0.25">
      <c r="A65" s="53" t="s">
        <v>258</v>
      </c>
      <c r="B65" s="54" t="s">
        <v>504</v>
      </c>
      <c r="C65" s="54" t="s">
        <v>493</v>
      </c>
    </row>
    <row r="66" spans="1:3" x14ac:dyDescent="0.25">
      <c r="A66" s="53" t="s">
        <v>261</v>
      </c>
      <c r="B66" s="54" t="s">
        <v>505</v>
      </c>
      <c r="C66" s="54" t="s">
        <v>506</v>
      </c>
    </row>
    <row r="67" spans="1:3" x14ac:dyDescent="0.25">
      <c r="A67" s="53" t="s">
        <v>263</v>
      </c>
      <c r="B67" s="54" t="s">
        <v>507</v>
      </c>
      <c r="C67" s="54" t="s">
        <v>508</v>
      </c>
    </row>
    <row r="68" spans="1:3" x14ac:dyDescent="0.25">
      <c r="A68" s="53" t="s">
        <v>266</v>
      </c>
      <c r="B68" s="54" t="s">
        <v>509</v>
      </c>
      <c r="C68" s="54" t="s">
        <v>501</v>
      </c>
    </row>
    <row r="69" spans="1:3" x14ac:dyDescent="0.25">
      <c r="A69" s="53" t="s">
        <v>268</v>
      </c>
      <c r="B69" s="54" t="s">
        <v>510</v>
      </c>
      <c r="C69" s="54" t="s">
        <v>511</v>
      </c>
    </row>
    <row r="70" spans="1:3" x14ac:dyDescent="0.25">
      <c r="A70" s="53" t="s">
        <v>270</v>
      </c>
      <c r="B70" s="54" t="s">
        <v>512</v>
      </c>
      <c r="C70" s="54" t="s">
        <v>513</v>
      </c>
    </row>
    <row r="71" spans="1:3" x14ac:dyDescent="0.25">
      <c r="A71" s="53" t="s">
        <v>272</v>
      </c>
      <c r="B71" s="54" t="s">
        <v>514</v>
      </c>
      <c r="C71" s="54" t="s">
        <v>515</v>
      </c>
    </row>
    <row r="72" spans="1:3" x14ac:dyDescent="0.25">
      <c r="A72" s="53" t="s">
        <v>274</v>
      </c>
      <c r="B72" s="54" t="s">
        <v>516</v>
      </c>
      <c r="C72" s="54" t="s">
        <v>517</v>
      </c>
    </row>
    <row r="73" spans="1:3" x14ac:dyDescent="0.25">
      <c r="A73" s="53" t="s">
        <v>276</v>
      </c>
      <c r="B73" s="54" t="s">
        <v>518</v>
      </c>
      <c r="C73" s="54" t="s">
        <v>519</v>
      </c>
    </row>
    <row r="74" spans="1:3" x14ac:dyDescent="0.25">
      <c r="A74" s="53" t="s">
        <v>278</v>
      </c>
      <c r="B74" s="54" t="s">
        <v>520</v>
      </c>
      <c r="C74" s="54" t="s">
        <v>521</v>
      </c>
    </row>
    <row r="75" spans="1:3" x14ac:dyDescent="0.25">
      <c r="A75" s="53" t="s">
        <v>280</v>
      </c>
      <c r="B75" s="54" t="s">
        <v>522</v>
      </c>
      <c r="C75" s="54" t="s">
        <v>523</v>
      </c>
    </row>
    <row r="76" spans="1:3" x14ac:dyDescent="0.25">
      <c r="A76" s="53" t="s">
        <v>282</v>
      </c>
      <c r="B76" s="54" t="s">
        <v>524</v>
      </c>
      <c r="C76" s="54" t="s">
        <v>525</v>
      </c>
    </row>
    <row r="77" spans="1:3" x14ac:dyDescent="0.25">
      <c r="A77" s="53" t="s">
        <v>284</v>
      </c>
      <c r="B77" s="54" t="s">
        <v>526</v>
      </c>
      <c r="C77" s="54" t="s">
        <v>392</v>
      </c>
    </row>
    <row r="78" spans="1:3" x14ac:dyDescent="0.25">
      <c r="A78" s="53" t="s">
        <v>286</v>
      </c>
      <c r="B78" s="54" t="s">
        <v>527</v>
      </c>
      <c r="C78" s="54" t="s">
        <v>528</v>
      </c>
    </row>
    <row r="79" spans="1:3" x14ac:dyDescent="0.25">
      <c r="A79" s="53" t="s">
        <v>288</v>
      </c>
      <c r="B79" s="54" t="s">
        <v>529</v>
      </c>
      <c r="C79" s="54" t="s">
        <v>513</v>
      </c>
    </row>
    <row r="80" spans="1:3" x14ac:dyDescent="0.25">
      <c r="A80" s="53" t="s">
        <v>290</v>
      </c>
      <c r="B80" s="54" t="s">
        <v>530</v>
      </c>
      <c r="C80" s="54" t="s">
        <v>531</v>
      </c>
    </row>
    <row r="81" spans="1:3" x14ac:dyDescent="0.25">
      <c r="A81" s="53" t="s">
        <v>292</v>
      </c>
      <c r="B81" s="54" t="s">
        <v>532</v>
      </c>
      <c r="C81" s="54" t="s">
        <v>477</v>
      </c>
    </row>
    <row r="82" spans="1:3" x14ac:dyDescent="0.25">
      <c r="A82" s="53" t="s">
        <v>294</v>
      </c>
      <c r="B82" s="54" t="s">
        <v>533</v>
      </c>
      <c r="C82" s="54" t="s">
        <v>534</v>
      </c>
    </row>
    <row r="83" spans="1:3" x14ac:dyDescent="0.25">
      <c r="A83" s="53" t="s">
        <v>296</v>
      </c>
      <c r="B83" s="54" t="s">
        <v>535</v>
      </c>
      <c r="C83" s="54" t="s">
        <v>517</v>
      </c>
    </row>
    <row r="84" spans="1:3" x14ac:dyDescent="0.25">
      <c r="A84" s="53" t="s">
        <v>298</v>
      </c>
      <c r="B84" s="54" t="s">
        <v>536</v>
      </c>
      <c r="C84" s="54" t="s">
        <v>537</v>
      </c>
    </row>
    <row r="85" spans="1:3" x14ac:dyDescent="0.25">
      <c r="A85" s="53" t="s">
        <v>300</v>
      </c>
      <c r="B85" s="54" t="s">
        <v>538</v>
      </c>
      <c r="C85" s="54" t="s">
        <v>539</v>
      </c>
    </row>
    <row r="86" spans="1:3" x14ac:dyDescent="0.25">
      <c r="A86" s="53" t="s">
        <v>302</v>
      </c>
      <c r="B86" s="54" t="s">
        <v>540</v>
      </c>
      <c r="C86" s="54" t="s">
        <v>541</v>
      </c>
    </row>
    <row r="87" spans="1:3" x14ac:dyDescent="0.25">
      <c r="A87" s="53" t="s">
        <v>305</v>
      </c>
      <c r="B87" s="54" t="s">
        <v>542</v>
      </c>
      <c r="C87" s="54" t="s">
        <v>543</v>
      </c>
    </row>
    <row r="88" spans="1:3" x14ac:dyDescent="0.25">
      <c r="A88" s="53" t="s">
        <v>308</v>
      </c>
      <c r="B88" s="54" t="s">
        <v>544</v>
      </c>
      <c r="C88" s="54" t="s">
        <v>545</v>
      </c>
    </row>
    <row r="89" spans="1:3" x14ac:dyDescent="0.25">
      <c r="A89" s="53" t="s">
        <v>310</v>
      </c>
      <c r="B89" s="54" t="s">
        <v>546</v>
      </c>
      <c r="C89" s="54" t="s">
        <v>547</v>
      </c>
    </row>
    <row r="90" spans="1:3" x14ac:dyDescent="0.25">
      <c r="A90" s="53" t="s">
        <v>312</v>
      </c>
      <c r="B90" s="54" t="s">
        <v>548</v>
      </c>
      <c r="C90" s="54" t="s">
        <v>549</v>
      </c>
    </row>
    <row r="91" spans="1:3" x14ac:dyDescent="0.25">
      <c r="A91" s="53" t="s">
        <v>314</v>
      </c>
      <c r="B91" s="54" t="s">
        <v>550</v>
      </c>
      <c r="C91" s="54" t="s">
        <v>551</v>
      </c>
    </row>
    <row r="92" spans="1:3" x14ac:dyDescent="0.25">
      <c r="A92" s="53" t="s">
        <v>317</v>
      </c>
      <c r="B92" s="54" t="s">
        <v>552</v>
      </c>
      <c r="C92" s="54" t="s">
        <v>553</v>
      </c>
    </row>
    <row r="93" spans="1:3" x14ac:dyDescent="0.25">
      <c r="A93" s="53" t="s">
        <v>319</v>
      </c>
      <c r="B93" s="54" t="s">
        <v>554</v>
      </c>
      <c r="C93" s="54" t="s">
        <v>555</v>
      </c>
    </row>
    <row r="94" spans="1:3" x14ac:dyDescent="0.25">
      <c r="A94" s="53" t="s">
        <v>321</v>
      </c>
      <c r="B94" s="54" t="s">
        <v>556</v>
      </c>
      <c r="C94" s="54" t="s">
        <v>557</v>
      </c>
    </row>
    <row r="95" spans="1:3" x14ac:dyDescent="0.25">
      <c r="A95" s="53" t="s">
        <v>324</v>
      </c>
      <c r="B95" s="54" t="s">
        <v>558</v>
      </c>
      <c r="C95" s="54" t="s">
        <v>559</v>
      </c>
    </row>
    <row r="96" spans="1:3" x14ac:dyDescent="0.25">
      <c r="A96" s="53" t="s">
        <v>327</v>
      </c>
      <c r="B96" s="54" t="s">
        <v>560</v>
      </c>
      <c r="C96" s="54" t="s">
        <v>561</v>
      </c>
    </row>
    <row r="97" spans="1:3" x14ac:dyDescent="0.25">
      <c r="A97" s="53" t="s">
        <v>330</v>
      </c>
      <c r="B97" s="54" t="s">
        <v>562</v>
      </c>
      <c r="C97" s="54" t="s">
        <v>563</v>
      </c>
    </row>
    <row r="98" spans="1:3" x14ac:dyDescent="0.25">
      <c r="A98" s="53" t="s">
        <v>333</v>
      </c>
      <c r="B98" s="54" t="s">
        <v>564</v>
      </c>
      <c r="C98" s="54" t="s">
        <v>565</v>
      </c>
    </row>
    <row r="99" spans="1:3" x14ac:dyDescent="0.25">
      <c r="A99" s="53" t="s">
        <v>335</v>
      </c>
      <c r="B99" s="54" t="s">
        <v>566</v>
      </c>
      <c r="C99" s="54" t="s">
        <v>567</v>
      </c>
    </row>
    <row r="100" spans="1:3" x14ac:dyDescent="0.25">
      <c r="A100" s="53" t="s">
        <v>337</v>
      </c>
      <c r="B100" s="54" t="s">
        <v>568</v>
      </c>
      <c r="C100" s="54" t="s">
        <v>567</v>
      </c>
    </row>
    <row r="101" spans="1:3" x14ac:dyDescent="0.25">
      <c r="A101" s="53" t="s">
        <v>339</v>
      </c>
      <c r="B101" s="54" t="s">
        <v>569</v>
      </c>
      <c r="C101" s="54" t="s">
        <v>570</v>
      </c>
    </row>
    <row r="102" spans="1:3" x14ac:dyDescent="0.25">
      <c r="A102" s="53" t="s">
        <v>341</v>
      </c>
      <c r="B102" s="54" t="s">
        <v>571</v>
      </c>
      <c r="C102" s="54" t="s">
        <v>572</v>
      </c>
    </row>
    <row r="103" spans="1:3" x14ac:dyDescent="0.25">
      <c r="A103" s="53" t="s">
        <v>344</v>
      </c>
      <c r="B103" s="54" t="s">
        <v>573</v>
      </c>
      <c r="C103" s="54" t="s">
        <v>574</v>
      </c>
    </row>
    <row r="104" spans="1:3" x14ac:dyDescent="0.25">
      <c r="A104" s="53" t="s">
        <v>347</v>
      </c>
      <c r="B104" s="54" t="s">
        <v>575</v>
      </c>
      <c r="C104" s="54" t="s">
        <v>576</v>
      </c>
    </row>
    <row r="105" spans="1:3" x14ac:dyDescent="0.25">
      <c r="A105" s="53" t="s">
        <v>349</v>
      </c>
      <c r="B105" s="54" t="s">
        <v>577</v>
      </c>
      <c r="C105" s="54" t="s">
        <v>578</v>
      </c>
    </row>
    <row r="106" spans="1:3" x14ac:dyDescent="0.25">
      <c r="A106" s="53" t="s">
        <v>351</v>
      </c>
      <c r="B106" s="54" t="s">
        <v>579</v>
      </c>
      <c r="C106" s="54" t="s">
        <v>580</v>
      </c>
    </row>
    <row r="107" spans="1:3" x14ac:dyDescent="0.25">
      <c r="A107" s="53" t="s">
        <v>353</v>
      </c>
      <c r="B107" s="54" t="s">
        <v>581</v>
      </c>
      <c r="C107" s="54" t="s">
        <v>582</v>
      </c>
    </row>
    <row r="108" spans="1:3" x14ac:dyDescent="0.25">
      <c r="A108" s="53" t="s">
        <v>355</v>
      </c>
      <c r="B108" s="54" t="s">
        <v>583</v>
      </c>
      <c r="C108" s="54" t="s">
        <v>584</v>
      </c>
    </row>
    <row r="109" spans="1:3" x14ac:dyDescent="0.25">
      <c r="A109" s="53" t="s">
        <v>357</v>
      </c>
      <c r="B109" s="54" t="s">
        <v>585</v>
      </c>
      <c r="C109" s="54" t="s">
        <v>586</v>
      </c>
    </row>
    <row r="110" spans="1:3" x14ac:dyDescent="0.25">
      <c r="A110" s="53" t="s">
        <v>359</v>
      </c>
      <c r="B110" s="54" t="s">
        <v>587</v>
      </c>
      <c r="C110" s="54" t="s">
        <v>588</v>
      </c>
    </row>
    <row r="111" spans="1:3" x14ac:dyDescent="0.25">
      <c r="A111" s="53" t="s">
        <v>361</v>
      </c>
      <c r="B111" s="54" t="s">
        <v>589</v>
      </c>
      <c r="C111" s="54" t="s">
        <v>586</v>
      </c>
    </row>
    <row r="112" spans="1:3" x14ac:dyDescent="0.25">
      <c r="A112" s="53" t="s">
        <v>363</v>
      </c>
      <c r="B112" s="54" t="s">
        <v>590</v>
      </c>
      <c r="C112" s="54" t="s">
        <v>591</v>
      </c>
    </row>
    <row r="113" spans="1:3" x14ac:dyDescent="0.25">
      <c r="A113" s="53" t="s">
        <v>365</v>
      </c>
      <c r="B113" s="54" t="s">
        <v>592</v>
      </c>
      <c r="C113" s="54" t="s">
        <v>593</v>
      </c>
    </row>
    <row r="114" spans="1:3" x14ac:dyDescent="0.25">
      <c r="A114" s="53" t="s">
        <v>367</v>
      </c>
      <c r="B114" s="54" t="s">
        <v>594</v>
      </c>
      <c r="C114" s="54" t="s">
        <v>595</v>
      </c>
    </row>
    <row r="115" spans="1:3" x14ac:dyDescent="0.25">
      <c r="A115" s="53" t="s">
        <v>369</v>
      </c>
      <c r="B115" s="54" t="s">
        <v>596</v>
      </c>
      <c r="C115" s="54" t="s">
        <v>593</v>
      </c>
    </row>
    <row r="116" spans="1:3" x14ac:dyDescent="0.25">
      <c r="A116" s="53" t="s">
        <v>371</v>
      </c>
      <c r="B116" s="54" t="s">
        <v>597</v>
      </c>
      <c r="C116" s="54" t="s">
        <v>598</v>
      </c>
    </row>
    <row r="117" spans="1:3" x14ac:dyDescent="0.25">
      <c r="A117" s="53" t="s">
        <v>373</v>
      </c>
      <c r="B117" s="54" t="s">
        <v>599</v>
      </c>
      <c r="C117" s="54" t="s">
        <v>600</v>
      </c>
    </row>
    <row r="118" spans="1:3" x14ac:dyDescent="0.25">
      <c r="A118" s="53" t="s">
        <v>375</v>
      </c>
      <c r="B118" s="54" t="s">
        <v>601</v>
      </c>
      <c r="C118" s="54" t="s">
        <v>602</v>
      </c>
    </row>
    <row r="119" spans="1:3" x14ac:dyDescent="0.25">
      <c r="A119" s="53" t="s">
        <v>377</v>
      </c>
      <c r="B119" s="54" t="s">
        <v>603</v>
      </c>
      <c r="C119" s="54" t="s">
        <v>604</v>
      </c>
    </row>
    <row r="120" spans="1:3" x14ac:dyDescent="0.25">
      <c r="A120" s="53" t="s">
        <v>379</v>
      </c>
      <c r="B120" s="54" t="s">
        <v>605</v>
      </c>
      <c r="C120" s="54" t="s">
        <v>606</v>
      </c>
    </row>
    <row r="121" spans="1:3" x14ac:dyDescent="0.25">
      <c r="A121" s="53" t="s">
        <v>381</v>
      </c>
      <c r="B121" s="54" t="s">
        <v>607</v>
      </c>
      <c r="C121" s="54" t="s">
        <v>608</v>
      </c>
    </row>
    <row r="122" spans="1:3" x14ac:dyDescent="0.25">
      <c r="A122" s="53" t="s">
        <v>383</v>
      </c>
      <c r="B122" s="54" t="s">
        <v>609</v>
      </c>
      <c r="C122" s="54" t="s">
        <v>610</v>
      </c>
    </row>
    <row r="123" spans="1:3" x14ac:dyDescent="0.25">
      <c r="A123" s="53" t="s">
        <v>385</v>
      </c>
      <c r="B123" s="54" t="s">
        <v>611</v>
      </c>
      <c r="C123" s="54" t="s">
        <v>612</v>
      </c>
    </row>
    <row r="124" spans="1:3" x14ac:dyDescent="0.25">
      <c r="A124" s="53" t="s">
        <v>387</v>
      </c>
      <c r="B124" s="54" t="s">
        <v>613</v>
      </c>
      <c r="C124" s="54" t="s">
        <v>614</v>
      </c>
    </row>
    <row r="125" spans="1:3" x14ac:dyDescent="0.25">
      <c r="A125" s="40"/>
      <c r="B125" s="40"/>
      <c r="C125" s="40"/>
    </row>
  </sheetData>
  <mergeCells count="2">
    <mergeCell ref="A3:A4"/>
    <mergeCell ref="B3:C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E385F-30DD-4815-825F-6B053D698443}">
  <dimension ref="A1:Z88"/>
  <sheetViews>
    <sheetView topLeftCell="A10" workbookViewId="0">
      <selection activeCell="H92" sqref="H92"/>
    </sheetView>
  </sheetViews>
  <sheetFormatPr defaultRowHeight="15" x14ac:dyDescent="0.25"/>
  <cols>
    <col min="1" max="1" width="19.42578125" customWidth="1"/>
  </cols>
  <sheetData>
    <row r="1" spans="1:26" x14ac:dyDescent="0.25">
      <c r="A1" s="55" t="s">
        <v>615</v>
      </c>
      <c r="B1" s="55" t="s">
        <v>674</v>
      </c>
      <c r="C1" s="55" t="s">
        <v>616</v>
      </c>
      <c r="D1" s="55" t="s">
        <v>616</v>
      </c>
      <c r="E1" s="55" t="s">
        <v>616</v>
      </c>
      <c r="F1" s="55" t="s">
        <v>675</v>
      </c>
    </row>
    <row r="2" spans="1:26" x14ac:dyDescent="0.25">
      <c r="A2" s="55" t="s">
        <v>56</v>
      </c>
      <c r="B2" s="55" t="s">
        <v>39</v>
      </c>
      <c r="C2" s="55" t="s">
        <v>22</v>
      </c>
      <c r="D2" s="55" t="s">
        <v>26</v>
      </c>
      <c r="E2" s="55" t="s">
        <v>617</v>
      </c>
      <c r="F2" s="55"/>
    </row>
    <row r="3" spans="1:26" x14ac:dyDescent="0.25">
      <c r="A3" s="56">
        <v>45082</v>
      </c>
      <c r="B3" s="55">
        <v>5.75</v>
      </c>
      <c r="C3" s="55">
        <v>5.75</v>
      </c>
      <c r="D3" s="55">
        <v>5.75</v>
      </c>
      <c r="E3" s="55">
        <v>5.75</v>
      </c>
      <c r="F3" s="55" t="s">
        <v>618</v>
      </c>
      <c r="L3" s="230" t="s">
        <v>619</v>
      </c>
      <c r="M3" s="230" t="s">
        <v>673</v>
      </c>
      <c r="N3" s="230"/>
      <c r="O3" s="230"/>
      <c r="P3" s="230"/>
      <c r="Q3" s="230"/>
      <c r="R3" s="230"/>
      <c r="S3" s="230"/>
      <c r="T3" s="230"/>
      <c r="U3" s="230"/>
      <c r="V3" s="230"/>
      <c r="W3" s="230"/>
      <c r="X3" s="230"/>
      <c r="Y3" s="230"/>
      <c r="Z3" s="55"/>
    </row>
    <row r="4" spans="1:26" ht="15.75" x14ac:dyDescent="0.25">
      <c r="A4" s="56">
        <v>45048</v>
      </c>
      <c r="B4" s="55">
        <v>5.75</v>
      </c>
      <c r="C4" s="55">
        <v>5.75</v>
      </c>
      <c r="D4" s="55">
        <v>5.75</v>
      </c>
      <c r="E4" s="55">
        <v>5.75</v>
      </c>
      <c r="F4" s="55" t="s">
        <v>618</v>
      </c>
      <c r="L4" s="230"/>
      <c r="M4" s="231" t="s">
        <v>621</v>
      </c>
      <c r="N4" s="231"/>
      <c r="O4" s="231"/>
      <c r="P4" s="231"/>
      <c r="Q4" s="231"/>
      <c r="R4" s="231"/>
      <c r="S4" s="231"/>
      <c r="T4" s="231"/>
      <c r="U4" s="231"/>
      <c r="V4" s="231"/>
      <c r="W4" s="231"/>
      <c r="X4" s="231"/>
      <c r="Y4" s="231"/>
      <c r="Z4" s="55"/>
    </row>
    <row r="5" spans="1:26" x14ac:dyDescent="0.25">
      <c r="A5" s="56">
        <v>45019</v>
      </c>
      <c r="B5" s="55">
        <v>5.75</v>
      </c>
      <c r="C5" s="55">
        <v>5.75</v>
      </c>
      <c r="D5" s="55">
        <v>5.75</v>
      </c>
      <c r="E5" s="55">
        <v>5.75</v>
      </c>
      <c r="F5" s="55" t="s">
        <v>618</v>
      </c>
      <c r="L5" s="230"/>
      <c r="M5" s="55" t="s">
        <v>622</v>
      </c>
      <c r="N5" s="55" t="s">
        <v>623</v>
      </c>
      <c r="O5" s="55" t="s">
        <v>624</v>
      </c>
      <c r="P5" s="55" t="s">
        <v>625</v>
      </c>
      <c r="Q5" s="55" t="s">
        <v>626</v>
      </c>
      <c r="R5" s="55" t="s">
        <v>627</v>
      </c>
      <c r="S5" s="55" t="s">
        <v>628</v>
      </c>
      <c r="T5" s="55" t="s">
        <v>629</v>
      </c>
      <c r="U5" s="55" t="s">
        <v>630</v>
      </c>
      <c r="V5" s="55" t="s">
        <v>631</v>
      </c>
      <c r="W5" s="55" t="s">
        <v>632</v>
      </c>
      <c r="X5" s="55" t="s">
        <v>633</v>
      </c>
      <c r="Y5" s="55" t="s">
        <v>634</v>
      </c>
      <c r="Z5" s="55"/>
    </row>
    <row r="6" spans="1:26" ht="15.75" x14ac:dyDescent="0.25">
      <c r="A6" s="56">
        <v>44986</v>
      </c>
      <c r="B6" s="55">
        <v>5.75</v>
      </c>
      <c r="C6" s="55">
        <v>5.75</v>
      </c>
      <c r="D6" s="55">
        <v>5.75</v>
      </c>
      <c r="E6" s="55">
        <v>5.75</v>
      </c>
      <c r="F6" s="55" t="s">
        <v>618</v>
      </c>
      <c r="L6" s="57" t="s">
        <v>620</v>
      </c>
      <c r="M6" s="57" t="s">
        <v>635</v>
      </c>
      <c r="N6" s="57" t="s">
        <v>635</v>
      </c>
      <c r="O6" s="57" t="s">
        <v>635</v>
      </c>
      <c r="P6" s="57" t="s">
        <v>635</v>
      </c>
      <c r="Q6" s="57" t="s">
        <v>635</v>
      </c>
      <c r="R6" s="57" t="s">
        <v>635</v>
      </c>
      <c r="S6" s="57" t="s">
        <v>635</v>
      </c>
      <c r="T6" s="57" t="s">
        <v>635</v>
      </c>
      <c r="U6" s="57" t="s">
        <v>635</v>
      </c>
      <c r="V6" s="57" t="s">
        <v>635</v>
      </c>
      <c r="W6" s="57" t="s">
        <v>635</v>
      </c>
      <c r="X6" s="57" t="s">
        <v>635</v>
      </c>
      <c r="Y6" s="57" t="s">
        <v>635</v>
      </c>
      <c r="Z6" s="55"/>
    </row>
    <row r="7" spans="1:26" x14ac:dyDescent="0.25">
      <c r="A7" s="56">
        <v>44958</v>
      </c>
      <c r="B7" s="55">
        <v>5.75</v>
      </c>
      <c r="C7" s="55">
        <v>5.75</v>
      </c>
      <c r="D7" s="55">
        <v>5.75</v>
      </c>
      <c r="E7" s="55">
        <v>5.75</v>
      </c>
      <c r="F7" s="55" t="s">
        <v>618</v>
      </c>
      <c r="L7" s="230"/>
      <c r="M7" s="230"/>
      <c r="N7" s="230"/>
      <c r="O7" s="230"/>
      <c r="P7" s="230"/>
      <c r="Q7" s="230"/>
      <c r="R7" s="230"/>
      <c r="S7" s="230"/>
      <c r="T7" s="230"/>
      <c r="U7" s="230"/>
      <c r="V7" s="230"/>
      <c r="W7" s="230"/>
      <c r="X7" s="230"/>
      <c r="Y7" s="230"/>
      <c r="Z7" s="55"/>
    </row>
    <row r="8" spans="1:26" x14ac:dyDescent="0.25">
      <c r="A8" s="56">
        <v>44928</v>
      </c>
      <c r="B8" s="55">
        <v>5.5</v>
      </c>
      <c r="C8" s="55">
        <v>5.75</v>
      </c>
      <c r="D8" s="55">
        <v>5.5</v>
      </c>
      <c r="E8" s="55">
        <v>5.75</v>
      </c>
      <c r="F8" s="55" t="s">
        <v>618</v>
      </c>
      <c r="L8" s="230" t="s">
        <v>636</v>
      </c>
      <c r="M8" s="230"/>
      <c r="N8" s="230"/>
      <c r="O8" s="230"/>
      <c r="P8" s="230"/>
      <c r="Q8" s="230"/>
      <c r="R8" s="230"/>
      <c r="S8" s="230"/>
      <c r="T8" s="230"/>
      <c r="U8" s="230"/>
      <c r="V8" s="230"/>
      <c r="W8" s="230"/>
      <c r="X8" s="230"/>
      <c r="Y8" s="230"/>
      <c r="Z8" s="55"/>
    </row>
    <row r="9" spans="1:26" x14ac:dyDescent="0.25">
      <c r="A9" s="56">
        <v>44896</v>
      </c>
      <c r="B9" s="55">
        <v>5.25</v>
      </c>
      <c r="C9" s="55">
        <v>5.5</v>
      </c>
      <c r="D9" s="55">
        <v>5.25</v>
      </c>
      <c r="E9" s="55">
        <v>5.5</v>
      </c>
      <c r="F9" s="55" t="s">
        <v>618</v>
      </c>
      <c r="L9" s="230" t="s">
        <v>637</v>
      </c>
      <c r="M9" s="230"/>
      <c r="N9" s="230"/>
      <c r="O9" s="230"/>
      <c r="P9" s="230"/>
      <c r="Q9" s="230"/>
      <c r="R9" s="230"/>
      <c r="S9" s="230"/>
      <c r="T9" s="230"/>
      <c r="U9" s="230"/>
      <c r="V9" s="230"/>
      <c r="W9" s="230"/>
      <c r="X9" s="230"/>
      <c r="Y9" s="230"/>
      <c r="Z9" s="55"/>
    </row>
    <row r="10" spans="1:26" x14ac:dyDescent="0.25">
      <c r="A10" s="56">
        <v>44866</v>
      </c>
      <c r="B10" s="55">
        <v>4.75</v>
      </c>
      <c r="C10" s="55">
        <v>5.25</v>
      </c>
      <c r="D10" s="55">
        <v>4.75</v>
      </c>
      <c r="E10" s="55">
        <v>5.25</v>
      </c>
      <c r="F10" s="55" t="s">
        <v>618</v>
      </c>
      <c r="L10" s="230" t="s">
        <v>638</v>
      </c>
      <c r="M10" s="230"/>
      <c r="N10" s="230"/>
      <c r="O10" s="230"/>
      <c r="P10" s="230"/>
      <c r="Q10" s="230"/>
      <c r="R10" s="230"/>
      <c r="S10" s="230"/>
      <c r="T10" s="230"/>
      <c r="U10" s="230"/>
      <c r="V10" s="230"/>
      <c r="W10" s="230"/>
      <c r="X10" s="230"/>
      <c r="Y10" s="230"/>
      <c r="Z10" s="55"/>
    </row>
    <row r="11" spans="1:26" x14ac:dyDescent="0.25">
      <c r="A11" s="56">
        <v>44837</v>
      </c>
      <c r="B11" s="55">
        <v>4.25</v>
      </c>
      <c r="C11" s="55">
        <v>4.75</v>
      </c>
      <c r="D11" s="55">
        <v>4.25</v>
      </c>
      <c r="E11" s="55">
        <v>4.75</v>
      </c>
      <c r="F11" s="55" t="s">
        <v>618</v>
      </c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 spans="1:26" x14ac:dyDescent="0.25">
      <c r="A12" s="56">
        <v>44805</v>
      </c>
      <c r="B12" s="55">
        <v>3.75</v>
      </c>
      <c r="C12" s="55">
        <v>4.25</v>
      </c>
      <c r="D12" s="55">
        <v>3.75</v>
      </c>
      <c r="E12" s="55">
        <v>4.25</v>
      </c>
      <c r="F12" s="55" t="s">
        <v>618</v>
      </c>
      <c r="L12" s="222" t="s">
        <v>619</v>
      </c>
      <c r="M12" s="222" t="s">
        <v>620</v>
      </c>
      <c r="N12" s="222"/>
      <c r="O12" s="222"/>
      <c r="P12" s="222"/>
      <c r="Q12" s="222"/>
      <c r="R12" s="222"/>
      <c r="S12" s="222"/>
      <c r="T12" s="222"/>
      <c r="U12" s="222"/>
      <c r="V12" s="222"/>
      <c r="W12" s="222"/>
      <c r="X12" s="222"/>
      <c r="Y12" s="222"/>
      <c r="Z12" s="55"/>
    </row>
    <row r="13" spans="1:26" ht="15.75" x14ac:dyDescent="0.25">
      <c r="A13" s="56">
        <v>44774</v>
      </c>
      <c r="B13" s="55">
        <v>3.5</v>
      </c>
      <c r="C13" s="55">
        <v>3.75</v>
      </c>
      <c r="D13" s="55">
        <v>3.5</v>
      </c>
      <c r="E13" s="55">
        <v>3.75</v>
      </c>
      <c r="F13" s="55" t="s">
        <v>618</v>
      </c>
      <c r="L13" s="222"/>
      <c r="M13" s="228" t="s">
        <v>639</v>
      </c>
      <c r="N13" s="228"/>
      <c r="O13" s="228"/>
      <c r="P13" s="228"/>
      <c r="Q13" s="228"/>
      <c r="R13" s="228"/>
      <c r="S13" s="228"/>
      <c r="T13" s="228"/>
      <c r="U13" s="228"/>
      <c r="V13" s="228"/>
      <c r="W13" s="228"/>
      <c r="X13" s="228"/>
      <c r="Y13" s="228"/>
      <c r="Z13" s="55"/>
    </row>
    <row r="14" spans="1:26" x14ac:dyDescent="0.25">
      <c r="A14" s="56">
        <v>44743</v>
      </c>
      <c r="B14" s="55">
        <v>3.5</v>
      </c>
      <c r="C14" s="55">
        <v>3.5</v>
      </c>
      <c r="D14" s="55">
        <v>3.5</v>
      </c>
      <c r="E14" s="55">
        <v>3.5</v>
      </c>
      <c r="F14" s="55" t="s">
        <v>618</v>
      </c>
      <c r="L14" s="222"/>
      <c r="M14" s="40" t="s">
        <v>622</v>
      </c>
      <c r="N14" s="40" t="s">
        <v>623</v>
      </c>
      <c r="O14" s="40" t="s">
        <v>624</v>
      </c>
      <c r="P14" s="40" t="s">
        <v>625</v>
      </c>
      <c r="Q14" s="40" t="s">
        <v>626</v>
      </c>
      <c r="R14" s="40" t="s">
        <v>627</v>
      </c>
      <c r="S14" s="40" t="s">
        <v>628</v>
      </c>
      <c r="T14" s="40" t="s">
        <v>629</v>
      </c>
      <c r="U14" s="40" t="s">
        <v>630</v>
      </c>
      <c r="V14" s="40" t="s">
        <v>631</v>
      </c>
      <c r="W14" s="40" t="s">
        <v>632</v>
      </c>
      <c r="X14" s="40" t="s">
        <v>633</v>
      </c>
      <c r="Y14" s="40" t="s">
        <v>634</v>
      </c>
      <c r="Z14" s="55"/>
    </row>
    <row r="15" spans="1:26" ht="15.75" x14ac:dyDescent="0.25">
      <c r="A15" s="56">
        <v>44714</v>
      </c>
      <c r="B15" s="55">
        <v>3.5</v>
      </c>
      <c r="C15" s="55">
        <v>3.5</v>
      </c>
      <c r="D15" s="55">
        <v>3.5</v>
      </c>
      <c r="E15" s="55">
        <v>3.5</v>
      </c>
      <c r="F15" s="55" t="s">
        <v>618</v>
      </c>
      <c r="L15" s="58" t="s">
        <v>620</v>
      </c>
      <c r="M15" s="58" t="s">
        <v>635</v>
      </c>
      <c r="N15" s="58" t="s">
        <v>640</v>
      </c>
      <c r="O15" s="58" t="s">
        <v>640</v>
      </c>
      <c r="P15" s="58" t="s">
        <v>640</v>
      </c>
      <c r="Q15" s="58" t="s">
        <v>640</v>
      </c>
      <c r="R15" s="58" t="s">
        <v>640</v>
      </c>
      <c r="S15" s="58" t="s">
        <v>640</v>
      </c>
      <c r="T15" s="58" t="s">
        <v>640</v>
      </c>
      <c r="U15" s="58" t="s">
        <v>640</v>
      </c>
      <c r="V15" s="58" t="s">
        <v>635</v>
      </c>
      <c r="W15" s="58" t="s">
        <v>641</v>
      </c>
      <c r="X15" s="58" t="s">
        <v>641</v>
      </c>
      <c r="Y15" s="58" t="s">
        <v>641</v>
      </c>
      <c r="Z15" s="55"/>
    </row>
    <row r="16" spans="1:26" x14ac:dyDescent="0.25">
      <c r="A16" s="56">
        <v>44690</v>
      </c>
      <c r="B16" s="55">
        <v>3.5</v>
      </c>
      <c r="C16" s="55">
        <v>3.5</v>
      </c>
      <c r="D16" s="55">
        <v>3.5</v>
      </c>
      <c r="E16" s="55">
        <v>3.5</v>
      </c>
      <c r="F16" s="55" t="s">
        <v>618</v>
      </c>
      <c r="L16" s="222"/>
      <c r="M16" s="222"/>
      <c r="N16" s="222"/>
      <c r="O16" s="222"/>
      <c r="P16" s="222"/>
      <c r="Q16" s="222"/>
      <c r="R16" s="222"/>
      <c r="S16" s="222"/>
      <c r="T16" s="222"/>
      <c r="U16" s="222"/>
      <c r="V16" s="222"/>
      <c r="W16" s="222"/>
      <c r="X16" s="222"/>
      <c r="Y16" s="222"/>
      <c r="Z16" s="55"/>
    </row>
    <row r="17" spans="1:26" x14ac:dyDescent="0.25">
      <c r="A17" s="56">
        <v>44652</v>
      </c>
      <c r="B17" s="55">
        <v>3.5</v>
      </c>
      <c r="C17" s="55">
        <v>3.5</v>
      </c>
      <c r="D17" s="55">
        <v>3.5</v>
      </c>
      <c r="E17" s="55">
        <v>3.5</v>
      </c>
      <c r="F17" s="55" t="s">
        <v>618</v>
      </c>
      <c r="L17" s="222" t="s">
        <v>636</v>
      </c>
      <c r="M17" s="222"/>
      <c r="N17" s="222"/>
      <c r="O17" s="222"/>
      <c r="P17" s="222"/>
      <c r="Q17" s="222"/>
      <c r="R17" s="222"/>
      <c r="S17" s="222"/>
      <c r="T17" s="222"/>
      <c r="U17" s="222"/>
      <c r="V17" s="222"/>
      <c r="W17" s="222"/>
      <c r="X17" s="222"/>
      <c r="Y17" s="222"/>
      <c r="Z17" s="55"/>
    </row>
    <row r="18" spans="1:26" x14ac:dyDescent="0.25">
      <c r="A18" s="56">
        <v>44621</v>
      </c>
      <c r="B18" s="55">
        <v>3.5</v>
      </c>
      <c r="C18" s="55">
        <v>3.5</v>
      </c>
      <c r="D18" s="55">
        <v>3.5</v>
      </c>
      <c r="E18" s="55">
        <v>3.5</v>
      </c>
      <c r="F18" s="55" t="s">
        <v>618</v>
      </c>
      <c r="L18" s="222" t="s">
        <v>642</v>
      </c>
      <c r="M18" s="222"/>
      <c r="N18" s="222"/>
      <c r="O18" s="222"/>
      <c r="P18" s="222"/>
      <c r="Q18" s="222"/>
      <c r="R18" s="222"/>
      <c r="S18" s="222"/>
      <c r="T18" s="222"/>
      <c r="U18" s="222"/>
      <c r="V18" s="222"/>
      <c r="W18" s="222"/>
      <c r="X18" s="222"/>
      <c r="Y18" s="222"/>
      <c r="Z18" s="55"/>
    </row>
    <row r="19" spans="1:26" x14ac:dyDescent="0.25">
      <c r="A19" s="56">
        <v>44594</v>
      </c>
      <c r="B19" s="55">
        <v>3.5</v>
      </c>
      <c r="C19" s="55">
        <v>3.5</v>
      </c>
      <c r="D19" s="55">
        <v>3.5</v>
      </c>
      <c r="E19" s="55">
        <v>3.5</v>
      </c>
      <c r="F19" s="55" t="s">
        <v>618</v>
      </c>
      <c r="L19" s="222" t="s">
        <v>643</v>
      </c>
      <c r="M19" s="222"/>
      <c r="N19" s="222"/>
      <c r="O19" s="222"/>
      <c r="P19" s="222"/>
      <c r="Q19" s="222"/>
      <c r="R19" s="222"/>
      <c r="S19" s="222"/>
      <c r="T19" s="222"/>
      <c r="U19" s="222"/>
      <c r="V19" s="222"/>
      <c r="W19" s="222"/>
      <c r="X19" s="222"/>
      <c r="Y19" s="222"/>
      <c r="Z19" s="55"/>
    </row>
    <row r="20" spans="1:26" x14ac:dyDescent="0.25">
      <c r="A20" s="56">
        <v>44564</v>
      </c>
      <c r="B20" s="55">
        <v>3.5</v>
      </c>
      <c r="C20" s="55">
        <v>3.5</v>
      </c>
      <c r="D20" s="55">
        <v>3.5</v>
      </c>
      <c r="E20" s="55">
        <v>3.5</v>
      </c>
      <c r="F20" s="55" t="s">
        <v>618</v>
      </c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spans="1:26" x14ac:dyDescent="0.25">
      <c r="A21" s="56">
        <v>44531</v>
      </c>
      <c r="B21" s="55">
        <v>3.5</v>
      </c>
      <c r="C21" s="55">
        <v>3.5</v>
      </c>
      <c r="D21" s="55">
        <v>3.5</v>
      </c>
      <c r="E21" s="55">
        <v>3.5</v>
      </c>
      <c r="F21" s="55" t="s">
        <v>618</v>
      </c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spans="1:26" x14ac:dyDescent="0.25">
      <c r="A22" s="56">
        <v>44501</v>
      </c>
      <c r="B22" s="55">
        <v>3.5</v>
      </c>
      <c r="C22" s="55">
        <v>3.5</v>
      </c>
      <c r="D22" s="55">
        <v>3.5</v>
      </c>
      <c r="E22" s="55">
        <v>3.5</v>
      </c>
      <c r="F22" s="55" t="s">
        <v>618</v>
      </c>
      <c r="L22" s="222" t="s">
        <v>619</v>
      </c>
      <c r="M22" s="222" t="s">
        <v>620</v>
      </c>
      <c r="N22" s="222"/>
      <c r="O22" s="222"/>
      <c r="P22" s="222"/>
      <c r="Q22" s="222"/>
      <c r="R22" s="222"/>
      <c r="S22" s="222"/>
      <c r="T22" s="222"/>
      <c r="U22" s="222"/>
      <c r="V22" s="222"/>
      <c r="W22" s="222"/>
      <c r="X22" s="222"/>
      <c r="Y22" s="222"/>
      <c r="Z22" s="55"/>
    </row>
    <row r="23" spans="1:26" ht="15.75" x14ac:dyDescent="0.25">
      <c r="A23" s="56">
        <v>44470</v>
      </c>
      <c r="B23" s="55">
        <v>3.5</v>
      </c>
      <c r="C23" s="55">
        <v>3.5</v>
      </c>
      <c r="D23" s="55">
        <v>3.5</v>
      </c>
      <c r="E23" s="55">
        <v>3.5</v>
      </c>
      <c r="F23" s="55" t="s">
        <v>618</v>
      </c>
      <c r="L23" s="222"/>
      <c r="M23" s="228" t="s">
        <v>644</v>
      </c>
      <c r="N23" s="228"/>
      <c r="O23" s="228"/>
      <c r="P23" s="228"/>
      <c r="Q23" s="228"/>
      <c r="R23" s="228"/>
      <c r="S23" s="228"/>
      <c r="T23" s="228"/>
      <c r="U23" s="228"/>
      <c r="V23" s="228"/>
      <c r="W23" s="228"/>
      <c r="X23" s="228"/>
      <c r="Y23" s="228"/>
      <c r="Z23" s="55"/>
    </row>
    <row r="24" spans="1:26" x14ac:dyDescent="0.25">
      <c r="A24" s="56">
        <v>44440</v>
      </c>
      <c r="B24" s="55">
        <v>3.5</v>
      </c>
      <c r="C24" s="55">
        <v>3.5</v>
      </c>
      <c r="D24" s="55">
        <v>3.5</v>
      </c>
      <c r="E24" s="55">
        <v>3.5</v>
      </c>
      <c r="F24" s="55" t="s">
        <v>618</v>
      </c>
      <c r="L24" s="222"/>
      <c r="M24" s="40" t="s">
        <v>622</v>
      </c>
      <c r="N24" s="40" t="s">
        <v>623</v>
      </c>
      <c r="O24" s="40" t="s">
        <v>624</v>
      </c>
      <c r="P24" s="40" t="s">
        <v>625</v>
      </c>
      <c r="Q24" s="40" t="s">
        <v>626</v>
      </c>
      <c r="R24" s="40" t="s">
        <v>627</v>
      </c>
      <c r="S24" s="40" t="s">
        <v>628</v>
      </c>
      <c r="T24" s="40" t="s">
        <v>629</v>
      </c>
      <c r="U24" s="40" t="s">
        <v>630</v>
      </c>
      <c r="V24" s="40" t="s">
        <v>631</v>
      </c>
      <c r="W24" s="40" t="s">
        <v>632</v>
      </c>
      <c r="X24" s="40" t="s">
        <v>633</v>
      </c>
      <c r="Y24" s="40" t="s">
        <v>634</v>
      </c>
      <c r="Z24" s="55"/>
    </row>
    <row r="25" spans="1:26" ht="15.75" x14ac:dyDescent="0.25">
      <c r="A25" s="56">
        <v>44410</v>
      </c>
      <c r="B25" s="55">
        <v>3.5</v>
      </c>
      <c r="C25" s="55">
        <v>3.5</v>
      </c>
      <c r="D25" s="55">
        <v>3.5</v>
      </c>
      <c r="E25" s="55">
        <v>3.5</v>
      </c>
      <c r="F25" s="55" t="s">
        <v>618</v>
      </c>
      <c r="L25" s="58" t="s">
        <v>620</v>
      </c>
      <c r="M25" s="58" t="s">
        <v>641</v>
      </c>
      <c r="N25" s="58" t="s">
        <v>645</v>
      </c>
      <c r="O25" s="58" t="s">
        <v>645</v>
      </c>
      <c r="P25" s="58" t="s">
        <v>645</v>
      </c>
      <c r="Q25" s="58" t="s">
        <v>645</v>
      </c>
      <c r="R25" s="58" t="s">
        <v>645</v>
      </c>
      <c r="S25" s="58" t="s">
        <v>645</v>
      </c>
      <c r="T25" s="58" t="s">
        <v>645</v>
      </c>
      <c r="U25" s="58" t="s">
        <v>645</v>
      </c>
      <c r="V25" s="58" t="s">
        <v>645</v>
      </c>
      <c r="W25" s="58" t="s">
        <v>645</v>
      </c>
      <c r="X25" s="58" t="s">
        <v>645</v>
      </c>
      <c r="Y25" s="58" t="s">
        <v>646</v>
      </c>
      <c r="Z25" s="55"/>
    </row>
    <row r="26" spans="1:26" x14ac:dyDescent="0.25">
      <c r="A26" s="56">
        <v>44378</v>
      </c>
      <c r="B26" s="55">
        <v>3.5</v>
      </c>
      <c r="C26" s="55">
        <v>3.5</v>
      </c>
      <c r="D26" s="55">
        <v>3.5</v>
      </c>
      <c r="E26" s="55">
        <v>3.5</v>
      </c>
      <c r="F26" s="55" t="s">
        <v>618</v>
      </c>
      <c r="L26" s="222"/>
      <c r="M26" s="222"/>
      <c r="N26" s="222"/>
      <c r="O26" s="222"/>
      <c r="P26" s="222"/>
      <c r="Q26" s="222"/>
      <c r="R26" s="222"/>
      <c r="S26" s="222"/>
      <c r="T26" s="222"/>
      <c r="U26" s="222"/>
      <c r="V26" s="222"/>
      <c r="W26" s="222"/>
      <c r="X26" s="222"/>
      <c r="Y26" s="222"/>
      <c r="Z26" s="55"/>
    </row>
    <row r="27" spans="1:26" x14ac:dyDescent="0.25">
      <c r="A27" s="56">
        <v>44349</v>
      </c>
      <c r="B27" s="55">
        <v>3.5</v>
      </c>
      <c r="C27" s="55">
        <v>3.5</v>
      </c>
      <c r="D27" s="55">
        <v>3.5</v>
      </c>
      <c r="E27" s="55">
        <v>3.5</v>
      </c>
      <c r="F27" s="55" t="s">
        <v>618</v>
      </c>
      <c r="L27" s="222" t="s">
        <v>636</v>
      </c>
      <c r="M27" s="222"/>
      <c r="N27" s="222"/>
      <c r="O27" s="222"/>
      <c r="P27" s="222"/>
      <c r="Q27" s="222"/>
      <c r="R27" s="222"/>
      <c r="S27" s="222"/>
      <c r="T27" s="222"/>
      <c r="U27" s="222"/>
      <c r="V27" s="222"/>
      <c r="W27" s="222"/>
      <c r="X27" s="222"/>
      <c r="Y27" s="222"/>
      <c r="Z27" s="55"/>
    </row>
    <row r="28" spans="1:26" x14ac:dyDescent="0.25">
      <c r="A28" s="56">
        <v>44319</v>
      </c>
      <c r="B28" s="55">
        <v>3.5</v>
      </c>
      <c r="C28" s="55">
        <v>3.5</v>
      </c>
      <c r="D28" s="55">
        <v>3.5</v>
      </c>
      <c r="E28" s="55">
        <v>3.5</v>
      </c>
      <c r="F28" s="55" t="s">
        <v>618</v>
      </c>
      <c r="L28" s="222" t="s">
        <v>647</v>
      </c>
      <c r="M28" s="222"/>
      <c r="N28" s="222"/>
      <c r="O28" s="222"/>
      <c r="P28" s="222"/>
      <c r="Q28" s="222"/>
      <c r="R28" s="222"/>
      <c r="S28" s="222"/>
      <c r="T28" s="222"/>
      <c r="U28" s="222"/>
      <c r="V28" s="222"/>
      <c r="W28" s="222"/>
      <c r="X28" s="222"/>
      <c r="Y28" s="222"/>
      <c r="Z28" s="55"/>
    </row>
    <row r="29" spans="1:26" x14ac:dyDescent="0.25">
      <c r="A29" s="56">
        <v>44287</v>
      </c>
      <c r="B29" s="55">
        <v>3.5</v>
      </c>
      <c r="C29" s="55">
        <v>3.5</v>
      </c>
      <c r="D29" s="55">
        <v>3.5</v>
      </c>
      <c r="E29" s="55">
        <v>3.5</v>
      </c>
      <c r="F29" s="55" t="s">
        <v>618</v>
      </c>
      <c r="L29" s="222" t="s">
        <v>648</v>
      </c>
      <c r="M29" s="222"/>
      <c r="N29" s="222"/>
      <c r="O29" s="222"/>
      <c r="P29" s="222"/>
      <c r="Q29" s="222"/>
      <c r="R29" s="222"/>
      <c r="S29" s="222"/>
      <c r="T29" s="222"/>
      <c r="U29" s="222"/>
      <c r="V29" s="222"/>
      <c r="W29" s="222"/>
      <c r="X29" s="222"/>
      <c r="Y29" s="222"/>
      <c r="Z29" s="55"/>
    </row>
    <row r="30" spans="1:26" x14ac:dyDescent="0.25">
      <c r="A30" s="56">
        <v>44256</v>
      </c>
      <c r="B30" s="55">
        <v>3.5</v>
      </c>
      <c r="C30" s="55">
        <v>3.5</v>
      </c>
      <c r="D30" s="55">
        <v>3.5</v>
      </c>
      <c r="E30" s="55">
        <v>3.5</v>
      </c>
      <c r="F30" s="55" t="s">
        <v>618</v>
      </c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55"/>
    </row>
    <row r="31" spans="1:26" x14ac:dyDescent="0.25">
      <c r="A31" s="56">
        <v>44228</v>
      </c>
      <c r="B31" s="55">
        <v>3.75</v>
      </c>
      <c r="C31" s="55">
        <v>3.75</v>
      </c>
      <c r="D31" s="55">
        <v>3.5</v>
      </c>
      <c r="E31" s="55">
        <v>3.5</v>
      </c>
      <c r="F31" s="55" t="s">
        <v>618</v>
      </c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55"/>
    </row>
    <row r="32" spans="1:26" x14ac:dyDescent="0.25">
      <c r="A32" s="56">
        <v>44200</v>
      </c>
      <c r="B32" s="55">
        <v>3.75</v>
      </c>
      <c r="C32" s="55">
        <v>3.75</v>
      </c>
      <c r="D32" s="55">
        <v>3.75</v>
      </c>
      <c r="E32" s="55">
        <v>3.75</v>
      </c>
      <c r="F32" s="55" t="s">
        <v>618</v>
      </c>
      <c r="L32" s="222" t="s">
        <v>619</v>
      </c>
      <c r="M32" s="222" t="s">
        <v>620</v>
      </c>
      <c r="N32" s="222"/>
      <c r="O32" s="222"/>
      <c r="P32" s="222"/>
      <c r="Q32" s="222"/>
      <c r="R32" s="222"/>
      <c r="S32" s="222"/>
      <c r="T32" s="222"/>
      <c r="U32" s="222"/>
      <c r="V32" s="222"/>
      <c r="W32" s="222"/>
      <c r="X32" s="222"/>
      <c r="Y32" s="222"/>
      <c r="Z32" s="55"/>
    </row>
    <row r="33" spans="1:26" ht="15.75" x14ac:dyDescent="0.25">
      <c r="A33" s="56">
        <v>44166</v>
      </c>
      <c r="B33" s="55">
        <v>3.75</v>
      </c>
      <c r="C33" s="55">
        <v>3.75</v>
      </c>
      <c r="D33" s="55">
        <v>3.75</v>
      </c>
      <c r="E33" s="55">
        <v>3.75</v>
      </c>
      <c r="F33" s="55" t="s">
        <v>618</v>
      </c>
      <c r="L33" s="222"/>
      <c r="M33" s="228" t="s">
        <v>649</v>
      </c>
      <c r="N33" s="228"/>
      <c r="O33" s="228"/>
      <c r="P33" s="228"/>
      <c r="Q33" s="228"/>
      <c r="R33" s="228"/>
      <c r="S33" s="228"/>
      <c r="T33" s="228"/>
      <c r="U33" s="228"/>
      <c r="V33" s="228"/>
      <c r="W33" s="228"/>
      <c r="X33" s="228"/>
      <c r="Y33" s="228"/>
      <c r="Z33" s="55"/>
    </row>
    <row r="34" spans="1:26" x14ac:dyDescent="0.25">
      <c r="A34" s="56">
        <v>44137</v>
      </c>
      <c r="B34" s="55">
        <v>4</v>
      </c>
      <c r="C34" s="55">
        <v>4</v>
      </c>
      <c r="D34" s="55">
        <v>3.75</v>
      </c>
      <c r="E34" s="55">
        <v>3.75</v>
      </c>
      <c r="F34" s="55" t="s">
        <v>618</v>
      </c>
      <c r="L34" s="222"/>
      <c r="M34" s="40" t="s">
        <v>622</v>
      </c>
      <c r="N34" s="40" t="s">
        <v>623</v>
      </c>
      <c r="O34" s="40" t="s">
        <v>624</v>
      </c>
      <c r="P34" s="40" t="s">
        <v>625</v>
      </c>
      <c r="Q34" s="40" t="s">
        <v>626</v>
      </c>
      <c r="R34" s="40" t="s">
        <v>627</v>
      </c>
      <c r="S34" s="40" t="s">
        <v>628</v>
      </c>
      <c r="T34" s="40" t="s">
        <v>629</v>
      </c>
      <c r="U34" s="40" t="s">
        <v>630</v>
      </c>
      <c r="V34" s="40" t="s">
        <v>631</v>
      </c>
      <c r="W34" s="40" t="s">
        <v>632</v>
      </c>
      <c r="X34" s="40" t="s">
        <v>633</v>
      </c>
      <c r="Y34" s="40" t="s">
        <v>634</v>
      </c>
      <c r="Z34" s="55"/>
    </row>
    <row r="35" spans="1:26" ht="15.75" x14ac:dyDescent="0.25">
      <c r="A35" s="56">
        <v>44105</v>
      </c>
      <c r="B35" s="55">
        <v>4</v>
      </c>
      <c r="C35" s="55">
        <v>4</v>
      </c>
      <c r="D35" s="55">
        <v>4</v>
      </c>
      <c r="E35" s="55">
        <v>4</v>
      </c>
      <c r="F35" s="55" t="s">
        <v>618</v>
      </c>
      <c r="L35" s="58" t="s">
        <v>620</v>
      </c>
      <c r="M35" s="58" t="s">
        <v>645</v>
      </c>
      <c r="N35" s="58" t="s">
        <v>645</v>
      </c>
      <c r="O35" s="58" t="s">
        <v>645</v>
      </c>
      <c r="P35" s="58" t="s">
        <v>645</v>
      </c>
      <c r="Q35" s="58" t="s">
        <v>645</v>
      </c>
      <c r="R35" s="58" t="s">
        <v>641</v>
      </c>
      <c r="S35" s="58" t="s">
        <v>635</v>
      </c>
      <c r="T35" s="58" t="s">
        <v>650</v>
      </c>
      <c r="U35" s="58" t="s">
        <v>651</v>
      </c>
      <c r="V35" s="58" t="s">
        <v>651</v>
      </c>
      <c r="W35" s="58" t="s">
        <v>652</v>
      </c>
      <c r="X35" s="58" t="s">
        <v>652</v>
      </c>
      <c r="Y35" s="58" t="s">
        <v>646</v>
      </c>
      <c r="Z35" s="57"/>
    </row>
    <row r="36" spans="1:26" x14ac:dyDescent="0.25">
      <c r="A36" s="56">
        <v>44075</v>
      </c>
      <c r="B36" s="55">
        <v>4</v>
      </c>
      <c r="C36" s="55">
        <v>4</v>
      </c>
      <c r="D36" s="55">
        <v>4</v>
      </c>
      <c r="E36" s="55">
        <v>4</v>
      </c>
      <c r="F36" s="55" t="s">
        <v>618</v>
      </c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V36" s="222"/>
      <c r="W36" s="222"/>
      <c r="X36" s="222"/>
      <c r="Y36" s="222"/>
      <c r="Z36" s="55"/>
    </row>
    <row r="37" spans="1:26" x14ac:dyDescent="0.25">
      <c r="A37" s="56">
        <v>44046</v>
      </c>
      <c r="B37" s="55">
        <v>4</v>
      </c>
      <c r="C37" s="55">
        <v>4</v>
      </c>
      <c r="D37" s="55">
        <v>4</v>
      </c>
      <c r="E37" s="55">
        <v>4</v>
      </c>
      <c r="F37" s="55" t="s">
        <v>618</v>
      </c>
      <c r="L37" s="222" t="s">
        <v>636</v>
      </c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Y37" s="222"/>
      <c r="Z37" s="55"/>
    </row>
    <row r="38" spans="1:26" x14ac:dyDescent="0.25">
      <c r="A38" s="56">
        <v>44013</v>
      </c>
      <c r="B38" s="55">
        <v>4.25</v>
      </c>
      <c r="C38" s="55">
        <v>4.25</v>
      </c>
      <c r="D38" s="55">
        <v>4</v>
      </c>
      <c r="E38" s="55">
        <v>4</v>
      </c>
      <c r="F38" s="55" t="s">
        <v>618</v>
      </c>
      <c r="L38" s="222" t="s">
        <v>653</v>
      </c>
      <c r="M38" s="222"/>
      <c r="N38" s="222"/>
      <c r="O38" s="222"/>
      <c r="P38" s="222"/>
      <c r="Q38" s="222"/>
      <c r="R38" s="222"/>
      <c r="S38" s="222"/>
      <c r="T38" s="222"/>
      <c r="U38" s="222"/>
      <c r="V38" s="222"/>
      <c r="W38" s="222"/>
      <c r="X38" s="222"/>
      <c r="Y38" s="222"/>
      <c r="Z38" s="55"/>
    </row>
    <row r="39" spans="1:26" x14ac:dyDescent="0.25">
      <c r="A39" s="56">
        <v>43984</v>
      </c>
      <c r="B39" s="55">
        <v>4.5</v>
      </c>
      <c r="C39" s="55">
        <v>4.5</v>
      </c>
      <c r="D39" s="55">
        <v>4.25</v>
      </c>
      <c r="E39" s="55">
        <v>4.25</v>
      </c>
      <c r="F39" s="55" t="s">
        <v>618</v>
      </c>
      <c r="L39" s="222" t="s">
        <v>654</v>
      </c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Y39" s="222"/>
      <c r="Z39" s="55"/>
    </row>
    <row r="40" spans="1:26" x14ac:dyDescent="0.25">
      <c r="A40" s="56">
        <v>43955</v>
      </c>
      <c r="B40" s="55">
        <v>4.5</v>
      </c>
      <c r="C40" s="55">
        <v>4.5</v>
      </c>
      <c r="D40" s="55">
        <v>4.5</v>
      </c>
      <c r="E40" s="55">
        <v>4.5</v>
      </c>
      <c r="F40" s="55" t="s">
        <v>618</v>
      </c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55"/>
    </row>
    <row r="41" spans="1:26" x14ac:dyDescent="0.25">
      <c r="A41" s="56">
        <v>43922</v>
      </c>
      <c r="B41" s="55">
        <v>4.5</v>
      </c>
      <c r="C41" s="55">
        <v>4.5</v>
      </c>
      <c r="D41" s="55">
        <v>4.5</v>
      </c>
      <c r="E41" s="55">
        <v>4.5</v>
      </c>
      <c r="F41" s="55" t="s">
        <v>618</v>
      </c>
      <c r="L41" s="222" t="s">
        <v>619</v>
      </c>
      <c r="M41" s="222" t="s">
        <v>620</v>
      </c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Y41" s="222"/>
      <c r="Z41" s="55"/>
    </row>
    <row r="42" spans="1:26" ht="15.75" x14ac:dyDescent="0.25">
      <c r="A42" s="56">
        <v>43892</v>
      </c>
      <c r="B42" s="55">
        <v>4.75</v>
      </c>
      <c r="C42" s="55">
        <v>4.75</v>
      </c>
      <c r="D42" s="55">
        <v>4.5</v>
      </c>
      <c r="E42" s="55">
        <v>4.5</v>
      </c>
      <c r="F42" s="55" t="s">
        <v>618</v>
      </c>
      <c r="L42" s="222"/>
      <c r="M42" s="229" t="s">
        <v>655</v>
      </c>
      <c r="N42" s="229"/>
      <c r="O42" s="229"/>
      <c r="P42" s="229"/>
      <c r="Q42" s="229"/>
      <c r="R42" s="229"/>
      <c r="S42" s="229"/>
      <c r="T42" s="229"/>
      <c r="U42" s="229"/>
      <c r="V42" s="229"/>
      <c r="W42" s="229"/>
      <c r="X42" s="229"/>
      <c r="Y42" s="229"/>
      <c r="Z42" s="55"/>
    </row>
    <row r="43" spans="1:26" x14ac:dyDescent="0.25">
      <c r="A43" s="56">
        <v>43864</v>
      </c>
      <c r="B43" s="55">
        <v>5</v>
      </c>
      <c r="C43" s="55">
        <v>5</v>
      </c>
      <c r="D43" s="55">
        <v>4.75</v>
      </c>
      <c r="E43" s="55">
        <v>4.75</v>
      </c>
      <c r="F43" s="55" t="s">
        <v>618</v>
      </c>
      <c r="L43" s="222"/>
      <c r="M43" s="40" t="s">
        <v>622</v>
      </c>
      <c r="N43" s="40" t="s">
        <v>623</v>
      </c>
      <c r="O43" s="40" t="s">
        <v>624</v>
      </c>
      <c r="P43" s="40" t="s">
        <v>625</v>
      </c>
      <c r="Q43" s="40" t="s">
        <v>626</v>
      </c>
      <c r="R43" s="40" t="s">
        <v>627</v>
      </c>
      <c r="S43" s="40" t="s">
        <v>628</v>
      </c>
      <c r="T43" s="40" t="s">
        <v>629</v>
      </c>
      <c r="U43" s="40" t="s">
        <v>630</v>
      </c>
      <c r="V43" s="40" t="s">
        <v>631</v>
      </c>
      <c r="W43" s="40" t="s">
        <v>632</v>
      </c>
      <c r="X43" s="40" t="s">
        <v>633</v>
      </c>
      <c r="Y43" s="40" t="s">
        <v>634</v>
      </c>
      <c r="Z43" s="55"/>
    </row>
    <row r="44" spans="1:26" ht="15.75" x14ac:dyDescent="0.25">
      <c r="A44" s="56">
        <v>43832</v>
      </c>
      <c r="B44" s="55">
        <v>5</v>
      </c>
      <c r="C44" s="55">
        <v>5</v>
      </c>
      <c r="D44" s="55">
        <v>5</v>
      </c>
      <c r="E44" s="55">
        <v>5</v>
      </c>
      <c r="F44" s="55" t="s">
        <v>618</v>
      </c>
      <c r="L44" s="58" t="s">
        <v>620</v>
      </c>
      <c r="M44" s="58" t="s">
        <v>652</v>
      </c>
      <c r="N44" s="58" t="s">
        <v>652</v>
      </c>
      <c r="O44" s="58" t="s">
        <v>652</v>
      </c>
      <c r="P44" s="58" t="s">
        <v>652</v>
      </c>
      <c r="Q44" s="58" t="s">
        <v>652</v>
      </c>
      <c r="R44" s="58" t="s">
        <v>652</v>
      </c>
      <c r="S44" s="58" t="s">
        <v>652</v>
      </c>
      <c r="T44" s="58" t="s">
        <v>652</v>
      </c>
      <c r="U44" s="58" t="s">
        <v>652</v>
      </c>
      <c r="V44" s="58" t="s">
        <v>652</v>
      </c>
      <c r="W44" s="58" t="s">
        <v>656</v>
      </c>
      <c r="X44" s="58" t="s">
        <v>656</v>
      </c>
      <c r="Y44" s="58" t="s">
        <v>646</v>
      </c>
      <c r="Z44" s="55"/>
    </row>
    <row r="45" spans="1:26" x14ac:dyDescent="0.25">
      <c r="A45" s="56">
        <v>43801</v>
      </c>
      <c r="B45" s="55">
        <v>5</v>
      </c>
      <c r="C45" s="55">
        <v>5</v>
      </c>
      <c r="D45" s="55">
        <v>5</v>
      </c>
      <c r="E45" s="55">
        <v>5</v>
      </c>
      <c r="F45" s="55" t="s">
        <v>618</v>
      </c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Y45" s="222"/>
      <c r="Z45" s="55"/>
    </row>
    <row r="46" spans="1:26" x14ac:dyDescent="0.25">
      <c r="A46" s="56">
        <v>43770</v>
      </c>
      <c r="B46" s="55">
        <v>5</v>
      </c>
      <c r="C46" s="55">
        <v>5</v>
      </c>
      <c r="D46" s="55">
        <v>5</v>
      </c>
      <c r="E46" s="55">
        <v>5</v>
      </c>
      <c r="F46" s="55" t="s">
        <v>618</v>
      </c>
      <c r="L46" s="222" t="s">
        <v>636</v>
      </c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Y46" s="222"/>
      <c r="Z46" s="55"/>
    </row>
    <row r="47" spans="1:26" x14ac:dyDescent="0.25">
      <c r="A47" s="56">
        <v>43739</v>
      </c>
      <c r="B47" s="55">
        <v>5.25</v>
      </c>
      <c r="C47" s="55">
        <v>5.25</v>
      </c>
      <c r="D47" s="55">
        <v>5</v>
      </c>
      <c r="E47" s="55">
        <v>5</v>
      </c>
      <c r="F47" s="55" t="s">
        <v>618</v>
      </c>
      <c r="L47" s="222" t="s">
        <v>657</v>
      </c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Y47" s="222"/>
      <c r="Z47" s="55"/>
    </row>
    <row r="48" spans="1:26" x14ac:dyDescent="0.25">
      <c r="A48" s="56">
        <v>43710</v>
      </c>
      <c r="B48" s="55">
        <v>5.5</v>
      </c>
      <c r="C48" s="55">
        <v>5.5</v>
      </c>
      <c r="D48" s="55">
        <v>5.25</v>
      </c>
      <c r="E48" s="55">
        <v>5.25</v>
      </c>
      <c r="F48" s="55" t="s">
        <v>618</v>
      </c>
      <c r="L48" s="222" t="s">
        <v>658</v>
      </c>
      <c r="M48" s="222"/>
      <c r="N48" s="222"/>
      <c r="O48" s="222"/>
      <c r="P48" s="222"/>
      <c r="Q48" s="222"/>
      <c r="R48" s="222"/>
      <c r="S48" s="222"/>
      <c r="T48" s="222"/>
      <c r="U48" s="222"/>
      <c r="V48" s="222"/>
      <c r="W48" s="222"/>
      <c r="X48" s="222"/>
      <c r="Y48" s="222"/>
      <c r="Z48" s="55"/>
    </row>
    <row r="49" spans="1:26" x14ac:dyDescent="0.25">
      <c r="A49" s="56">
        <v>43678</v>
      </c>
      <c r="B49" s="55">
        <v>5.75</v>
      </c>
      <c r="C49" s="55">
        <v>5.75</v>
      </c>
      <c r="D49" s="55">
        <v>5.5</v>
      </c>
      <c r="E49" s="55">
        <v>5.5</v>
      </c>
      <c r="F49" s="55" t="s">
        <v>618</v>
      </c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55"/>
    </row>
    <row r="50" spans="1:26" x14ac:dyDescent="0.25">
      <c r="A50" s="56">
        <v>43647</v>
      </c>
      <c r="B50" s="55">
        <v>6</v>
      </c>
      <c r="C50" s="55">
        <v>6</v>
      </c>
      <c r="D50" s="55">
        <v>5.75</v>
      </c>
      <c r="E50" s="55">
        <v>5.75</v>
      </c>
      <c r="F50" s="55" t="s">
        <v>618</v>
      </c>
      <c r="L50" s="222" t="s">
        <v>619</v>
      </c>
      <c r="M50" s="222" t="s">
        <v>620</v>
      </c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Y50" s="222"/>
      <c r="Z50" s="55"/>
    </row>
    <row r="51" spans="1:26" ht="15.75" x14ac:dyDescent="0.25">
      <c r="A51" s="56">
        <v>43626</v>
      </c>
      <c r="B51" s="55">
        <v>6</v>
      </c>
      <c r="C51" s="55">
        <v>6</v>
      </c>
      <c r="D51" s="55">
        <v>6</v>
      </c>
      <c r="E51" s="55">
        <v>6</v>
      </c>
      <c r="F51" s="55" t="s">
        <v>618</v>
      </c>
      <c r="L51" s="222"/>
      <c r="M51" s="228" t="s">
        <v>659</v>
      </c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Y51" s="228"/>
      <c r="Z51" s="55"/>
    </row>
    <row r="52" spans="1:26" x14ac:dyDescent="0.25">
      <c r="A52" s="56">
        <v>43587</v>
      </c>
      <c r="B52" s="55">
        <v>6</v>
      </c>
      <c r="C52" s="55">
        <v>6</v>
      </c>
      <c r="D52" s="55">
        <v>6</v>
      </c>
      <c r="E52" s="55">
        <v>6</v>
      </c>
      <c r="F52" s="55" t="s">
        <v>618</v>
      </c>
      <c r="L52" s="222"/>
      <c r="M52" s="40" t="s">
        <v>622</v>
      </c>
      <c r="N52" s="40" t="s">
        <v>623</v>
      </c>
      <c r="O52" s="40" t="s">
        <v>624</v>
      </c>
      <c r="P52" s="40" t="s">
        <v>625</v>
      </c>
      <c r="Q52" s="40" t="s">
        <v>626</v>
      </c>
      <c r="R52" s="40" t="s">
        <v>627</v>
      </c>
      <c r="S52" s="40" t="s">
        <v>628</v>
      </c>
      <c r="T52" s="40" t="s">
        <v>629</v>
      </c>
      <c r="U52" s="40" t="s">
        <v>630</v>
      </c>
      <c r="V52" s="40" t="s">
        <v>631</v>
      </c>
      <c r="W52" s="40" t="s">
        <v>632</v>
      </c>
      <c r="X52" s="40" t="s">
        <v>633</v>
      </c>
      <c r="Y52" s="40" t="s">
        <v>634</v>
      </c>
      <c r="Z52" s="55"/>
    </row>
    <row r="53" spans="1:26" ht="15.75" x14ac:dyDescent="0.25">
      <c r="A53" s="56">
        <v>43556</v>
      </c>
      <c r="B53" s="55">
        <v>6</v>
      </c>
      <c r="C53" s="55">
        <v>6</v>
      </c>
      <c r="D53" s="55">
        <v>6</v>
      </c>
      <c r="E53" s="55">
        <v>6</v>
      </c>
      <c r="F53" s="55" t="s">
        <v>618</v>
      </c>
      <c r="L53" s="58" t="s">
        <v>620</v>
      </c>
      <c r="M53" s="58" t="s">
        <v>656</v>
      </c>
      <c r="N53" s="58" t="s">
        <v>652</v>
      </c>
      <c r="O53" s="58" t="s">
        <v>652</v>
      </c>
      <c r="P53" s="58" t="s">
        <v>652</v>
      </c>
      <c r="Q53" s="58" t="s">
        <v>652</v>
      </c>
      <c r="R53" s="58" t="s">
        <v>652</v>
      </c>
      <c r="S53" s="58" t="s">
        <v>652</v>
      </c>
      <c r="T53" s="58" t="s">
        <v>652</v>
      </c>
      <c r="U53" s="58" t="s">
        <v>652</v>
      </c>
      <c r="V53" s="58" t="s">
        <v>652</v>
      </c>
      <c r="W53" s="58" t="s">
        <v>652</v>
      </c>
      <c r="X53" s="58" t="s">
        <v>652</v>
      </c>
      <c r="Y53" s="58" t="s">
        <v>646</v>
      </c>
      <c r="Z53" s="55"/>
    </row>
    <row r="54" spans="1:26" x14ac:dyDescent="0.25">
      <c r="A54" s="56">
        <v>43525</v>
      </c>
      <c r="B54" s="55">
        <v>6</v>
      </c>
      <c r="C54" s="55">
        <v>6</v>
      </c>
      <c r="D54" s="55">
        <v>6</v>
      </c>
      <c r="E54" s="55">
        <v>6</v>
      </c>
      <c r="F54" s="55" t="s">
        <v>618</v>
      </c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Y54" s="222"/>
      <c r="Z54" s="55"/>
    </row>
    <row r="55" spans="1:26" x14ac:dyDescent="0.25">
      <c r="A55" s="56">
        <v>43497</v>
      </c>
      <c r="B55" s="55">
        <v>6</v>
      </c>
      <c r="C55" s="55">
        <v>6</v>
      </c>
      <c r="D55" s="55">
        <v>6</v>
      </c>
      <c r="E55" s="55">
        <v>6</v>
      </c>
      <c r="F55" s="55" t="s">
        <v>618</v>
      </c>
      <c r="L55" s="222" t="s">
        <v>636</v>
      </c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Y55" s="222"/>
      <c r="Z55" s="55"/>
    </row>
    <row r="56" spans="1:26" x14ac:dyDescent="0.25">
      <c r="A56" s="56">
        <v>43467</v>
      </c>
      <c r="B56" s="55">
        <v>6</v>
      </c>
      <c r="C56" s="55">
        <v>6</v>
      </c>
      <c r="D56" s="55">
        <v>6</v>
      </c>
      <c r="E56" s="55">
        <v>6</v>
      </c>
      <c r="F56" s="55" t="s">
        <v>618</v>
      </c>
      <c r="L56" s="222" t="s">
        <v>660</v>
      </c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Y56" s="222"/>
      <c r="Z56" s="55"/>
    </row>
    <row r="57" spans="1:26" x14ac:dyDescent="0.25">
      <c r="A57" s="56">
        <v>43437</v>
      </c>
      <c r="B57" s="55">
        <v>6</v>
      </c>
      <c r="C57" s="55">
        <v>6</v>
      </c>
      <c r="D57" s="55">
        <v>6</v>
      </c>
      <c r="E57" s="55">
        <v>6</v>
      </c>
      <c r="F57" s="55" t="s">
        <v>618</v>
      </c>
      <c r="L57" s="222" t="s">
        <v>661</v>
      </c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Y57" s="222"/>
      <c r="Z57" s="55"/>
    </row>
    <row r="58" spans="1:26" x14ac:dyDescent="0.25">
      <c r="A58" s="56">
        <v>43405</v>
      </c>
      <c r="B58" s="55">
        <v>5.75</v>
      </c>
      <c r="C58" s="55">
        <v>6</v>
      </c>
      <c r="D58" s="55">
        <v>5.75</v>
      </c>
      <c r="E58" s="55">
        <v>6</v>
      </c>
      <c r="F58" s="55" t="s">
        <v>618</v>
      </c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 spans="1:26" x14ac:dyDescent="0.25">
      <c r="A59" s="56">
        <v>43374</v>
      </c>
      <c r="B59" s="55">
        <v>5.75</v>
      </c>
      <c r="C59" s="55">
        <v>5.75</v>
      </c>
      <c r="D59" s="55">
        <v>5.75</v>
      </c>
      <c r="E59" s="55">
        <v>5.75</v>
      </c>
      <c r="F59" s="55" t="s">
        <v>618</v>
      </c>
      <c r="L59" s="222" t="s">
        <v>619</v>
      </c>
      <c r="M59" s="222" t="s">
        <v>620</v>
      </c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Y59" s="222"/>
      <c r="Z59" s="55"/>
    </row>
    <row r="60" spans="1:26" ht="15.75" x14ac:dyDescent="0.25">
      <c r="A60" s="56">
        <v>43346</v>
      </c>
      <c r="B60" s="55">
        <v>5.5</v>
      </c>
      <c r="C60" s="55">
        <v>5.75</v>
      </c>
      <c r="D60" s="55">
        <v>5.5</v>
      </c>
      <c r="E60" s="55">
        <v>5.75</v>
      </c>
      <c r="F60" s="55" t="s">
        <v>618</v>
      </c>
      <c r="L60" s="222"/>
      <c r="M60" s="228" t="s">
        <v>662</v>
      </c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Y60" s="228"/>
      <c r="Z60" s="55"/>
    </row>
    <row r="61" spans="1:26" x14ac:dyDescent="0.25">
      <c r="A61" s="56">
        <v>43313</v>
      </c>
      <c r="B61" s="55">
        <v>5.25</v>
      </c>
      <c r="C61" s="55">
        <v>5.5</v>
      </c>
      <c r="D61" s="55">
        <v>5.25</v>
      </c>
      <c r="E61" s="55">
        <v>5.5</v>
      </c>
      <c r="F61" s="55" t="s">
        <v>618</v>
      </c>
      <c r="L61" s="222"/>
      <c r="M61" s="40" t="s">
        <v>622</v>
      </c>
      <c r="N61" s="40" t="s">
        <v>623</v>
      </c>
      <c r="O61" s="40" t="s">
        <v>624</v>
      </c>
      <c r="P61" s="40" t="s">
        <v>625</v>
      </c>
      <c r="Q61" s="40" t="s">
        <v>626</v>
      </c>
      <c r="R61" s="40" t="s">
        <v>627</v>
      </c>
      <c r="S61" s="40" t="s">
        <v>628</v>
      </c>
      <c r="T61" s="40" t="s">
        <v>629</v>
      </c>
      <c r="U61" s="40" t="s">
        <v>630</v>
      </c>
      <c r="V61" s="40" t="s">
        <v>631</v>
      </c>
      <c r="W61" s="40" t="s">
        <v>632</v>
      </c>
      <c r="X61" s="40" t="s">
        <v>633</v>
      </c>
      <c r="Y61" s="40" t="s">
        <v>634</v>
      </c>
      <c r="Z61" s="55"/>
    </row>
    <row r="62" spans="1:26" ht="15.75" x14ac:dyDescent="0.25">
      <c r="A62" s="56">
        <v>43283</v>
      </c>
      <c r="B62" s="55">
        <v>5.25</v>
      </c>
      <c r="C62" s="55">
        <v>5.25</v>
      </c>
      <c r="D62" s="55">
        <v>5.25</v>
      </c>
      <c r="E62" s="55">
        <v>5.25</v>
      </c>
      <c r="F62" s="55" t="s">
        <v>618</v>
      </c>
      <c r="L62" s="58" t="s">
        <v>620</v>
      </c>
      <c r="M62" s="58" t="s">
        <v>651</v>
      </c>
      <c r="N62" s="58" t="s">
        <v>650</v>
      </c>
      <c r="O62" s="58" t="s">
        <v>640</v>
      </c>
      <c r="P62" s="58" t="s">
        <v>640</v>
      </c>
      <c r="Q62" s="58" t="s">
        <v>640</v>
      </c>
      <c r="R62" s="58" t="s">
        <v>635</v>
      </c>
      <c r="S62" s="58" t="s">
        <v>635</v>
      </c>
      <c r="T62" s="58" t="s">
        <v>663</v>
      </c>
      <c r="U62" s="58" t="s">
        <v>664</v>
      </c>
      <c r="V62" s="58" t="s">
        <v>665</v>
      </c>
      <c r="W62" s="58" t="s">
        <v>665</v>
      </c>
      <c r="X62" s="58" t="s">
        <v>665</v>
      </c>
      <c r="Y62" s="58" t="s">
        <v>646</v>
      </c>
      <c r="Z62" s="57"/>
    </row>
    <row r="63" spans="1:26" x14ac:dyDescent="0.25">
      <c r="A63" s="56">
        <v>43255</v>
      </c>
      <c r="B63" s="55">
        <v>4.75</v>
      </c>
      <c r="C63" s="55">
        <v>4.75</v>
      </c>
      <c r="D63" s="55">
        <v>4.75</v>
      </c>
      <c r="E63" s="55">
        <v>4.75</v>
      </c>
      <c r="F63" s="55" t="s">
        <v>618</v>
      </c>
      <c r="L63" s="222"/>
      <c r="M63" s="222"/>
      <c r="N63" s="222"/>
      <c r="O63" s="222"/>
      <c r="P63" s="222"/>
      <c r="Q63" s="222"/>
      <c r="R63" s="222"/>
      <c r="S63" s="222"/>
      <c r="T63" s="222"/>
      <c r="U63" s="222"/>
      <c r="V63" s="222"/>
      <c r="W63" s="222"/>
      <c r="X63" s="222"/>
      <c r="Y63" s="222"/>
      <c r="Z63" s="55"/>
    </row>
    <row r="64" spans="1:26" x14ac:dyDescent="0.25">
      <c r="A64" s="56">
        <v>43222</v>
      </c>
      <c r="B64" s="55">
        <v>4.25</v>
      </c>
      <c r="C64" s="55">
        <v>4.75</v>
      </c>
      <c r="D64" s="55">
        <v>4.25</v>
      </c>
      <c r="E64" s="55">
        <v>4.75</v>
      </c>
      <c r="F64" s="55" t="s">
        <v>618</v>
      </c>
      <c r="L64" s="222" t="s">
        <v>636</v>
      </c>
      <c r="M64" s="222"/>
      <c r="N64" s="222"/>
      <c r="O64" s="222"/>
      <c r="P64" s="222"/>
      <c r="Q64" s="222"/>
      <c r="R64" s="222"/>
      <c r="S64" s="222"/>
      <c r="T64" s="222"/>
      <c r="U64" s="222"/>
      <c r="V64" s="222"/>
      <c r="W64" s="222"/>
      <c r="X64" s="222"/>
      <c r="Y64" s="222"/>
      <c r="Z64" s="55"/>
    </row>
    <row r="65" spans="1:26" x14ac:dyDescent="0.25">
      <c r="A65" s="56">
        <v>43192</v>
      </c>
      <c r="B65" s="55">
        <v>4.25</v>
      </c>
      <c r="C65" s="55">
        <v>4.25</v>
      </c>
      <c r="D65" s="55">
        <v>4.25</v>
      </c>
      <c r="E65" s="55">
        <v>4.25</v>
      </c>
      <c r="F65" s="55" t="s">
        <v>618</v>
      </c>
      <c r="L65" s="222" t="s">
        <v>666</v>
      </c>
      <c r="M65" s="222"/>
      <c r="N65" s="222"/>
      <c r="O65" s="222"/>
      <c r="P65" s="222"/>
      <c r="Q65" s="222"/>
      <c r="R65" s="222"/>
      <c r="S65" s="222"/>
      <c r="T65" s="222"/>
      <c r="U65" s="222"/>
      <c r="V65" s="222"/>
      <c r="W65" s="222"/>
      <c r="X65" s="222"/>
      <c r="Y65" s="222"/>
      <c r="Z65" s="55"/>
    </row>
    <row r="66" spans="1:26" x14ac:dyDescent="0.25">
      <c r="A66" s="56">
        <v>43160</v>
      </c>
      <c r="B66" s="55">
        <v>4.25</v>
      </c>
      <c r="C66" s="55">
        <v>4.25</v>
      </c>
      <c r="D66" s="55">
        <v>4.25</v>
      </c>
      <c r="E66" s="55">
        <v>4.25</v>
      </c>
      <c r="F66" s="55" t="s">
        <v>618</v>
      </c>
      <c r="L66" s="222" t="s">
        <v>667</v>
      </c>
      <c r="M66" s="222"/>
      <c r="N66" s="222"/>
      <c r="O66" s="222"/>
      <c r="P66" s="222"/>
      <c r="Q66" s="222"/>
      <c r="R66" s="222"/>
      <c r="S66" s="222"/>
      <c r="T66" s="222"/>
      <c r="U66" s="222"/>
      <c r="V66" s="222"/>
      <c r="W66" s="222"/>
      <c r="X66" s="222"/>
      <c r="Y66" s="222"/>
      <c r="Z66" s="55"/>
    </row>
    <row r="67" spans="1:26" x14ac:dyDescent="0.25">
      <c r="A67" s="56">
        <v>43132</v>
      </c>
      <c r="B67" s="55">
        <v>4.25</v>
      </c>
      <c r="C67" s="55">
        <v>4.25</v>
      </c>
      <c r="D67" s="55">
        <v>4.25</v>
      </c>
      <c r="E67" s="55">
        <v>4.25</v>
      </c>
      <c r="F67" s="55" t="s">
        <v>618</v>
      </c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55"/>
    </row>
    <row r="68" spans="1:26" x14ac:dyDescent="0.25">
      <c r="A68" s="56">
        <v>43102</v>
      </c>
      <c r="B68" s="55">
        <v>4.25</v>
      </c>
      <c r="C68" s="55">
        <v>4.25</v>
      </c>
      <c r="D68" s="55">
        <v>4.25</v>
      </c>
      <c r="E68" s="55">
        <v>4.25</v>
      </c>
      <c r="F68" s="55" t="s">
        <v>618</v>
      </c>
      <c r="L68" s="222" t="s">
        <v>619</v>
      </c>
      <c r="M68" s="222" t="s">
        <v>620</v>
      </c>
      <c r="N68" s="222"/>
      <c r="O68" s="222"/>
      <c r="P68" s="222"/>
      <c r="Q68" s="222"/>
      <c r="R68" s="222"/>
      <c r="S68" s="222"/>
      <c r="T68" s="222"/>
      <c r="U68" s="222"/>
      <c r="V68" s="222"/>
      <c r="W68" s="222"/>
      <c r="X68" s="222"/>
      <c r="Y68" s="222"/>
      <c r="Z68" s="55"/>
    </row>
    <row r="69" spans="1:26" ht="15.75" x14ac:dyDescent="0.25">
      <c r="A69" s="56">
        <v>43073</v>
      </c>
      <c r="B69" s="55">
        <v>4.25</v>
      </c>
      <c r="C69" s="55">
        <v>4.25</v>
      </c>
      <c r="D69" s="55">
        <v>4.25</v>
      </c>
      <c r="E69" s="55">
        <v>4.25</v>
      </c>
      <c r="F69" s="55" t="s">
        <v>618</v>
      </c>
      <c r="L69" s="222"/>
      <c r="M69" s="228" t="s">
        <v>668</v>
      </c>
      <c r="N69" s="228"/>
      <c r="O69" s="228"/>
      <c r="P69" s="228"/>
      <c r="Q69" s="228"/>
      <c r="R69" s="228"/>
      <c r="S69" s="228"/>
      <c r="T69" s="228"/>
      <c r="U69" s="228"/>
      <c r="V69" s="228"/>
      <c r="W69" s="228"/>
      <c r="X69" s="228"/>
      <c r="Y69" s="228"/>
      <c r="Z69" s="55"/>
    </row>
    <row r="70" spans="1:26" x14ac:dyDescent="0.25">
      <c r="A70" s="56">
        <v>43040</v>
      </c>
      <c r="B70" s="55">
        <v>4.25</v>
      </c>
      <c r="C70" s="55">
        <v>4.25</v>
      </c>
      <c r="D70" s="55">
        <v>4.25</v>
      </c>
      <c r="E70" s="55">
        <v>4.25</v>
      </c>
      <c r="F70" s="55" t="s">
        <v>618</v>
      </c>
      <c r="L70" s="222"/>
      <c r="M70" s="40" t="s">
        <v>622</v>
      </c>
      <c r="N70" s="40" t="s">
        <v>623</v>
      </c>
      <c r="O70" s="40" t="s">
        <v>624</v>
      </c>
      <c r="P70" s="40" t="s">
        <v>625</v>
      </c>
      <c r="Q70" s="40" t="s">
        <v>626</v>
      </c>
      <c r="R70" s="40" t="s">
        <v>627</v>
      </c>
      <c r="S70" s="40" t="s">
        <v>628</v>
      </c>
      <c r="T70" s="40" t="s">
        <v>629</v>
      </c>
      <c r="U70" s="40" t="s">
        <v>630</v>
      </c>
      <c r="V70" s="40" t="s">
        <v>631</v>
      </c>
      <c r="W70" s="40" t="s">
        <v>632</v>
      </c>
      <c r="X70" s="40" t="s">
        <v>633</v>
      </c>
      <c r="Y70" s="40" t="s">
        <v>634</v>
      </c>
      <c r="Z70" s="55"/>
    </row>
    <row r="71" spans="1:26" ht="15.75" x14ac:dyDescent="0.25">
      <c r="A71" s="56">
        <v>43010</v>
      </c>
      <c r="B71" s="55">
        <v>4.25</v>
      </c>
      <c r="C71" s="55">
        <v>4.25</v>
      </c>
      <c r="D71" s="55">
        <v>4.25</v>
      </c>
      <c r="E71" s="55">
        <v>4.25</v>
      </c>
      <c r="F71" s="55" t="s">
        <v>618</v>
      </c>
      <c r="L71" s="58" t="s">
        <v>620</v>
      </c>
      <c r="M71" s="58" t="s">
        <v>665</v>
      </c>
      <c r="N71" s="58" t="s">
        <v>665</v>
      </c>
      <c r="O71" s="58" t="s">
        <v>665</v>
      </c>
      <c r="P71" s="58" t="s">
        <v>665</v>
      </c>
      <c r="Q71" s="58" t="s">
        <v>665</v>
      </c>
      <c r="R71" s="58" t="s">
        <v>665</v>
      </c>
      <c r="S71" s="58" t="s">
        <v>665</v>
      </c>
      <c r="T71" s="58" t="s">
        <v>669</v>
      </c>
      <c r="U71" s="58" t="s">
        <v>670</v>
      </c>
      <c r="V71" s="58" t="s">
        <v>670</v>
      </c>
      <c r="W71" s="58" t="s">
        <v>670</v>
      </c>
      <c r="X71" s="58" t="s">
        <v>670</v>
      </c>
      <c r="Y71" s="58" t="s">
        <v>646</v>
      </c>
      <c r="Z71" s="55"/>
    </row>
    <row r="72" spans="1:26" x14ac:dyDescent="0.25">
      <c r="A72" s="56">
        <v>42982</v>
      </c>
      <c r="B72" s="55">
        <v>4.5</v>
      </c>
      <c r="C72" s="55">
        <v>4.5</v>
      </c>
      <c r="D72" s="55">
        <v>4.25</v>
      </c>
      <c r="E72" s="55">
        <v>4.25</v>
      </c>
      <c r="F72" s="55" t="s">
        <v>618</v>
      </c>
      <c r="L72" s="222"/>
      <c r="M72" s="222"/>
      <c r="N72" s="222"/>
      <c r="O72" s="222"/>
      <c r="P72" s="222"/>
      <c r="Q72" s="222"/>
      <c r="R72" s="222"/>
      <c r="S72" s="222"/>
      <c r="T72" s="222"/>
      <c r="U72" s="222"/>
      <c r="V72" s="222"/>
      <c r="W72" s="222"/>
      <c r="X72" s="222"/>
      <c r="Y72" s="222"/>
      <c r="Z72" s="55"/>
    </row>
    <row r="73" spans="1:26" x14ac:dyDescent="0.25">
      <c r="A73" s="56">
        <v>42948</v>
      </c>
      <c r="B73" s="55">
        <v>4.75</v>
      </c>
      <c r="C73" s="55">
        <v>4.75</v>
      </c>
      <c r="D73" s="55">
        <v>4.5</v>
      </c>
      <c r="E73" s="55">
        <v>4.5</v>
      </c>
      <c r="F73" s="55" t="s">
        <v>618</v>
      </c>
      <c r="L73" s="222" t="s">
        <v>636</v>
      </c>
      <c r="M73" s="222"/>
      <c r="N73" s="222"/>
      <c r="O73" s="222"/>
      <c r="P73" s="222"/>
      <c r="Q73" s="222"/>
      <c r="R73" s="222"/>
      <c r="S73" s="222"/>
      <c r="T73" s="222"/>
      <c r="U73" s="222"/>
      <c r="V73" s="222"/>
      <c r="W73" s="222"/>
      <c r="X73" s="222"/>
      <c r="Y73" s="222"/>
      <c r="Z73" s="55"/>
    </row>
    <row r="74" spans="1:26" x14ac:dyDescent="0.25">
      <c r="A74" s="56">
        <v>42919</v>
      </c>
      <c r="B74" s="55">
        <v>4.75</v>
      </c>
      <c r="C74" s="55">
        <v>4.75</v>
      </c>
      <c r="D74" s="55">
        <v>4.75</v>
      </c>
      <c r="E74" s="55">
        <v>4.75</v>
      </c>
      <c r="F74" s="55" t="s">
        <v>618</v>
      </c>
      <c r="L74" s="222" t="s">
        <v>671</v>
      </c>
      <c r="M74" s="222"/>
      <c r="N74" s="222"/>
      <c r="O74" s="222"/>
      <c r="P74" s="222"/>
      <c r="Q74" s="222"/>
      <c r="R74" s="222"/>
      <c r="S74" s="222"/>
      <c r="T74" s="222"/>
      <c r="U74" s="222"/>
      <c r="V74" s="222"/>
      <c r="W74" s="222"/>
      <c r="X74" s="222"/>
      <c r="Y74" s="222"/>
      <c r="Z74" s="55"/>
    </row>
    <row r="75" spans="1:26" x14ac:dyDescent="0.25">
      <c r="A75" s="56">
        <v>42888</v>
      </c>
      <c r="B75" s="55">
        <v>4.75</v>
      </c>
      <c r="C75" s="55">
        <v>4.75</v>
      </c>
      <c r="D75" s="55">
        <v>4.75</v>
      </c>
      <c r="E75" s="55">
        <v>4.75</v>
      </c>
      <c r="F75" s="55" t="s">
        <v>618</v>
      </c>
      <c r="L75" s="222" t="s">
        <v>672</v>
      </c>
      <c r="M75" s="222"/>
      <c r="N75" s="222"/>
      <c r="O75" s="222"/>
      <c r="P75" s="222"/>
      <c r="Q75" s="222"/>
      <c r="R75" s="222"/>
      <c r="S75" s="222"/>
      <c r="T75" s="222"/>
      <c r="U75" s="222"/>
      <c r="V75" s="222"/>
      <c r="W75" s="222"/>
      <c r="X75" s="222"/>
      <c r="Y75" s="222"/>
      <c r="Z75" s="55"/>
    </row>
    <row r="76" spans="1:26" x14ac:dyDescent="0.25">
      <c r="A76" s="56">
        <v>42857</v>
      </c>
      <c r="B76" s="55">
        <v>4.75</v>
      </c>
      <c r="C76" s="55">
        <v>4.75</v>
      </c>
      <c r="D76" s="55">
        <v>4.75</v>
      </c>
      <c r="E76" s="55">
        <v>4.75</v>
      </c>
      <c r="F76" s="55" t="s">
        <v>618</v>
      </c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spans="1:26" x14ac:dyDescent="0.25">
      <c r="A77" s="56">
        <v>42828</v>
      </c>
      <c r="B77" s="55">
        <v>4.75</v>
      </c>
      <c r="C77" s="55">
        <v>4.75</v>
      </c>
      <c r="D77" s="55">
        <v>4.75</v>
      </c>
      <c r="E77" s="55">
        <v>4.75</v>
      </c>
      <c r="F77" s="55" t="s">
        <v>618</v>
      </c>
    </row>
    <row r="78" spans="1:26" x14ac:dyDescent="0.25">
      <c r="A78" s="56">
        <v>42795</v>
      </c>
      <c r="B78" s="55">
        <v>4.75</v>
      </c>
      <c r="C78" s="55">
        <v>4.75</v>
      </c>
      <c r="D78" s="55">
        <v>4.75</v>
      </c>
      <c r="E78" s="55">
        <v>4.75</v>
      </c>
      <c r="F78" s="55" t="s">
        <v>618</v>
      </c>
    </row>
    <row r="79" spans="1:26" x14ac:dyDescent="0.25">
      <c r="A79" s="56">
        <v>42767</v>
      </c>
      <c r="B79" s="55">
        <v>4.75</v>
      </c>
      <c r="C79" s="55">
        <v>4.75</v>
      </c>
      <c r="D79" s="55">
        <v>4.75</v>
      </c>
      <c r="E79" s="55">
        <v>4.75</v>
      </c>
      <c r="F79" s="55" t="s">
        <v>618</v>
      </c>
    </row>
    <row r="80" spans="1:26" x14ac:dyDescent="0.25">
      <c r="A80" s="56">
        <v>42738</v>
      </c>
      <c r="B80" s="55">
        <v>4.75</v>
      </c>
      <c r="C80" s="55">
        <v>4.75</v>
      </c>
      <c r="D80" s="55">
        <v>4.75</v>
      </c>
      <c r="E80" s="55">
        <v>4.75</v>
      </c>
      <c r="F80" s="55" t="s">
        <v>618</v>
      </c>
    </row>
    <row r="81" spans="1:6" x14ac:dyDescent="0.25">
      <c r="A81" s="56">
        <v>42705</v>
      </c>
      <c r="B81" s="55">
        <v>4.75</v>
      </c>
      <c r="C81" s="55">
        <v>4.75</v>
      </c>
      <c r="D81" s="55">
        <v>4.75</v>
      </c>
      <c r="E81" s="55">
        <v>4.75</v>
      </c>
      <c r="F81" s="55" t="s">
        <v>618</v>
      </c>
    </row>
    <row r="82" spans="1:6" x14ac:dyDescent="0.25">
      <c r="A82" s="56">
        <v>42675</v>
      </c>
      <c r="B82" s="55">
        <v>4.75</v>
      </c>
      <c r="C82" s="55">
        <v>4.75</v>
      </c>
      <c r="D82" s="55">
        <v>4.75</v>
      </c>
      <c r="E82" s="55">
        <v>4.75</v>
      </c>
      <c r="F82" s="55" t="s">
        <v>618</v>
      </c>
    </row>
    <row r="83" spans="1:6" x14ac:dyDescent="0.25">
      <c r="A83" s="56">
        <v>42646</v>
      </c>
      <c r="B83" s="55">
        <v>5</v>
      </c>
      <c r="C83" s="55">
        <v>5</v>
      </c>
      <c r="D83" s="55">
        <v>4.75</v>
      </c>
      <c r="E83" s="55">
        <v>4.75</v>
      </c>
      <c r="F83" s="55" t="s">
        <v>618</v>
      </c>
    </row>
    <row r="84" spans="1:6" x14ac:dyDescent="0.25">
      <c r="A84" s="56">
        <v>42614</v>
      </c>
      <c r="B84" s="55">
        <v>5.25</v>
      </c>
      <c r="C84" s="55">
        <v>5.25</v>
      </c>
      <c r="D84" s="55">
        <v>5</v>
      </c>
      <c r="E84" s="55">
        <v>5</v>
      </c>
      <c r="F84" s="55" t="s">
        <v>618</v>
      </c>
    </row>
    <row r="85" spans="1:6" x14ac:dyDescent="0.25">
      <c r="A85" s="56">
        <v>42583</v>
      </c>
      <c r="B85" s="55">
        <v>5.25</v>
      </c>
      <c r="C85" s="55">
        <v>5.25</v>
      </c>
      <c r="D85" s="55">
        <v>5.25</v>
      </c>
      <c r="E85" s="55">
        <v>5.25</v>
      </c>
      <c r="F85" s="55" t="s">
        <v>618</v>
      </c>
    </row>
    <row r="86" spans="1:6" x14ac:dyDescent="0.25">
      <c r="A86" s="56">
        <v>42552</v>
      </c>
      <c r="B86" s="55">
        <v>5.5</v>
      </c>
      <c r="C86" s="55">
        <v>5.5</v>
      </c>
      <c r="D86" s="55">
        <v>5.25</v>
      </c>
      <c r="E86" s="55">
        <v>5.25</v>
      </c>
      <c r="F86" s="55" t="s">
        <v>618</v>
      </c>
    </row>
    <row r="87" spans="1:6" x14ac:dyDescent="0.25">
      <c r="A87" s="56">
        <v>42522</v>
      </c>
      <c r="B87" s="55">
        <v>5.5</v>
      </c>
      <c r="C87" s="55">
        <v>5.5</v>
      </c>
      <c r="D87" s="55">
        <v>5.5</v>
      </c>
      <c r="E87" s="55">
        <v>5.5</v>
      </c>
      <c r="F87" s="55" t="s">
        <v>618</v>
      </c>
    </row>
    <row r="88" spans="1:6" x14ac:dyDescent="0.25">
      <c r="A88" s="56">
        <v>42492</v>
      </c>
      <c r="B88" s="55">
        <v>5.5</v>
      </c>
      <c r="C88" s="55">
        <v>5.5</v>
      </c>
      <c r="D88" s="55">
        <v>5.5</v>
      </c>
      <c r="E88" s="55">
        <v>5.5</v>
      </c>
      <c r="F88" s="55" t="s">
        <v>618</v>
      </c>
    </row>
  </sheetData>
  <mergeCells count="56">
    <mergeCell ref="L9:Y9"/>
    <mergeCell ref="L3:L5"/>
    <mergeCell ref="M3:Y3"/>
    <mergeCell ref="M4:Y4"/>
    <mergeCell ref="L7:Y7"/>
    <mergeCell ref="L8:Y8"/>
    <mergeCell ref="L26:Y26"/>
    <mergeCell ref="L10:Y10"/>
    <mergeCell ref="L12:L14"/>
    <mergeCell ref="M12:Y12"/>
    <mergeCell ref="M13:Y13"/>
    <mergeCell ref="L16:Y16"/>
    <mergeCell ref="L17:Y17"/>
    <mergeCell ref="L18:Y18"/>
    <mergeCell ref="L19:Y19"/>
    <mergeCell ref="L22:L24"/>
    <mergeCell ref="M22:Y22"/>
    <mergeCell ref="M23:Y23"/>
    <mergeCell ref="L27:Y27"/>
    <mergeCell ref="L28:Y28"/>
    <mergeCell ref="L29:Y29"/>
    <mergeCell ref="L32:L34"/>
    <mergeCell ref="M32:Y32"/>
    <mergeCell ref="M33:Y33"/>
    <mergeCell ref="L36:Y36"/>
    <mergeCell ref="L37:Y37"/>
    <mergeCell ref="L38:Y38"/>
    <mergeCell ref="L39:Y39"/>
    <mergeCell ref="L41:L43"/>
    <mergeCell ref="M41:Y41"/>
    <mergeCell ref="M42:Y42"/>
    <mergeCell ref="L45:Y45"/>
    <mergeCell ref="L46:Y46"/>
    <mergeCell ref="L47:Y47"/>
    <mergeCell ref="L48:Y48"/>
    <mergeCell ref="L50:L52"/>
    <mergeCell ref="M50:Y50"/>
    <mergeCell ref="M51:Y51"/>
    <mergeCell ref="L54:Y54"/>
    <mergeCell ref="L55:Y55"/>
    <mergeCell ref="L56:Y56"/>
    <mergeCell ref="L57:Y57"/>
    <mergeCell ref="L59:L61"/>
    <mergeCell ref="M59:Y59"/>
    <mergeCell ref="M60:Y60"/>
    <mergeCell ref="L72:Y72"/>
    <mergeCell ref="L73:Y73"/>
    <mergeCell ref="L74:Y74"/>
    <mergeCell ref="L75:Y75"/>
    <mergeCell ref="L63:Y63"/>
    <mergeCell ref="L64:Y64"/>
    <mergeCell ref="L65:Y65"/>
    <mergeCell ref="L66:Y66"/>
    <mergeCell ref="L68:L70"/>
    <mergeCell ref="M68:Y68"/>
    <mergeCell ref="M69:Y6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BA660-8E15-424C-8F11-25D5F2838C48}">
  <dimension ref="A1:J104"/>
  <sheetViews>
    <sheetView workbookViewId="0">
      <selection activeCell="L97" sqref="L97"/>
    </sheetView>
  </sheetViews>
  <sheetFormatPr defaultRowHeight="15" x14ac:dyDescent="0.25"/>
  <cols>
    <col min="1" max="1" width="30.28515625" customWidth="1"/>
    <col min="8" max="8" width="18.7109375" customWidth="1"/>
    <col min="9" max="9" width="19.42578125" customWidth="1"/>
  </cols>
  <sheetData>
    <row r="1" spans="1:10" ht="15.75" x14ac:dyDescent="0.25">
      <c r="A1" s="39" t="s">
        <v>42</v>
      </c>
      <c r="B1" s="40"/>
      <c r="C1" s="40"/>
      <c r="D1" s="40"/>
      <c r="E1" s="40"/>
      <c r="F1" s="40"/>
      <c r="G1" s="40"/>
      <c r="H1" s="40"/>
      <c r="I1" s="40"/>
      <c r="J1" s="40"/>
    </row>
    <row r="2" spans="1:10" x14ac:dyDescent="0.25">
      <c r="A2" s="221" t="s">
        <v>885</v>
      </c>
      <c r="B2" s="222"/>
      <c r="C2" s="222"/>
      <c r="D2" s="222"/>
      <c r="E2" s="222"/>
      <c r="F2" s="222"/>
      <c r="G2" s="222"/>
      <c r="H2" s="222"/>
      <c r="I2" s="40"/>
      <c r="J2" s="40"/>
    </row>
    <row r="3" spans="1:10" x14ac:dyDescent="0.25">
      <c r="A3" s="223" t="s">
        <v>886</v>
      </c>
      <c r="B3" s="222"/>
      <c r="C3" s="222"/>
      <c r="D3" s="222"/>
      <c r="E3" s="222"/>
      <c r="F3" s="222"/>
      <c r="G3" s="222"/>
      <c r="H3" s="222"/>
      <c r="I3" s="40"/>
      <c r="J3" s="40"/>
    </row>
    <row r="4" spans="1:10" x14ac:dyDescent="0.25">
      <c r="A4" s="40"/>
      <c r="B4" s="40"/>
      <c r="C4" s="40"/>
      <c r="D4" s="40"/>
      <c r="E4" s="40"/>
      <c r="F4" s="40"/>
      <c r="G4" s="40"/>
      <c r="H4" s="40"/>
      <c r="I4" s="40"/>
      <c r="J4" s="40"/>
    </row>
    <row r="5" spans="1:10" x14ac:dyDescent="0.25">
      <c r="A5" s="42" t="s">
        <v>45</v>
      </c>
      <c r="B5" s="42" t="s">
        <v>887</v>
      </c>
      <c r="C5" s="42" t="s">
        <v>47</v>
      </c>
      <c r="D5" s="42" t="s">
        <v>48</v>
      </c>
      <c r="E5" s="42" t="s">
        <v>49</v>
      </c>
      <c r="F5" s="42" t="s">
        <v>888</v>
      </c>
      <c r="G5" s="40"/>
      <c r="H5" s="40"/>
      <c r="I5" s="40"/>
      <c r="J5" s="40"/>
    </row>
    <row r="6" spans="1:10" x14ac:dyDescent="0.25">
      <c r="A6" s="42" t="s">
        <v>51</v>
      </c>
      <c r="B6" s="42" t="s">
        <v>889</v>
      </c>
      <c r="C6" s="43" t="s">
        <v>890</v>
      </c>
      <c r="D6" s="43" t="s">
        <v>891</v>
      </c>
      <c r="E6" s="42" t="s">
        <v>55</v>
      </c>
      <c r="F6" s="42" t="s">
        <v>891</v>
      </c>
      <c r="G6" s="42" t="s">
        <v>57</v>
      </c>
      <c r="H6" s="42" t="s">
        <v>891</v>
      </c>
      <c r="I6" s="42" t="s">
        <v>58</v>
      </c>
      <c r="J6" s="42" t="s">
        <v>892</v>
      </c>
    </row>
    <row r="7" spans="1:10" x14ac:dyDescent="0.25">
      <c r="A7" s="42" t="s">
        <v>59</v>
      </c>
      <c r="B7" s="42" t="s">
        <v>893</v>
      </c>
      <c r="C7" s="42" t="s">
        <v>61</v>
      </c>
      <c r="D7" s="42" t="s">
        <v>56</v>
      </c>
      <c r="E7" s="42" t="s">
        <v>62</v>
      </c>
      <c r="F7" s="42" t="s">
        <v>891</v>
      </c>
      <c r="G7" s="42" t="s">
        <v>63</v>
      </c>
      <c r="H7" s="42" t="s">
        <v>891</v>
      </c>
      <c r="I7" s="42" t="s">
        <v>64</v>
      </c>
      <c r="J7" s="42" t="s">
        <v>894</v>
      </c>
    </row>
    <row r="8" spans="1:10" x14ac:dyDescent="0.25">
      <c r="A8" s="42" t="s">
        <v>65</v>
      </c>
      <c r="B8" s="42" t="s">
        <v>895</v>
      </c>
      <c r="C8" s="42" t="s">
        <v>67</v>
      </c>
      <c r="D8" s="42" t="s">
        <v>891</v>
      </c>
      <c r="E8" s="42" t="s">
        <v>69</v>
      </c>
      <c r="F8" s="42" t="s">
        <v>891</v>
      </c>
      <c r="G8" s="42" t="s">
        <v>70</v>
      </c>
      <c r="H8" s="42" t="s">
        <v>891</v>
      </c>
      <c r="I8" s="42" t="s">
        <v>71</v>
      </c>
      <c r="J8" s="42" t="s">
        <v>663</v>
      </c>
    </row>
    <row r="9" spans="1:10" x14ac:dyDescent="0.25">
      <c r="A9" s="42" t="s">
        <v>73</v>
      </c>
      <c r="B9" s="42" t="s">
        <v>893</v>
      </c>
      <c r="C9" s="42" t="s">
        <v>75</v>
      </c>
      <c r="D9" s="42" t="s">
        <v>56</v>
      </c>
      <c r="E9" s="42" t="s">
        <v>76</v>
      </c>
      <c r="F9" s="42" t="s">
        <v>896</v>
      </c>
      <c r="G9" s="42" t="s">
        <v>77</v>
      </c>
      <c r="H9" s="42" t="s">
        <v>891</v>
      </c>
      <c r="I9" s="42" t="s">
        <v>78</v>
      </c>
      <c r="J9" s="42" t="s">
        <v>897</v>
      </c>
    </row>
    <row r="10" spans="1:10" x14ac:dyDescent="0.25">
      <c r="A10" s="40"/>
      <c r="B10" s="40"/>
      <c r="C10" s="40"/>
      <c r="D10" s="40"/>
      <c r="E10" s="40"/>
      <c r="F10" s="40"/>
      <c r="G10" s="40"/>
      <c r="H10" s="40"/>
      <c r="I10" s="40"/>
      <c r="J10" s="40"/>
    </row>
    <row r="11" spans="1:10" x14ac:dyDescent="0.25">
      <c r="A11" s="43" t="s">
        <v>56</v>
      </c>
      <c r="B11" s="40"/>
      <c r="C11" s="40"/>
      <c r="D11" s="40"/>
      <c r="E11" s="40"/>
      <c r="F11" s="40"/>
      <c r="G11" s="40"/>
      <c r="H11" s="40"/>
      <c r="I11" s="40"/>
      <c r="J11" s="40"/>
    </row>
    <row r="12" spans="1:10" x14ac:dyDescent="0.25">
      <c r="A12" s="43" t="s">
        <v>80</v>
      </c>
      <c r="B12" s="43" t="s">
        <v>898</v>
      </c>
      <c r="C12" s="40"/>
      <c r="D12" s="40"/>
      <c r="E12" s="40"/>
      <c r="F12" s="40"/>
      <c r="G12" s="40"/>
      <c r="H12" s="40"/>
      <c r="I12" s="40"/>
      <c r="J12" s="40"/>
    </row>
    <row r="13" spans="1:10" x14ac:dyDescent="0.25">
      <c r="A13" s="43" t="s">
        <v>82</v>
      </c>
      <c r="B13" s="43" t="s">
        <v>83</v>
      </c>
      <c r="C13" s="43" t="str">
        <f>_xll.RDP.HistoricalPricing($B$19:$E$19,"VALUE"," START:19-Jun-2013 END:15-Jun-2023 INTERVAL:P1M SOURCE:RFV",,"TSREPEAT:NO RH:TimeStamp",$A$20)</f>
        <v>Updated at 17:14:53</v>
      </c>
      <c r="D13" s="40"/>
      <c r="E13" s="40"/>
      <c r="F13" s="40"/>
      <c r="G13" s="40"/>
      <c r="H13" s="40"/>
      <c r="I13" s="40"/>
      <c r="J13" s="40"/>
    </row>
    <row r="14" spans="1:10" x14ac:dyDescent="0.25">
      <c r="A14" s="43" t="s">
        <v>84</v>
      </c>
      <c r="B14" s="43" t="s">
        <v>85</v>
      </c>
      <c r="C14" s="40"/>
      <c r="D14" s="40"/>
      <c r="E14" s="40"/>
      <c r="F14" s="40"/>
      <c r="G14" s="40"/>
      <c r="H14" s="40"/>
      <c r="I14" s="40"/>
      <c r="J14" s="40"/>
    </row>
    <row r="15" spans="1:10" x14ac:dyDescent="0.25">
      <c r="A15" s="43" t="s">
        <v>56</v>
      </c>
      <c r="B15" s="40"/>
      <c r="C15" s="40"/>
      <c r="D15" s="40"/>
      <c r="E15" s="40"/>
      <c r="F15" s="40"/>
      <c r="G15" s="40"/>
      <c r="H15" s="40"/>
      <c r="I15" s="40"/>
      <c r="J15" s="40"/>
    </row>
    <row r="16" spans="1:10" x14ac:dyDescent="0.25">
      <c r="A16" s="43" t="s">
        <v>56</v>
      </c>
      <c r="B16" s="40"/>
      <c r="C16" s="40"/>
      <c r="D16" s="40"/>
      <c r="E16" s="40"/>
      <c r="F16" s="40"/>
      <c r="G16" s="40"/>
      <c r="H16" s="40"/>
      <c r="I16" s="40"/>
      <c r="J16" s="40"/>
    </row>
    <row r="17" spans="1:10" x14ac:dyDescent="0.25">
      <c r="A17" s="197" t="s">
        <v>33</v>
      </c>
      <c r="B17" s="199" t="s">
        <v>86</v>
      </c>
      <c r="C17" s="198" t="s">
        <v>87</v>
      </c>
      <c r="D17" s="197" t="s">
        <v>87</v>
      </c>
      <c r="E17" s="197" t="s">
        <v>87</v>
      </c>
      <c r="F17" s="40"/>
      <c r="G17" s="40"/>
      <c r="H17" s="40"/>
      <c r="I17" s="40"/>
      <c r="J17" s="40"/>
    </row>
    <row r="18" spans="1:10" x14ac:dyDescent="0.25">
      <c r="A18" s="197" t="s">
        <v>33</v>
      </c>
      <c r="B18" s="199" t="s">
        <v>86</v>
      </c>
      <c r="C18" s="44" t="s">
        <v>88</v>
      </c>
      <c r="D18" s="45" t="s">
        <v>27</v>
      </c>
      <c r="E18" s="45" t="s">
        <v>23</v>
      </c>
      <c r="F18" s="40"/>
      <c r="G18" s="196" t="s">
        <v>33</v>
      </c>
      <c r="H18" s="198" t="s">
        <v>94</v>
      </c>
      <c r="I18" s="199" t="s">
        <v>94</v>
      </c>
      <c r="J18" s="40"/>
    </row>
    <row r="19" spans="1:10" x14ac:dyDescent="0.25">
      <c r="A19" s="197" t="s">
        <v>33</v>
      </c>
      <c r="B19" s="46" t="s">
        <v>899</v>
      </c>
      <c r="C19" s="44" t="s">
        <v>900</v>
      </c>
      <c r="D19" s="45" t="s">
        <v>901</v>
      </c>
      <c r="E19" s="45" t="s">
        <v>902</v>
      </c>
      <c r="F19" s="40"/>
      <c r="G19" s="197" t="s">
        <v>33</v>
      </c>
      <c r="H19" s="45" t="s">
        <v>95</v>
      </c>
      <c r="I19" s="46" t="s">
        <v>96</v>
      </c>
      <c r="J19" s="40"/>
    </row>
    <row r="20" spans="1:10" x14ac:dyDescent="0.25">
      <c r="A20" s="47">
        <v>45107</v>
      </c>
      <c r="B20" s="40">
        <v>5.125</v>
      </c>
      <c r="C20" s="40">
        <v>5.125</v>
      </c>
      <c r="D20" s="40">
        <v>5.125</v>
      </c>
      <c r="E20" s="40">
        <v>5.375</v>
      </c>
      <c r="F20" s="40"/>
      <c r="G20" s="42" t="s">
        <v>893</v>
      </c>
      <c r="H20" s="152" t="s">
        <v>903</v>
      </c>
      <c r="I20" s="153" t="s">
        <v>904</v>
      </c>
      <c r="J20" s="40">
        <f>+I20-B20%</f>
        <v>0</v>
      </c>
    </row>
    <row r="21" spans="1:10" x14ac:dyDescent="0.25">
      <c r="A21" s="47">
        <v>45077</v>
      </c>
      <c r="B21" s="40">
        <v>5.125</v>
      </c>
      <c r="C21" s="40">
        <v>5.125</v>
      </c>
      <c r="D21" s="40">
        <v>4.875</v>
      </c>
      <c r="E21" s="40">
        <v>5.125</v>
      </c>
      <c r="F21" s="40"/>
      <c r="G21" s="42" t="s">
        <v>905</v>
      </c>
      <c r="H21" s="152" t="s">
        <v>906</v>
      </c>
      <c r="I21" s="153" t="s">
        <v>904</v>
      </c>
      <c r="J21" s="40">
        <f t="shared" ref="J21:J84" si="0">+I21-B21%</f>
        <v>0</v>
      </c>
    </row>
    <row r="22" spans="1:10" x14ac:dyDescent="0.25">
      <c r="A22" s="47">
        <v>45016</v>
      </c>
      <c r="B22" s="40">
        <v>4.875</v>
      </c>
      <c r="C22" s="40">
        <v>4.875</v>
      </c>
      <c r="D22" s="40">
        <v>4.375</v>
      </c>
      <c r="E22" s="40">
        <v>4.875</v>
      </c>
      <c r="F22" s="40"/>
      <c r="G22" s="42" t="s">
        <v>907</v>
      </c>
      <c r="H22" s="152" t="s">
        <v>908</v>
      </c>
      <c r="I22" s="153" t="s">
        <v>909</v>
      </c>
      <c r="J22" s="40">
        <f t="shared" si="0"/>
        <v>0</v>
      </c>
    </row>
    <row r="23" spans="1:10" x14ac:dyDescent="0.25">
      <c r="A23" s="47">
        <v>44985</v>
      </c>
      <c r="B23" s="40">
        <v>4.625</v>
      </c>
      <c r="C23" s="40">
        <v>4.625</v>
      </c>
      <c r="D23" s="40">
        <v>4.625</v>
      </c>
      <c r="E23" s="40">
        <v>4.875</v>
      </c>
      <c r="F23" s="40"/>
      <c r="G23" s="42" t="s">
        <v>910</v>
      </c>
      <c r="H23" s="152" t="s">
        <v>911</v>
      </c>
      <c r="I23" s="153" t="s">
        <v>912</v>
      </c>
      <c r="J23" s="40">
        <f t="shared" si="0"/>
        <v>0</v>
      </c>
    </row>
    <row r="24" spans="1:10" x14ac:dyDescent="0.25">
      <c r="A24" s="47">
        <v>44926</v>
      </c>
      <c r="B24" s="40">
        <v>4.375</v>
      </c>
      <c r="C24" s="40">
        <v>4.375</v>
      </c>
      <c r="D24" s="40">
        <v>4.375</v>
      </c>
      <c r="E24" s="40">
        <v>4.375</v>
      </c>
      <c r="F24" s="40"/>
      <c r="G24" s="42" t="s">
        <v>913</v>
      </c>
      <c r="H24" s="152" t="s">
        <v>914</v>
      </c>
      <c r="I24" s="153" t="s">
        <v>915</v>
      </c>
      <c r="J24" s="40">
        <f t="shared" si="0"/>
        <v>0</v>
      </c>
    </row>
    <row r="25" spans="1:10" x14ac:dyDescent="0.25">
      <c r="A25" s="47">
        <v>44895</v>
      </c>
      <c r="B25" s="40">
        <v>3.875</v>
      </c>
      <c r="C25" s="40">
        <v>3.875</v>
      </c>
      <c r="D25" s="40">
        <v>3.625</v>
      </c>
      <c r="E25" s="40">
        <v>3.875</v>
      </c>
      <c r="F25" s="40"/>
      <c r="G25" s="42" t="s">
        <v>916</v>
      </c>
      <c r="H25" s="152" t="s">
        <v>917</v>
      </c>
      <c r="I25" s="153" t="s">
        <v>918</v>
      </c>
      <c r="J25" s="40">
        <f t="shared" si="0"/>
        <v>0</v>
      </c>
    </row>
    <row r="26" spans="1:10" x14ac:dyDescent="0.25">
      <c r="A26" s="47">
        <v>44834</v>
      </c>
      <c r="B26" s="40">
        <v>3.125</v>
      </c>
      <c r="C26" s="40">
        <v>3.125</v>
      </c>
      <c r="D26" s="40">
        <v>3.125</v>
      </c>
      <c r="E26" s="40">
        <v>3.375</v>
      </c>
      <c r="F26" s="40"/>
      <c r="G26" s="42" t="s">
        <v>919</v>
      </c>
      <c r="H26" s="152" t="s">
        <v>920</v>
      </c>
      <c r="I26" s="153" t="s">
        <v>921</v>
      </c>
      <c r="J26" s="40">
        <f t="shared" si="0"/>
        <v>0</v>
      </c>
    </row>
    <row r="27" spans="1:10" x14ac:dyDescent="0.25">
      <c r="A27" s="47">
        <v>44773</v>
      </c>
      <c r="B27" s="40">
        <v>2.375</v>
      </c>
      <c r="C27" s="40">
        <v>2.375</v>
      </c>
      <c r="D27" s="40">
        <v>2.375</v>
      </c>
      <c r="E27" s="40">
        <v>2.625</v>
      </c>
      <c r="F27" s="40"/>
      <c r="G27" s="42" t="s">
        <v>922</v>
      </c>
      <c r="H27" s="152" t="s">
        <v>923</v>
      </c>
      <c r="I27" s="153" t="s">
        <v>924</v>
      </c>
      <c r="J27" s="40">
        <f t="shared" si="0"/>
        <v>0</v>
      </c>
    </row>
    <row r="28" spans="1:10" x14ac:dyDescent="0.25">
      <c r="A28" s="47">
        <v>44742</v>
      </c>
      <c r="B28" s="40">
        <v>1.625</v>
      </c>
      <c r="C28" s="40">
        <v>1.375</v>
      </c>
      <c r="D28" s="40">
        <v>1.375</v>
      </c>
      <c r="E28" s="40">
        <v>1.375</v>
      </c>
      <c r="F28" s="40"/>
      <c r="G28" s="42" t="s">
        <v>925</v>
      </c>
      <c r="H28" s="152" t="s">
        <v>926</v>
      </c>
      <c r="I28" s="153" t="s">
        <v>927</v>
      </c>
      <c r="J28" s="40">
        <f t="shared" si="0"/>
        <v>0</v>
      </c>
    </row>
    <row r="29" spans="1:10" x14ac:dyDescent="0.25">
      <c r="A29" s="47">
        <v>44712</v>
      </c>
      <c r="B29" s="40">
        <v>0.875</v>
      </c>
      <c r="C29" s="40">
        <v>0.875</v>
      </c>
      <c r="D29" s="40">
        <v>0.875</v>
      </c>
      <c r="E29" s="40">
        <v>0.875</v>
      </c>
      <c r="F29" s="40"/>
      <c r="G29" s="42" t="s">
        <v>928</v>
      </c>
      <c r="H29" s="152" t="s">
        <v>929</v>
      </c>
      <c r="I29" s="153" t="s">
        <v>930</v>
      </c>
      <c r="J29" s="40">
        <f t="shared" si="0"/>
        <v>0</v>
      </c>
    </row>
    <row r="30" spans="1:10" x14ac:dyDescent="0.25">
      <c r="A30" s="47">
        <v>44651</v>
      </c>
      <c r="B30" s="40">
        <v>0.375</v>
      </c>
      <c r="C30" s="40">
        <v>0.375</v>
      </c>
      <c r="D30" s="40">
        <v>0.375</v>
      </c>
      <c r="E30" s="40">
        <v>0.375</v>
      </c>
      <c r="F30" s="40"/>
      <c r="G30" s="42" t="s">
        <v>931</v>
      </c>
      <c r="H30" s="152" t="s">
        <v>932</v>
      </c>
      <c r="I30" s="153" t="s">
        <v>933</v>
      </c>
      <c r="J30" s="40">
        <f t="shared" si="0"/>
        <v>0</v>
      </c>
    </row>
    <row r="31" spans="1:10" x14ac:dyDescent="0.25">
      <c r="A31" s="47">
        <v>44592</v>
      </c>
      <c r="B31" s="40">
        <v>0.125</v>
      </c>
      <c r="C31" s="40">
        <v>0.125</v>
      </c>
      <c r="D31" s="40">
        <v>0.125</v>
      </c>
      <c r="E31" s="40">
        <v>0.125</v>
      </c>
      <c r="F31" s="40"/>
      <c r="G31" s="42" t="s">
        <v>934</v>
      </c>
      <c r="H31" s="152" t="s">
        <v>935</v>
      </c>
      <c r="I31" s="153" t="s">
        <v>936</v>
      </c>
      <c r="J31" s="40">
        <f t="shared" si="0"/>
        <v>0</v>
      </c>
    </row>
    <row r="32" spans="1:10" x14ac:dyDescent="0.25">
      <c r="A32" s="47">
        <v>44561</v>
      </c>
      <c r="B32" s="40">
        <v>0.125</v>
      </c>
      <c r="C32" s="40">
        <v>0.125</v>
      </c>
      <c r="D32" s="40">
        <v>0.125</v>
      </c>
      <c r="E32" s="40">
        <v>0.125</v>
      </c>
      <c r="F32" s="40"/>
      <c r="G32" s="42" t="s">
        <v>937</v>
      </c>
      <c r="H32" s="152" t="s">
        <v>938</v>
      </c>
      <c r="I32" s="153" t="s">
        <v>936</v>
      </c>
      <c r="J32" s="40">
        <f t="shared" si="0"/>
        <v>0</v>
      </c>
    </row>
    <row r="33" spans="1:10" x14ac:dyDescent="0.25">
      <c r="A33" s="47">
        <v>44530</v>
      </c>
      <c r="B33" s="40">
        <v>0.125</v>
      </c>
      <c r="C33" s="40">
        <v>0.125</v>
      </c>
      <c r="D33" s="40">
        <v>0.125</v>
      </c>
      <c r="E33" s="40">
        <v>0.125</v>
      </c>
      <c r="F33" s="40"/>
      <c r="G33" s="42" t="s">
        <v>939</v>
      </c>
      <c r="H33" s="152" t="s">
        <v>940</v>
      </c>
      <c r="I33" s="153" t="s">
        <v>936</v>
      </c>
      <c r="J33" s="40">
        <f t="shared" si="0"/>
        <v>0</v>
      </c>
    </row>
    <row r="34" spans="1:10" x14ac:dyDescent="0.25">
      <c r="A34" s="47">
        <v>44469</v>
      </c>
      <c r="B34" s="40">
        <v>0.125</v>
      </c>
      <c r="C34" s="40">
        <v>0.125</v>
      </c>
      <c r="D34" s="40">
        <v>0.125</v>
      </c>
      <c r="E34" s="40">
        <v>0.125</v>
      </c>
      <c r="F34" s="40"/>
      <c r="G34" s="42" t="s">
        <v>941</v>
      </c>
      <c r="H34" s="152" t="s">
        <v>942</v>
      </c>
      <c r="I34" s="153" t="s">
        <v>936</v>
      </c>
      <c r="J34" s="40">
        <f t="shared" si="0"/>
        <v>0</v>
      </c>
    </row>
    <row r="35" spans="1:10" x14ac:dyDescent="0.25">
      <c r="A35" s="47">
        <v>44408</v>
      </c>
      <c r="B35" s="40">
        <v>0.125</v>
      </c>
      <c r="C35" s="40">
        <v>0.125</v>
      </c>
      <c r="D35" s="40">
        <v>0.125</v>
      </c>
      <c r="E35" s="40">
        <v>0.125</v>
      </c>
      <c r="F35" s="40"/>
      <c r="G35" s="42" t="s">
        <v>943</v>
      </c>
      <c r="H35" s="152" t="s">
        <v>944</v>
      </c>
      <c r="I35" s="153" t="s">
        <v>936</v>
      </c>
      <c r="J35" s="40">
        <f t="shared" si="0"/>
        <v>0</v>
      </c>
    </row>
    <row r="36" spans="1:10" x14ac:dyDescent="0.25">
      <c r="A36" s="47">
        <v>44377</v>
      </c>
      <c r="B36" s="40">
        <v>0.125</v>
      </c>
      <c r="C36" s="40">
        <v>0.125</v>
      </c>
      <c r="D36" s="40">
        <v>0.125</v>
      </c>
      <c r="E36" s="40">
        <v>0.125</v>
      </c>
      <c r="F36" s="40"/>
      <c r="G36" s="42" t="s">
        <v>945</v>
      </c>
      <c r="H36" s="152" t="s">
        <v>946</v>
      </c>
      <c r="I36" s="153" t="s">
        <v>936</v>
      </c>
      <c r="J36" s="40">
        <f t="shared" si="0"/>
        <v>0</v>
      </c>
    </row>
    <row r="37" spans="1:10" x14ac:dyDescent="0.25">
      <c r="A37" s="47">
        <v>44316</v>
      </c>
      <c r="B37" s="40">
        <v>0.125</v>
      </c>
      <c r="C37" s="40">
        <v>0.125</v>
      </c>
      <c r="D37" s="40">
        <v>0.125</v>
      </c>
      <c r="E37" s="40">
        <v>0.125</v>
      </c>
      <c r="F37" s="40"/>
      <c r="G37" s="42" t="s">
        <v>947</v>
      </c>
      <c r="H37" s="152" t="s">
        <v>948</v>
      </c>
      <c r="I37" s="153" t="s">
        <v>936</v>
      </c>
      <c r="J37" s="40">
        <f t="shared" si="0"/>
        <v>0</v>
      </c>
    </row>
    <row r="38" spans="1:10" x14ac:dyDescent="0.25">
      <c r="A38" s="47">
        <v>44286</v>
      </c>
      <c r="B38" s="40">
        <v>0.125</v>
      </c>
      <c r="C38" s="40">
        <v>0.125</v>
      </c>
      <c r="D38" s="40">
        <v>0.125</v>
      </c>
      <c r="E38" s="40">
        <v>0.125</v>
      </c>
      <c r="F38" s="40"/>
      <c r="G38" s="42" t="s">
        <v>949</v>
      </c>
      <c r="H38" s="152" t="s">
        <v>950</v>
      </c>
      <c r="I38" s="153" t="s">
        <v>936</v>
      </c>
      <c r="J38" s="40">
        <f t="shared" si="0"/>
        <v>0</v>
      </c>
    </row>
    <row r="39" spans="1:10" x14ac:dyDescent="0.25">
      <c r="A39" s="47">
        <v>44227</v>
      </c>
      <c r="B39" s="40">
        <v>0.125</v>
      </c>
      <c r="C39" s="40">
        <v>0.125</v>
      </c>
      <c r="D39" s="40">
        <v>0.125</v>
      </c>
      <c r="E39" s="40">
        <v>0.125</v>
      </c>
      <c r="F39" s="40"/>
      <c r="G39" s="42" t="s">
        <v>951</v>
      </c>
      <c r="H39" s="152" t="s">
        <v>952</v>
      </c>
      <c r="I39" s="153" t="s">
        <v>936</v>
      </c>
      <c r="J39" s="40">
        <f t="shared" si="0"/>
        <v>0</v>
      </c>
    </row>
    <row r="40" spans="1:10" x14ac:dyDescent="0.25">
      <c r="A40" s="47">
        <v>44196</v>
      </c>
      <c r="B40" s="40">
        <v>0.125</v>
      </c>
      <c r="C40" s="40">
        <v>0.125</v>
      </c>
      <c r="D40" s="40">
        <v>0.125</v>
      </c>
      <c r="E40" s="40">
        <v>0.125</v>
      </c>
      <c r="F40" s="40"/>
      <c r="G40" s="42" t="s">
        <v>953</v>
      </c>
      <c r="H40" s="152" t="s">
        <v>954</v>
      </c>
      <c r="I40" s="153" t="s">
        <v>936</v>
      </c>
      <c r="J40" s="40">
        <f t="shared" si="0"/>
        <v>0</v>
      </c>
    </row>
    <row r="41" spans="1:10" x14ac:dyDescent="0.25">
      <c r="A41" s="47">
        <v>44165</v>
      </c>
      <c r="B41" s="40">
        <v>0.125</v>
      </c>
      <c r="C41" s="40">
        <v>0.125</v>
      </c>
      <c r="D41" s="40">
        <v>0.125</v>
      </c>
      <c r="E41" s="40">
        <v>0.125</v>
      </c>
      <c r="F41" s="40"/>
      <c r="G41" s="42" t="s">
        <v>955</v>
      </c>
      <c r="H41" s="152" t="s">
        <v>956</v>
      </c>
      <c r="I41" s="153" t="s">
        <v>936</v>
      </c>
      <c r="J41" s="40">
        <f t="shared" si="0"/>
        <v>0</v>
      </c>
    </row>
    <row r="42" spans="1:10" x14ac:dyDescent="0.25">
      <c r="A42" s="47">
        <v>44104</v>
      </c>
      <c r="B42" s="40">
        <v>0.125</v>
      </c>
      <c r="C42" s="40">
        <v>0.125</v>
      </c>
      <c r="D42" s="40">
        <v>0.125</v>
      </c>
      <c r="E42" s="40">
        <v>0.125</v>
      </c>
      <c r="F42" s="40"/>
      <c r="G42" s="42" t="s">
        <v>957</v>
      </c>
      <c r="H42" s="152" t="s">
        <v>958</v>
      </c>
      <c r="I42" s="153" t="s">
        <v>936</v>
      </c>
      <c r="J42" s="40">
        <f t="shared" si="0"/>
        <v>0</v>
      </c>
    </row>
    <row r="43" spans="1:10" x14ac:dyDescent="0.25">
      <c r="A43" s="47">
        <v>44043</v>
      </c>
      <c r="B43" s="40">
        <v>0.125</v>
      </c>
      <c r="C43" s="40">
        <v>0.125</v>
      </c>
      <c r="D43" s="40">
        <v>0.125</v>
      </c>
      <c r="E43" s="40">
        <v>0.125</v>
      </c>
      <c r="F43" s="40"/>
      <c r="G43" s="42" t="s">
        <v>959</v>
      </c>
      <c r="H43" s="152" t="s">
        <v>960</v>
      </c>
      <c r="I43" s="153" t="s">
        <v>936</v>
      </c>
      <c r="J43" s="40">
        <f t="shared" si="0"/>
        <v>0</v>
      </c>
    </row>
    <row r="44" spans="1:10" x14ac:dyDescent="0.25">
      <c r="A44" s="47">
        <v>44012</v>
      </c>
      <c r="B44" s="40">
        <v>0.125</v>
      </c>
      <c r="C44" s="40"/>
      <c r="D44" s="40"/>
      <c r="E44" s="40"/>
      <c r="F44" s="40"/>
      <c r="G44" s="42" t="s">
        <v>961</v>
      </c>
      <c r="H44" s="152" t="s">
        <v>962</v>
      </c>
      <c r="I44" s="153" t="s">
        <v>936</v>
      </c>
      <c r="J44" s="40">
        <f t="shared" si="0"/>
        <v>0</v>
      </c>
    </row>
    <row r="45" spans="1:10" x14ac:dyDescent="0.25">
      <c r="A45" s="47">
        <v>43951</v>
      </c>
      <c r="B45" s="40">
        <v>0.125</v>
      </c>
      <c r="C45" s="40">
        <v>0.125</v>
      </c>
      <c r="D45" s="40">
        <v>0.125</v>
      </c>
      <c r="E45" s="40">
        <v>0.125</v>
      </c>
      <c r="F45" s="40"/>
      <c r="G45" s="42" t="s">
        <v>963</v>
      </c>
      <c r="H45" s="152" t="s">
        <v>964</v>
      </c>
      <c r="I45" s="153" t="s">
        <v>936</v>
      </c>
      <c r="J45" s="40">
        <f t="shared" si="0"/>
        <v>0</v>
      </c>
    </row>
    <row r="46" spans="1:10" x14ac:dyDescent="0.25">
      <c r="A46" s="47">
        <v>43921</v>
      </c>
      <c r="B46" s="40">
        <v>0.625</v>
      </c>
      <c r="C46" s="40">
        <v>0.875</v>
      </c>
      <c r="D46" s="40">
        <v>0.625</v>
      </c>
      <c r="E46" s="40">
        <v>1.125</v>
      </c>
      <c r="F46" s="40"/>
      <c r="G46" s="42" t="s">
        <v>965</v>
      </c>
      <c r="H46" s="152" t="s">
        <v>966</v>
      </c>
      <c r="I46" s="153" t="s">
        <v>936</v>
      </c>
      <c r="J46" s="40">
        <f t="shared" si="0"/>
        <v>-5.0000000000000001E-3</v>
      </c>
    </row>
    <row r="47" spans="1:10" x14ac:dyDescent="0.25">
      <c r="A47" s="47">
        <v>43861</v>
      </c>
      <c r="B47" s="40">
        <v>1.625</v>
      </c>
      <c r="C47" s="40">
        <v>1.625</v>
      </c>
      <c r="D47" s="40">
        <v>1.625</v>
      </c>
      <c r="E47" s="40">
        <v>1.625</v>
      </c>
      <c r="F47" s="40"/>
      <c r="G47" s="42" t="s">
        <v>967</v>
      </c>
      <c r="H47" s="152" t="s">
        <v>968</v>
      </c>
      <c r="I47" s="153" t="s">
        <v>969</v>
      </c>
      <c r="J47" s="40">
        <f t="shared" si="0"/>
        <v>-5.000000000000001E-3</v>
      </c>
    </row>
    <row r="48" spans="1:10" x14ac:dyDescent="0.25">
      <c r="A48" s="47">
        <v>43830</v>
      </c>
      <c r="B48" s="40">
        <v>1.625</v>
      </c>
      <c r="C48" s="40">
        <v>1.625</v>
      </c>
      <c r="D48" s="40">
        <v>1.625</v>
      </c>
      <c r="E48" s="40">
        <v>1.625</v>
      </c>
      <c r="F48" s="40"/>
      <c r="G48" s="42" t="s">
        <v>970</v>
      </c>
      <c r="H48" s="152" t="s">
        <v>971</v>
      </c>
      <c r="I48" s="153" t="s">
        <v>927</v>
      </c>
      <c r="J48" s="40">
        <f t="shared" si="0"/>
        <v>0</v>
      </c>
    </row>
    <row r="49" spans="1:10" x14ac:dyDescent="0.25">
      <c r="A49" s="47">
        <v>43769</v>
      </c>
      <c r="B49" s="40">
        <v>1.625</v>
      </c>
      <c r="C49" s="40">
        <v>1.625</v>
      </c>
      <c r="D49" s="40">
        <v>1.625</v>
      </c>
      <c r="E49" s="40">
        <v>1.875</v>
      </c>
      <c r="F49" s="40"/>
      <c r="G49" s="42" t="s">
        <v>972</v>
      </c>
      <c r="H49" s="152" t="s">
        <v>973</v>
      </c>
      <c r="I49" s="153" t="s">
        <v>927</v>
      </c>
      <c r="J49" s="40">
        <f t="shared" si="0"/>
        <v>0</v>
      </c>
    </row>
    <row r="50" spans="1:10" x14ac:dyDescent="0.25">
      <c r="A50" s="47">
        <v>43738</v>
      </c>
      <c r="B50" s="40">
        <v>1.875</v>
      </c>
      <c r="C50" s="40">
        <v>1.875</v>
      </c>
      <c r="D50" s="40">
        <v>1.875</v>
      </c>
      <c r="E50" s="40">
        <v>2.125</v>
      </c>
      <c r="F50" s="40"/>
      <c r="G50" s="42" t="s">
        <v>974</v>
      </c>
      <c r="H50" s="152" t="s">
        <v>975</v>
      </c>
      <c r="I50" s="153" t="s">
        <v>927</v>
      </c>
      <c r="J50" s="40">
        <f t="shared" si="0"/>
        <v>-2.4999999999999988E-3</v>
      </c>
    </row>
    <row r="51" spans="1:10" x14ac:dyDescent="0.25">
      <c r="A51" s="47">
        <v>43708</v>
      </c>
      <c r="B51" s="40">
        <v>2.125</v>
      </c>
      <c r="C51" s="40"/>
      <c r="D51" s="40"/>
      <c r="E51" s="40"/>
      <c r="F51" s="40"/>
      <c r="G51" s="42" t="s">
        <v>976</v>
      </c>
      <c r="H51" s="152" t="s">
        <v>977</v>
      </c>
      <c r="I51" s="153" t="s">
        <v>978</v>
      </c>
      <c r="J51" s="40">
        <f t="shared" si="0"/>
        <v>-2.5000000000000022E-3</v>
      </c>
    </row>
    <row r="52" spans="1:10" x14ac:dyDescent="0.25">
      <c r="A52" s="47">
        <v>43677</v>
      </c>
      <c r="B52" s="40"/>
      <c r="C52" s="40">
        <v>2.125</v>
      </c>
      <c r="D52" s="40">
        <v>1.875</v>
      </c>
      <c r="E52" s="40">
        <v>2.375</v>
      </c>
      <c r="F52" s="40"/>
      <c r="G52" s="42" t="s">
        <v>979</v>
      </c>
      <c r="H52" s="152" t="s">
        <v>980</v>
      </c>
      <c r="I52" s="153" t="s">
        <v>981</v>
      </c>
      <c r="J52" s="40">
        <f t="shared" si="0"/>
        <v>2.1250000000000002E-2</v>
      </c>
    </row>
    <row r="53" spans="1:10" x14ac:dyDescent="0.25">
      <c r="A53" s="47">
        <v>43646</v>
      </c>
      <c r="B53" s="40">
        <v>2.375</v>
      </c>
      <c r="C53" s="40">
        <v>2.375</v>
      </c>
      <c r="D53" s="40">
        <v>2.125</v>
      </c>
      <c r="E53" s="40">
        <v>2.375</v>
      </c>
      <c r="F53" s="40"/>
      <c r="G53" s="42" t="s">
        <v>982</v>
      </c>
      <c r="H53" s="152" t="s">
        <v>983</v>
      </c>
      <c r="I53" s="153" t="s">
        <v>924</v>
      </c>
      <c r="J53" s="40">
        <f t="shared" si="0"/>
        <v>0</v>
      </c>
    </row>
    <row r="54" spans="1:10" x14ac:dyDescent="0.25">
      <c r="A54" s="47">
        <v>43616</v>
      </c>
      <c r="B54" s="40">
        <v>2.375</v>
      </c>
      <c r="C54" s="40">
        <v>2.375</v>
      </c>
      <c r="D54" s="40">
        <v>2.375</v>
      </c>
      <c r="E54" s="40">
        <v>2.375</v>
      </c>
      <c r="F54" s="40"/>
      <c r="G54" s="42" t="s">
        <v>984</v>
      </c>
      <c r="H54" s="152" t="s">
        <v>985</v>
      </c>
      <c r="I54" s="153" t="s">
        <v>924</v>
      </c>
      <c r="J54" s="40">
        <f t="shared" si="0"/>
        <v>0</v>
      </c>
    </row>
    <row r="55" spans="1:10" x14ac:dyDescent="0.25">
      <c r="A55" s="47">
        <v>43555</v>
      </c>
      <c r="B55" s="40">
        <v>2.375</v>
      </c>
      <c r="C55" s="40">
        <v>2.375</v>
      </c>
      <c r="D55" s="40">
        <v>2.375</v>
      </c>
      <c r="E55" s="40">
        <v>2.375</v>
      </c>
      <c r="F55" s="40"/>
      <c r="G55" s="42" t="s">
        <v>986</v>
      </c>
      <c r="H55" s="152" t="s">
        <v>987</v>
      </c>
      <c r="I55" s="153" t="s">
        <v>924</v>
      </c>
      <c r="J55" s="40">
        <f t="shared" si="0"/>
        <v>0</v>
      </c>
    </row>
    <row r="56" spans="1:10" x14ac:dyDescent="0.25">
      <c r="A56" s="47">
        <v>43496</v>
      </c>
      <c r="B56" s="40">
        <v>2.375</v>
      </c>
      <c r="C56" s="40">
        <v>2.375</v>
      </c>
      <c r="D56" s="40">
        <v>2.375</v>
      </c>
      <c r="E56" s="40">
        <v>2.375</v>
      </c>
      <c r="F56" s="40"/>
      <c r="G56" s="42" t="s">
        <v>988</v>
      </c>
      <c r="H56" s="152" t="s">
        <v>989</v>
      </c>
      <c r="I56" s="153" t="s">
        <v>924</v>
      </c>
      <c r="J56" s="40">
        <f t="shared" si="0"/>
        <v>0</v>
      </c>
    </row>
    <row r="57" spans="1:10" x14ac:dyDescent="0.25">
      <c r="A57" s="47">
        <v>43465</v>
      </c>
      <c r="B57" s="40">
        <v>2.375</v>
      </c>
      <c r="C57" s="40">
        <v>2.375</v>
      </c>
      <c r="D57" s="40">
        <v>2.375</v>
      </c>
      <c r="E57" s="40">
        <v>2.375</v>
      </c>
      <c r="F57" s="40"/>
      <c r="G57" s="42" t="s">
        <v>990</v>
      </c>
      <c r="H57" s="152" t="s">
        <v>991</v>
      </c>
      <c r="I57" s="153" t="s">
        <v>924</v>
      </c>
      <c r="J57" s="40">
        <f t="shared" si="0"/>
        <v>0</v>
      </c>
    </row>
    <row r="58" spans="1:10" x14ac:dyDescent="0.25">
      <c r="A58" s="47">
        <v>43434</v>
      </c>
      <c r="B58" s="40">
        <v>2.125</v>
      </c>
      <c r="C58" s="40">
        <v>2.125</v>
      </c>
      <c r="D58" s="40">
        <v>2.125</v>
      </c>
      <c r="E58" s="40">
        <v>2.125</v>
      </c>
      <c r="F58" s="40"/>
      <c r="G58" s="42" t="s">
        <v>992</v>
      </c>
      <c r="H58" s="152" t="s">
        <v>993</v>
      </c>
      <c r="I58" s="153" t="s">
        <v>981</v>
      </c>
      <c r="J58" s="40">
        <f t="shared" si="0"/>
        <v>0</v>
      </c>
    </row>
    <row r="59" spans="1:10" x14ac:dyDescent="0.25">
      <c r="A59" s="47">
        <v>43373</v>
      </c>
      <c r="B59" s="40">
        <v>2.125</v>
      </c>
      <c r="C59" s="40">
        <v>2.125</v>
      </c>
      <c r="D59" s="40">
        <v>2.125</v>
      </c>
      <c r="E59" s="40">
        <v>2.125</v>
      </c>
      <c r="F59" s="40"/>
      <c r="G59" s="42" t="s">
        <v>994</v>
      </c>
      <c r="H59" s="152" t="s">
        <v>995</v>
      </c>
      <c r="I59" s="153" t="s">
        <v>981</v>
      </c>
      <c r="J59" s="40">
        <f t="shared" si="0"/>
        <v>0</v>
      </c>
    </row>
    <row r="60" spans="1:10" x14ac:dyDescent="0.25">
      <c r="A60" s="47">
        <v>43343</v>
      </c>
      <c r="B60" s="40">
        <v>1.875</v>
      </c>
      <c r="C60" s="40">
        <v>1.875</v>
      </c>
      <c r="D60" s="40">
        <v>1.875</v>
      </c>
      <c r="E60" s="40">
        <v>1.875</v>
      </c>
      <c r="F60" s="40"/>
      <c r="G60" s="42" t="s">
        <v>996</v>
      </c>
      <c r="H60" s="152" t="s">
        <v>997</v>
      </c>
      <c r="I60" s="153" t="s">
        <v>978</v>
      </c>
      <c r="J60" s="40">
        <f t="shared" si="0"/>
        <v>0</v>
      </c>
    </row>
    <row r="61" spans="1:10" x14ac:dyDescent="0.25">
      <c r="A61" s="47">
        <v>43281</v>
      </c>
      <c r="B61" s="40">
        <v>1.875</v>
      </c>
      <c r="C61" s="40">
        <v>1.875</v>
      </c>
      <c r="D61" s="40">
        <v>1.625</v>
      </c>
      <c r="E61" s="40">
        <v>1.875</v>
      </c>
      <c r="F61" s="40"/>
      <c r="G61" s="42" t="s">
        <v>998</v>
      </c>
      <c r="H61" s="152" t="s">
        <v>999</v>
      </c>
      <c r="I61" s="153" t="s">
        <v>978</v>
      </c>
      <c r="J61" s="40">
        <f t="shared" si="0"/>
        <v>0</v>
      </c>
    </row>
    <row r="62" spans="1:10" x14ac:dyDescent="0.25">
      <c r="A62" s="47">
        <v>43251</v>
      </c>
      <c r="B62" s="40">
        <v>1.625</v>
      </c>
      <c r="C62" s="40">
        <v>1.625</v>
      </c>
      <c r="D62" s="40">
        <v>1.625</v>
      </c>
      <c r="E62" s="40">
        <v>1.625</v>
      </c>
      <c r="F62" s="40"/>
      <c r="G62" s="42" t="s">
        <v>1000</v>
      </c>
      <c r="H62" s="152" t="s">
        <v>1001</v>
      </c>
      <c r="I62" s="153" t="s">
        <v>927</v>
      </c>
      <c r="J62" s="40">
        <f t="shared" si="0"/>
        <v>0</v>
      </c>
    </row>
    <row r="63" spans="1:10" x14ac:dyDescent="0.25">
      <c r="A63" s="47">
        <v>43190</v>
      </c>
      <c r="B63" s="40">
        <v>1.625</v>
      </c>
      <c r="C63" s="40">
        <v>1.625</v>
      </c>
      <c r="D63" s="40">
        <v>1.625</v>
      </c>
      <c r="E63" s="40">
        <v>1.625</v>
      </c>
      <c r="F63" s="40"/>
      <c r="G63" s="42" t="s">
        <v>1002</v>
      </c>
      <c r="H63" s="152" t="s">
        <v>1003</v>
      </c>
      <c r="I63" s="153" t="s">
        <v>927</v>
      </c>
      <c r="J63" s="40">
        <f t="shared" si="0"/>
        <v>0</v>
      </c>
    </row>
    <row r="64" spans="1:10" x14ac:dyDescent="0.25">
      <c r="A64" s="47">
        <v>43159</v>
      </c>
      <c r="B64" s="40">
        <v>1.375</v>
      </c>
      <c r="C64" s="40"/>
      <c r="D64" s="40"/>
      <c r="E64" s="40"/>
      <c r="F64" s="40"/>
      <c r="G64" s="42" t="s">
        <v>1004</v>
      </c>
      <c r="H64" s="152" t="s">
        <v>1005</v>
      </c>
      <c r="I64" s="153" t="s">
        <v>1006</v>
      </c>
      <c r="J64" s="40">
        <f t="shared" si="0"/>
        <v>0</v>
      </c>
    </row>
    <row r="65" spans="1:10" x14ac:dyDescent="0.25">
      <c r="A65" s="47">
        <v>43131</v>
      </c>
      <c r="B65" s="40"/>
      <c r="C65" s="40">
        <v>1.375</v>
      </c>
      <c r="D65" s="40">
        <v>1.375</v>
      </c>
      <c r="E65" s="40">
        <v>1.625</v>
      </c>
      <c r="F65" s="40"/>
      <c r="G65" s="42" t="s">
        <v>1007</v>
      </c>
      <c r="H65" s="152" t="s">
        <v>1008</v>
      </c>
      <c r="I65" s="153" t="s">
        <v>1006</v>
      </c>
      <c r="J65" s="40">
        <f t="shared" si="0"/>
        <v>1.375E-2</v>
      </c>
    </row>
    <row r="66" spans="1:10" x14ac:dyDescent="0.25">
      <c r="A66" s="47">
        <v>43100</v>
      </c>
      <c r="B66" s="40">
        <v>1.375</v>
      </c>
      <c r="C66" s="40">
        <v>1.375</v>
      </c>
      <c r="D66" s="40">
        <v>1.375</v>
      </c>
      <c r="E66" s="40">
        <v>1.375</v>
      </c>
      <c r="F66" s="40"/>
      <c r="G66" s="42" t="s">
        <v>1009</v>
      </c>
      <c r="H66" s="152" t="s">
        <v>1010</v>
      </c>
      <c r="I66" s="153" t="s">
        <v>969</v>
      </c>
      <c r="J66" s="40">
        <f t="shared" si="0"/>
        <v>-2.5000000000000005E-3</v>
      </c>
    </row>
    <row r="67" spans="1:10" x14ac:dyDescent="0.25">
      <c r="A67" s="47">
        <v>43069</v>
      </c>
      <c r="B67" s="40">
        <v>1.125</v>
      </c>
      <c r="C67" s="40">
        <v>1.125</v>
      </c>
      <c r="D67" s="40">
        <v>1.125</v>
      </c>
      <c r="E67" s="40">
        <v>1.125</v>
      </c>
      <c r="F67" s="40"/>
      <c r="G67" s="42" t="s">
        <v>1011</v>
      </c>
      <c r="H67" s="152" t="s">
        <v>1012</v>
      </c>
      <c r="I67" s="153" t="s">
        <v>969</v>
      </c>
      <c r="J67" s="40">
        <f t="shared" si="0"/>
        <v>0</v>
      </c>
    </row>
    <row r="68" spans="1:10" x14ac:dyDescent="0.25">
      <c r="A68" s="47">
        <v>43008</v>
      </c>
      <c r="B68" s="40">
        <v>1.125</v>
      </c>
      <c r="C68" s="40">
        <v>1.125</v>
      </c>
      <c r="D68" s="40">
        <v>1.125</v>
      </c>
      <c r="E68" s="40">
        <v>1.125</v>
      </c>
      <c r="F68" s="40"/>
      <c r="G68" s="42" t="s">
        <v>1013</v>
      </c>
      <c r="H68" s="152" t="s">
        <v>1014</v>
      </c>
      <c r="I68" s="153" t="s">
        <v>969</v>
      </c>
      <c r="J68" s="40">
        <f t="shared" si="0"/>
        <v>0</v>
      </c>
    </row>
    <row r="69" spans="1:10" x14ac:dyDescent="0.25">
      <c r="A69" s="47">
        <v>42947</v>
      </c>
      <c r="B69" s="40">
        <v>1.125</v>
      </c>
      <c r="C69" s="40">
        <v>1.125</v>
      </c>
      <c r="D69" s="40">
        <v>1.125</v>
      </c>
      <c r="E69" s="40">
        <v>1.125</v>
      </c>
      <c r="F69" s="40"/>
      <c r="G69" s="42" t="s">
        <v>1015</v>
      </c>
      <c r="H69" s="152" t="s">
        <v>1016</v>
      </c>
      <c r="I69" s="153" t="s">
        <v>969</v>
      </c>
      <c r="J69" s="40">
        <f t="shared" si="0"/>
        <v>0</v>
      </c>
    </row>
    <row r="70" spans="1:10" x14ac:dyDescent="0.25">
      <c r="A70" s="47">
        <v>42916</v>
      </c>
      <c r="B70" s="40">
        <v>1.125</v>
      </c>
      <c r="C70" s="40">
        <v>1.125</v>
      </c>
      <c r="D70" s="40">
        <v>0.875</v>
      </c>
      <c r="E70" s="40">
        <v>1.125</v>
      </c>
      <c r="F70" s="40"/>
      <c r="G70" s="42" t="s">
        <v>1017</v>
      </c>
      <c r="H70" s="152" t="s">
        <v>1018</v>
      </c>
      <c r="I70" s="153" t="s">
        <v>930</v>
      </c>
      <c r="J70" s="40">
        <f t="shared" si="0"/>
        <v>-2.4999999999999988E-3</v>
      </c>
    </row>
    <row r="71" spans="1:10" x14ac:dyDescent="0.25">
      <c r="A71" s="47">
        <v>42886</v>
      </c>
      <c r="B71" s="40">
        <v>0.875</v>
      </c>
      <c r="C71" s="40">
        <v>0.875</v>
      </c>
      <c r="D71" s="40">
        <v>0.875</v>
      </c>
      <c r="E71" s="40">
        <v>0.875</v>
      </c>
      <c r="F71" s="40"/>
      <c r="G71" s="42" t="s">
        <v>1019</v>
      </c>
      <c r="H71" s="152" t="s">
        <v>1020</v>
      </c>
      <c r="I71" s="153" t="s">
        <v>930</v>
      </c>
      <c r="J71" s="40">
        <f t="shared" si="0"/>
        <v>0</v>
      </c>
    </row>
    <row r="72" spans="1:10" x14ac:dyDescent="0.25">
      <c r="A72" s="47">
        <v>42825</v>
      </c>
      <c r="B72" s="40">
        <v>0.875</v>
      </c>
      <c r="C72" s="40">
        <v>0.875</v>
      </c>
      <c r="D72" s="40">
        <v>0.875</v>
      </c>
      <c r="E72" s="40">
        <v>0.875</v>
      </c>
      <c r="F72" s="40"/>
      <c r="G72" s="42" t="s">
        <v>1021</v>
      </c>
      <c r="H72" s="152" t="s">
        <v>1022</v>
      </c>
      <c r="I72" s="153" t="s">
        <v>1023</v>
      </c>
      <c r="J72" s="40">
        <f t="shared" si="0"/>
        <v>-2.5000000000000005E-3</v>
      </c>
    </row>
    <row r="73" spans="1:10" x14ac:dyDescent="0.25">
      <c r="A73" s="47">
        <v>42794</v>
      </c>
      <c r="B73" s="40">
        <v>0.625</v>
      </c>
      <c r="C73" s="40">
        <v>0.625</v>
      </c>
      <c r="D73" s="40">
        <v>0.625</v>
      </c>
      <c r="E73" s="40">
        <v>0.625</v>
      </c>
      <c r="F73" s="40"/>
      <c r="G73" s="42" t="s">
        <v>1024</v>
      </c>
      <c r="H73" s="152" t="s">
        <v>1025</v>
      </c>
      <c r="I73" s="153" t="s">
        <v>1023</v>
      </c>
      <c r="J73" s="40">
        <f t="shared" si="0"/>
        <v>0</v>
      </c>
    </row>
    <row r="74" spans="1:10" x14ac:dyDescent="0.25">
      <c r="A74" s="47">
        <v>42735</v>
      </c>
      <c r="B74" s="40">
        <v>0.625</v>
      </c>
      <c r="C74" s="40">
        <v>0.625</v>
      </c>
      <c r="D74" s="40">
        <v>0.625</v>
      </c>
      <c r="E74" s="40">
        <v>0.625</v>
      </c>
      <c r="F74" s="40"/>
      <c r="G74" s="42" t="s">
        <v>1026</v>
      </c>
      <c r="H74" s="152" t="s">
        <v>1027</v>
      </c>
      <c r="I74" s="153" t="s">
        <v>933</v>
      </c>
      <c r="J74" s="40">
        <f t="shared" si="0"/>
        <v>-2.5000000000000005E-3</v>
      </c>
    </row>
    <row r="75" spans="1:10" x14ac:dyDescent="0.25">
      <c r="A75" s="47">
        <v>42704</v>
      </c>
      <c r="B75" s="40">
        <v>0.375</v>
      </c>
      <c r="C75" s="40">
        <v>0.375</v>
      </c>
      <c r="D75" s="40">
        <v>0.375</v>
      </c>
      <c r="E75" s="40">
        <v>0.375</v>
      </c>
      <c r="F75" s="40"/>
      <c r="G75" s="42" t="s">
        <v>1028</v>
      </c>
      <c r="H75" s="152" t="s">
        <v>1029</v>
      </c>
      <c r="I75" s="153" t="s">
        <v>933</v>
      </c>
      <c r="J75" s="40">
        <f t="shared" si="0"/>
        <v>0</v>
      </c>
    </row>
    <row r="76" spans="1:10" x14ac:dyDescent="0.25">
      <c r="A76" s="47">
        <v>42643</v>
      </c>
      <c r="B76" s="40">
        <v>0.375</v>
      </c>
      <c r="C76" s="40">
        <v>0.375</v>
      </c>
      <c r="D76" s="40">
        <v>0.375</v>
      </c>
      <c r="E76" s="40">
        <v>0.625</v>
      </c>
      <c r="F76" s="40"/>
      <c r="G76" s="42" t="s">
        <v>1030</v>
      </c>
      <c r="H76" s="152" t="s">
        <v>1031</v>
      </c>
      <c r="I76" s="153" t="s">
        <v>933</v>
      </c>
      <c r="J76" s="40">
        <f t="shared" si="0"/>
        <v>0</v>
      </c>
    </row>
    <row r="77" spans="1:10" x14ac:dyDescent="0.25">
      <c r="A77" s="47">
        <v>42582</v>
      </c>
      <c r="B77" s="40">
        <v>0.375</v>
      </c>
      <c r="C77" s="40">
        <v>0.375</v>
      </c>
      <c r="D77" s="40">
        <v>0.375</v>
      </c>
      <c r="E77" s="40">
        <v>0.375</v>
      </c>
      <c r="F77" s="40"/>
      <c r="G77" s="42" t="s">
        <v>1032</v>
      </c>
      <c r="H77" s="152" t="s">
        <v>1033</v>
      </c>
      <c r="I77" s="153" t="s">
        <v>933</v>
      </c>
      <c r="J77" s="40">
        <f t="shared" si="0"/>
        <v>0</v>
      </c>
    </row>
    <row r="78" spans="1:10" x14ac:dyDescent="0.25">
      <c r="A78" s="47">
        <v>42551</v>
      </c>
      <c r="B78" s="40">
        <v>0.375</v>
      </c>
      <c r="C78" s="40">
        <v>0.375</v>
      </c>
      <c r="D78" s="40">
        <v>0.375</v>
      </c>
      <c r="E78" s="40">
        <v>0.375</v>
      </c>
      <c r="F78" s="40"/>
      <c r="G78" s="42" t="s">
        <v>1034</v>
      </c>
      <c r="H78" s="152" t="s">
        <v>1035</v>
      </c>
      <c r="I78" s="153" t="s">
        <v>933</v>
      </c>
      <c r="J78" s="40">
        <f t="shared" si="0"/>
        <v>0</v>
      </c>
    </row>
    <row r="79" spans="1:10" x14ac:dyDescent="0.25">
      <c r="A79" s="47">
        <v>42490</v>
      </c>
      <c r="B79" s="40">
        <v>0.375</v>
      </c>
      <c r="C79" s="40">
        <v>0.375</v>
      </c>
      <c r="D79" s="40">
        <v>0.375</v>
      </c>
      <c r="E79" s="40">
        <v>0.375</v>
      </c>
      <c r="F79" s="40"/>
      <c r="G79" s="42" t="s">
        <v>1036</v>
      </c>
      <c r="H79" s="152" t="s">
        <v>1037</v>
      </c>
      <c r="I79" s="153" t="s">
        <v>933</v>
      </c>
      <c r="J79" s="40">
        <f t="shared" si="0"/>
        <v>0</v>
      </c>
    </row>
    <row r="80" spans="1:10" x14ac:dyDescent="0.25">
      <c r="A80" s="47">
        <v>42460</v>
      </c>
      <c r="B80" s="40">
        <v>0.375</v>
      </c>
      <c r="C80" s="40">
        <v>0.375</v>
      </c>
      <c r="D80" s="40">
        <v>0.375</v>
      </c>
      <c r="E80" s="40">
        <v>0.625</v>
      </c>
      <c r="F80" s="40"/>
      <c r="G80" s="42" t="s">
        <v>1038</v>
      </c>
      <c r="H80" s="152" t="s">
        <v>1039</v>
      </c>
      <c r="I80" s="153" t="s">
        <v>933</v>
      </c>
      <c r="J80" s="40">
        <f t="shared" si="0"/>
        <v>0</v>
      </c>
    </row>
    <row r="81" spans="1:10" x14ac:dyDescent="0.25">
      <c r="A81" s="47">
        <v>42400</v>
      </c>
      <c r="B81" s="40">
        <v>0.375</v>
      </c>
      <c r="C81" s="40">
        <v>0.375</v>
      </c>
      <c r="D81" s="40">
        <v>0.375</v>
      </c>
      <c r="E81" s="40">
        <v>0.375</v>
      </c>
      <c r="F81" s="40"/>
      <c r="G81" s="42" t="s">
        <v>1040</v>
      </c>
      <c r="H81" s="152" t="s">
        <v>1041</v>
      </c>
      <c r="I81" s="153" t="s">
        <v>933</v>
      </c>
      <c r="J81" s="40">
        <f t="shared" si="0"/>
        <v>0</v>
      </c>
    </row>
    <row r="82" spans="1:10" x14ac:dyDescent="0.25">
      <c r="A82" s="47">
        <v>42369</v>
      </c>
      <c r="B82" s="40">
        <v>0.375</v>
      </c>
      <c r="C82" s="40">
        <v>0.375</v>
      </c>
      <c r="D82" s="40">
        <v>0.125</v>
      </c>
      <c r="E82" s="40">
        <v>0.5</v>
      </c>
      <c r="F82" s="40"/>
      <c r="G82" s="42" t="s">
        <v>1042</v>
      </c>
      <c r="H82" s="152" t="s">
        <v>1043</v>
      </c>
      <c r="I82" s="153" t="s">
        <v>936</v>
      </c>
      <c r="J82" s="40">
        <f t="shared" si="0"/>
        <v>-2.4999999999999996E-3</v>
      </c>
    </row>
    <row r="83" spans="1:10" x14ac:dyDescent="0.25">
      <c r="A83" s="47">
        <v>42308</v>
      </c>
      <c r="B83" s="40">
        <v>0.125</v>
      </c>
      <c r="C83" s="40">
        <v>0.125</v>
      </c>
      <c r="D83" s="40">
        <v>0.125</v>
      </c>
      <c r="E83" s="40">
        <v>0.125</v>
      </c>
      <c r="F83" s="40"/>
      <c r="G83" s="42" t="s">
        <v>1044</v>
      </c>
      <c r="H83" s="152" t="s">
        <v>1045</v>
      </c>
      <c r="I83" s="153" t="s">
        <v>936</v>
      </c>
      <c r="J83" s="40">
        <f t="shared" si="0"/>
        <v>0</v>
      </c>
    </row>
    <row r="84" spans="1:10" x14ac:dyDescent="0.25">
      <c r="A84" s="47">
        <v>42277</v>
      </c>
      <c r="B84" s="40">
        <v>0.125</v>
      </c>
      <c r="C84" s="40">
        <v>0.125</v>
      </c>
      <c r="D84" s="40">
        <v>0.125</v>
      </c>
      <c r="E84" s="40">
        <v>0.5</v>
      </c>
      <c r="F84" s="40"/>
      <c r="G84" s="42" t="s">
        <v>1046</v>
      </c>
      <c r="H84" s="152" t="s">
        <v>1047</v>
      </c>
      <c r="I84" s="153" t="s">
        <v>936</v>
      </c>
      <c r="J84" s="40">
        <f t="shared" si="0"/>
        <v>0</v>
      </c>
    </row>
    <row r="85" spans="1:10" x14ac:dyDescent="0.25">
      <c r="A85" s="47">
        <v>42216</v>
      </c>
      <c r="B85" s="40">
        <v>0.125</v>
      </c>
      <c r="C85" s="40">
        <v>0.125</v>
      </c>
      <c r="D85" s="40">
        <v>0.13</v>
      </c>
      <c r="E85" s="40">
        <v>0.13</v>
      </c>
      <c r="F85" s="40"/>
      <c r="G85" s="42" t="s">
        <v>1048</v>
      </c>
      <c r="H85" s="152" t="s">
        <v>1049</v>
      </c>
      <c r="I85" s="153" t="s">
        <v>936</v>
      </c>
      <c r="J85" s="40">
        <f t="shared" ref="J85:J103" si="1">+I85-B85%</f>
        <v>0</v>
      </c>
    </row>
    <row r="86" spans="1:10" x14ac:dyDescent="0.25">
      <c r="A86" s="47">
        <v>42185</v>
      </c>
      <c r="B86" s="40">
        <v>0.125</v>
      </c>
      <c r="C86" s="40"/>
      <c r="D86" s="40"/>
      <c r="E86" s="40"/>
      <c r="F86" s="40"/>
      <c r="G86" s="42" t="s">
        <v>1050</v>
      </c>
      <c r="H86" s="152" t="s">
        <v>1051</v>
      </c>
      <c r="I86" s="153" t="s">
        <v>936</v>
      </c>
      <c r="J86" s="40">
        <f t="shared" si="1"/>
        <v>0</v>
      </c>
    </row>
    <row r="87" spans="1:10" x14ac:dyDescent="0.25">
      <c r="A87" s="47">
        <v>42124</v>
      </c>
      <c r="B87" s="40">
        <v>0.125</v>
      </c>
      <c r="C87" s="40"/>
      <c r="D87" s="40"/>
      <c r="E87" s="40"/>
      <c r="F87" s="40"/>
      <c r="G87" s="42" t="s">
        <v>1052</v>
      </c>
      <c r="H87" s="152" t="s">
        <v>1053</v>
      </c>
      <c r="I87" s="153" t="s">
        <v>936</v>
      </c>
      <c r="J87" s="40">
        <f t="shared" si="1"/>
        <v>0</v>
      </c>
    </row>
    <row r="88" spans="1:10" x14ac:dyDescent="0.25">
      <c r="A88" s="47">
        <v>42094</v>
      </c>
      <c r="B88" s="40">
        <v>0.125</v>
      </c>
      <c r="C88" s="40"/>
      <c r="D88" s="40"/>
      <c r="E88" s="40"/>
      <c r="F88" s="40"/>
      <c r="G88" s="42" t="s">
        <v>1054</v>
      </c>
      <c r="H88" s="152" t="s">
        <v>1055</v>
      </c>
      <c r="I88" s="153" t="s">
        <v>936</v>
      </c>
      <c r="J88" s="40">
        <f t="shared" si="1"/>
        <v>0</v>
      </c>
    </row>
    <row r="89" spans="1:10" x14ac:dyDescent="0.25">
      <c r="A89" s="47">
        <v>42035</v>
      </c>
      <c r="B89" s="40">
        <v>0.125</v>
      </c>
      <c r="C89" s="40"/>
      <c r="D89" s="40"/>
      <c r="E89" s="40"/>
      <c r="F89" s="40"/>
      <c r="G89" s="42" t="s">
        <v>1056</v>
      </c>
      <c r="H89" s="152" t="s">
        <v>1057</v>
      </c>
      <c r="I89" s="153" t="s">
        <v>936</v>
      </c>
      <c r="J89" s="40">
        <f t="shared" si="1"/>
        <v>0</v>
      </c>
    </row>
    <row r="90" spans="1:10" x14ac:dyDescent="0.25">
      <c r="A90" s="47">
        <v>42004</v>
      </c>
      <c r="B90" s="40">
        <v>0.125</v>
      </c>
      <c r="C90" s="40"/>
      <c r="D90" s="40"/>
      <c r="E90" s="40"/>
      <c r="F90" s="40"/>
      <c r="G90" s="42" t="s">
        <v>1058</v>
      </c>
      <c r="H90" s="152" t="s">
        <v>1059</v>
      </c>
      <c r="I90" s="153" t="s">
        <v>936</v>
      </c>
      <c r="J90" s="40">
        <f t="shared" si="1"/>
        <v>0</v>
      </c>
    </row>
    <row r="91" spans="1:10" x14ac:dyDescent="0.25">
      <c r="A91" s="47">
        <v>41943</v>
      </c>
      <c r="B91" s="40">
        <v>0.125</v>
      </c>
      <c r="C91" s="40"/>
      <c r="D91" s="40"/>
      <c r="E91" s="40"/>
      <c r="F91" s="40"/>
      <c r="G91" s="42" t="s">
        <v>1060</v>
      </c>
      <c r="H91" s="152" t="s">
        <v>1061</v>
      </c>
      <c r="I91" s="153" t="s">
        <v>936</v>
      </c>
      <c r="J91" s="40">
        <f t="shared" si="1"/>
        <v>0</v>
      </c>
    </row>
    <row r="92" spans="1:10" x14ac:dyDescent="0.25">
      <c r="A92" s="47">
        <v>41912</v>
      </c>
      <c r="B92" s="40">
        <v>0.125</v>
      </c>
      <c r="C92" s="40"/>
      <c r="D92" s="40"/>
      <c r="E92" s="40"/>
      <c r="F92" s="40"/>
      <c r="G92" s="42" t="s">
        <v>1062</v>
      </c>
      <c r="H92" s="152" t="s">
        <v>1063</v>
      </c>
      <c r="I92" s="153" t="s">
        <v>936</v>
      </c>
      <c r="J92" s="40">
        <f t="shared" si="1"/>
        <v>0</v>
      </c>
    </row>
    <row r="93" spans="1:10" x14ac:dyDescent="0.25">
      <c r="A93" s="47">
        <v>41851</v>
      </c>
      <c r="B93" s="40">
        <v>0.125</v>
      </c>
      <c r="C93" s="40"/>
      <c r="D93" s="40"/>
      <c r="E93" s="40"/>
      <c r="F93" s="40"/>
      <c r="G93" s="42" t="s">
        <v>1064</v>
      </c>
      <c r="H93" s="152" t="s">
        <v>1065</v>
      </c>
      <c r="I93" s="153" t="s">
        <v>936</v>
      </c>
      <c r="J93" s="40">
        <f t="shared" si="1"/>
        <v>0</v>
      </c>
    </row>
    <row r="94" spans="1:10" x14ac:dyDescent="0.25">
      <c r="A94" s="47">
        <v>41820</v>
      </c>
      <c r="B94" s="40">
        <v>0.125</v>
      </c>
      <c r="C94" s="40"/>
      <c r="D94" s="40"/>
      <c r="E94" s="40"/>
      <c r="F94" s="40"/>
      <c r="G94" s="42" t="s">
        <v>1066</v>
      </c>
      <c r="H94" s="152" t="s">
        <v>1067</v>
      </c>
      <c r="I94" s="153" t="s">
        <v>936</v>
      </c>
      <c r="J94" s="40">
        <f t="shared" si="1"/>
        <v>0</v>
      </c>
    </row>
    <row r="95" spans="1:10" x14ac:dyDescent="0.25">
      <c r="A95" s="47">
        <v>41759</v>
      </c>
      <c r="B95" s="40">
        <v>0.125</v>
      </c>
      <c r="C95" s="40"/>
      <c r="D95" s="40"/>
      <c r="E95" s="40"/>
      <c r="F95" s="40"/>
      <c r="G95" s="42" t="s">
        <v>1068</v>
      </c>
      <c r="H95" s="152" t="s">
        <v>1069</v>
      </c>
      <c r="I95" s="153" t="s">
        <v>936</v>
      </c>
      <c r="J95" s="40">
        <f t="shared" si="1"/>
        <v>0</v>
      </c>
    </row>
    <row r="96" spans="1:10" x14ac:dyDescent="0.25">
      <c r="A96" s="47">
        <v>41729</v>
      </c>
      <c r="B96" s="40">
        <v>0.125</v>
      </c>
      <c r="C96" s="40"/>
      <c r="D96" s="40"/>
      <c r="E96" s="40"/>
      <c r="F96" s="40"/>
      <c r="G96" s="42" t="s">
        <v>1070</v>
      </c>
      <c r="H96" s="152" t="s">
        <v>1071</v>
      </c>
      <c r="I96" s="153" t="s">
        <v>936</v>
      </c>
      <c r="J96" s="40">
        <f t="shared" si="1"/>
        <v>0</v>
      </c>
    </row>
    <row r="97" spans="1:10" x14ac:dyDescent="0.25">
      <c r="A97" s="47">
        <v>41670</v>
      </c>
      <c r="B97" s="40">
        <v>0.125</v>
      </c>
      <c r="C97" s="40"/>
      <c r="D97" s="40"/>
      <c r="E97" s="40"/>
      <c r="F97" s="40"/>
      <c r="G97" s="42" t="s">
        <v>1072</v>
      </c>
      <c r="H97" s="152" t="s">
        <v>1073</v>
      </c>
      <c r="I97" s="153" t="s">
        <v>936</v>
      </c>
      <c r="J97" s="40">
        <f t="shared" si="1"/>
        <v>0</v>
      </c>
    </row>
    <row r="98" spans="1:10" x14ac:dyDescent="0.25">
      <c r="A98" s="47">
        <v>41639</v>
      </c>
      <c r="B98" s="40">
        <v>0.125</v>
      </c>
      <c r="C98" s="40"/>
      <c r="D98" s="40"/>
      <c r="E98" s="40"/>
      <c r="F98" s="40"/>
      <c r="G98" s="42" t="s">
        <v>1074</v>
      </c>
      <c r="H98" s="152" t="s">
        <v>1075</v>
      </c>
      <c r="I98" s="153" t="s">
        <v>936</v>
      </c>
      <c r="J98" s="40">
        <f t="shared" si="1"/>
        <v>0</v>
      </c>
    </row>
    <row r="99" spans="1:10" x14ac:dyDescent="0.25">
      <c r="A99" s="47">
        <v>41578</v>
      </c>
      <c r="B99" s="40">
        <v>0.125</v>
      </c>
      <c r="C99" s="40"/>
      <c r="D99" s="40"/>
      <c r="E99" s="40"/>
      <c r="F99" s="40"/>
      <c r="G99" s="42" t="s">
        <v>1076</v>
      </c>
      <c r="H99" s="152" t="s">
        <v>1077</v>
      </c>
      <c r="I99" s="153" t="s">
        <v>936</v>
      </c>
      <c r="J99" s="40">
        <f t="shared" si="1"/>
        <v>0</v>
      </c>
    </row>
    <row r="100" spans="1:10" x14ac:dyDescent="0.25">
      <c r="A100" s="47">
        <v>41547</v>
      </c>
      <c r="B100" s="40">
        <v>0.125</v>
      </c>
      <c r="C100" s="40"/>
      <c r="D100" s="40"/>
      <c r="E100" s="40"/>
      <c r="F100" s="40"/>
      <c r="G100" s="42" t="s">
        <v>1078</v>
      </c>
      <c r="H100" s="152" t="s">
        <v>1079</v>
      </c>
      <c r="I100" s="153" t="s">
        <v>936</v>
      </c>
      <c r="J100" s="40">
        <f t="shared" si="1"/>
        <v>0</v>
      </c>
    </row>
    <row r="101" spans="1:10" x14ac:dyDescent="0.25">
      <c r="A101" s="47">
        <v>41486</v>
      </c>
      <c r="B101" s="40">
        <v>0.125</v>
      </c>
      <c r="C101" s="40"/>
      <c r="D101" s="40"/>
      <c r="E101" s="40"/>
      <c r="F101" s="40"/>
      <c r="G101" s="42" t="s">
        <v>1080</v>
      </c>
      <c r="H101" s="152" t="s">
        <v>1081</v>
      </c>
      <c r="I101" s="153" t="s">
        <v>936</v>
      </c>
      <c r="J101" s="40">
        <f t="shared" si="1"/>
        <v>0</v>
      </c>
    </row>
    <row r="102" spans="1:10" x14ac:dyDescent="0.25">
      <c r="A102" s="47">
        <v>41455</v>
      </c>
      <c r="B102" s="40">
        <v>0.125</v>
      </c>
      <c r="C102" s="40"/>
      <c r="D102" s="40"/>
      <c r="E102" s="40"/>
      <c r="F102" s="40"/>
      <c r="G102" s="42" t="s">
        <v>1082</v>
      </c>
      <c r="H102" s="152" t="s">
        <v>1083</v>
      </c>
      <c r="I102" s="153" t="s">
        <v>936</v>
      </c>
      <c r="J102" s="40">
        <f t="shared" si="1"/>
        <v>0</v>
      </c>
    </row>
    <row r="103" spans="1:10" x14ac:dyDescent="0.25">
      <c r="A103" s="40"/>
      <c r="B103" s="40"/>
      <c r="C103" s="40"/>
      <c r="D103" s="40"/>
      <c r="E103" s="40"/>
      <c r="F103" s="40"/>
      <c r="G103" s="42" t="s">
        <v>1084</v>
      </c>
      <c r="H103" s="152" t="s">
        <v>1085</v>
      </c>
      <c r="I103" s="153" t="s">
        <v>936</v>
      </c>
      <c r="J103" s="40">
        <f t="shared" si="1"/>
        <v>1.25E-3</v>
      </c>
    </row>
    <row r="104" spans="1:10" x14ac:dyDescent="0.25">
      <c r="A104" s="40"/>
      <c r="B104" s="40"/>
      <c r="C104" s="40"/>
      <c r="D104" s="40"/>
      <c r="E104" s="40"/>
      <c r="F104" s="40"/>
      <c r="G104" s="40"/>
      <c r="H104" s="40"/>
      <c r="I104" s="40"/>
      <c r="J104" s="40"/>
    </row>
  </sheetData>
  <mergeCells count="7">
    <mergeCell ref="A2:H2"/>
    <mergeCell ref="A3:H3"/>
    <mergeCell ref="A17:A19"/>
    <mergeCell ref="B17:B18"/>
    <mergeCell ref="C17:E17"/>
    <mergeCell ref="G18:G19"/>
    <mergeCell ref="H18:I18"/>
  </mergeCells>
  <pageMargins left="0.7" right="0.7" top="0.75" bottom="0.75" header="0.3" footer="0.3"/>
  <customProperties>
    <customPr name="REFI_OFFICE_FUNCTION_DATA" r:id="rId1"/>
  </customPropertie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6C673-6B72-4D12-95A3-B049C61EA4E7}">
  <dimension ref="A1:H136"/>
  <sheetViews>
    <sheetView workbookViewId="0">
      <selection activeCell="K27" sqref="K27"/>
    </sheetView>
  </sheetViews>
  <sheetFormatPr defaultRowHeight="15" x14ac:dyDescent="0.25"/>
  <cols>
    <col min="1" max="1" width="19.28515625" customWidth="1"/>
    <col min="2" max="2" width="22.7109375" customWidth="1"/>
  </cols>
  <sheetData>
    <row r="1" spans="1:8" ht="15.75" x14ac:dyDescent="0.25">
      <c r="A1" s="39" t="s">
        <v>42</v>
      </c>
      <c r="B1" s="40"/>
      <c r="C1" s="40"/>
      <c r="D1" s="40"/>
      <c r="E1" s="40"/>
      <c r="F1" s="40"/>
      <c r="G1" s="40"/>
      <c r="H1" s="40"/>
    </row>
    <row r="2" spans="1:8" x14ac:dyDescent="0.25">
      <c r="A2" s="221" t="s">
        <v>1190</v>
      </c>
      <c r="B2" s="222"/>
      <c r="C2" s="222"/>
      <c r="D2" s="222"/>
      <c r="E2" s="222"/>
      <c r="F2" s="222"/>
      <c r="G2" s="222"/>
      <c r="H2" s="222"/>
    </row>
    <row r="3" spans="1:8" x14ac:dyDescent="0.25">
      <c r="A3" s="223" t="s">
        <v>1191</v>
      </c>
      <c r="B3" s="222"/>
      <c r="C3" s="222"/>
      <c r="D3" s="222"/>
      <c r="E3" s="222"/>
      <c r="F3" s="222"/>
      <c r="G3" s="222"/>
      <c r="H3" s="222"/>
    </row>
    <row r="4" spans="1:8" x14ac:dyDescent="0.25">
      <c r="A4" s="40"/>
      <c r="B4" s="40"/>
      <c r="C4" s="40"/>
      <c r="D4" s="40"/>
      <c r="E4" s="40"/>
      <c r="F4" s="40"/>
      <c r="G4" s="40"/>
      <c r="H4" s="40"/>
    </row>
    <row r="5" spans="1:8" x14ac:dyDescent="0.25">
      <c r="A5" s="42" t="s">
        <v>45</v>
      </c>
      <c r="B5" s="42" t="s">
        <v>1192</v>
      </c>
      <c r="C5" s="42" t="s">
        <v>47</v>
      </c>
      <c r="D5" s="42" t="s">
        <v>1193</v>
      </c>
      <c r="E5" s="42" t="s">
        <v>49</v>
      </c>
      <c r="F5" s="42" t="s">
        <v>1194</v>
      </c>
      <c r="G5" s="40"/>
      <c r="H5" s="40"/>
    </row>
    <row r="6" spans="1:8" x14ac:dyDescent="0.25">
      <c r="A6" s="42" t="s">
        <v>73</v>
      </c>
      <c r="B6" s="42" t="s">
        <v>1195</v>
      </c>
      <c r="C6" s="43" t="s">
        <v>1196</v>
      </c>
      <c r="D6" s="43" t="s">
        <v>1197</v>
      </c>
      <c r="E6" s="42" t="s">
        <v>67</v>
      </c>
      <c r="F6" s="42" t="s">
        <v>1198</v>
      </c>
      <c r="G6" s="40"/>
      <c r="H6" s="40"/>
    </row>
    <row r="7" spans="1:8" x14ac:dyDescent="0.25">
      <c r="A7" s="40"/>
      <c r="B7" s="40"/>
      <c r="C7" s="40"/>
      <c r="D7" s="40"/>
      <c r="E7" s="40"/>
      <c r="F7" s="40"/>
      <c r="G7" s="40"/>
      <c r="H7" s="40"/>
    </row>
    <row r="8" spans="1:8" x14ac:dyDescent="0.25">
      <c r="A8" s="43" t="s">
        <v>56</v>
      </c>
      <c r="B8" s="40"/>
      <c r="C8" s="40"/>
      <c r="D8" s="40"/>
      <c r="E8" s="40"/>
      <c r="F8" s="40"/>
      <c r="G8" s="40"/>
      <c r="H8" s="40"/>
    </row>
    <row r="9" spans="1:8" x14ac:dyDescent="0.25">
      <c r="A9" s="43" t="s">
        <v>80</v>
      </c>
      <c r="B9" s="43" t="s">
        <v>1199</v>
      </c>
      <c r="C9" s="40"/>
      <c r="D9" s="40"/>
      <c r="E9" s="40"/>
      <c r="F9" s="40"/>
      <c r="G9" s="40"/>
      <c r="H9" s="40"/>
    </row>
    <row r="10" spans="1:8" x14ac:dyDescent="0.25">
      <c r="A10" s="43" t="s">
        <v>82</v>
      </c>
      <c r="B10" s="43" t="s">
        <v>83</v>
      </c>
      <c r="C10" s="43" t="str">
        <f>_xll.RDP.HistoricalPricing($B$16:$B$16,"VALUE"," START:30-Jun-2013 END:31-May-2023 INTERVAL:P1M SOURCE:RFV",,"TSREPEAT:NO RH:TimeStamp",$A$17)</f>
        <v>Updated at 17:14:53</v>
      </c>
      <c r="D10" s="40"/>
      <c r="E10" s="40"/>
      <c r="F10" s="40"/>
      <c r="G10" s="40"/>
      <c r="H10" s="40"/>
    </row>
    <row r="11" spans="1:8" x14ac:dyDescent="0.25">
      <c r="A11" s="43" t="s">
        <v>84</v>
      </c>
      <c r="B11" s="43" t="s">
        <v>1109</v>
      </c>
      <c r="C11" s="40"/>
      <c r="D11" s="40"/>
      <c r="E11" s="40"/>
      <c r="F11" s="40"/>
      <c r="G11" s="40"/>
      <c r="H11" s="40"/>
    </row>
    <row r="12" spans="1:8" x14ac:dyDescent="0.25">
      <c r="A12" s="43" t="s">
        <v>56</v>
      </c>
      <c r="B12" s="40"/>
      <c r="C12" s="40"/>
      <c r="D12" s="40"/>
      <c r="E12" s="40"/>
      <c r="F12" s="40"/>
      <c r="G12" s="40"/>
      <c r="H12" s="40"/>
    </row>
    <row r="13" spans="1:8" x14ac:dyDescent="0.25">
      <c r="A13" s="43" t="s">
        <v>56</v>
      </c>
      <c r="B13" s="40"/>
      <c r="C13" s="40"/>
      <c r="D13" s="40"/>
      <c r="E13" s="40"/>
      <c r="F13" s="40"/>
      <c r="G13" s="40"/>
      <c r="H13" s="40"/>
    </row>
    <row r="14" spans="1:8" x14ac:dyDescent="0.25">
      <c r="A14" s="197" t="s">
        <v>33</v>
      </c>
      <c r="B14" s="199" t="s">
        <v>1200</v>
      </c>
      <c r="C14" s="40"/>
      <c r="D14" s="40"/>
      <c r="E14" s="40"/>
      <c r="F14" s="40"/>
      <c r="G14" s="40"/>
      <c r="H14" s="40"/>
    </row>
    <row r="15" spans="1:8" x14ac:dyDescent="0.25">
      <c r="A15" s="197" t="s">
        <v>33</v>
      </c>
      <c r="B15" s="199" t="s">
        <v>1200</v>
      </c>
      <c r="C15" s="40"/>
      <c r="D15" s="40"/>
      <c r="E15" s="40"/>
      <c r="F15" s="40"/>
      <c r="G15" s="40"/>
      <c r="H15" s="40"/>
    </row>
    <row r="16" spans="1:8" x14ac:dyDescent="0.25">
      <c r="A16" s="197" t="s">
        <v>33</v>
      </c>
      <c r="B16" s="46" t="s">
        <v>1201</v>
      </c>
      <c r="C16" s="40"/>
      <c r="D16" s="40"/>
      <c r="E16" s="40"/>
      <c r="F16" s="40"/>
      <c r="G16" s="40"/>
      <c r="H16" s="40"/>
    </row>
    <row r="17" spans="1:8" x14ac:dyDescent="0.25">
      <c r="A17" s="47">
        <v>45077</v>
      </c>
      <c r="B17" s="154">
        <v>139300000000</v>
      </c>
      <c r="C17" s="40"/>
      <c r="D17" s="40"/>
      <c r="E17" s="40"/>
      <c r="F17" s="40"/>
      <c r="G17" s="40"/>
      <c r="H17" s="40"/>
    </row>
    <row r="18" spans="1:8" x14ac:dyDescent="0.25">
      <c r="A18" s="47">
        <v>45046</v>
      </c>
      <c r="B18" s="154">
        <v>144200000000</v>
      </c>
      <c r="C18" s="40"/>
      <c r="D18" s="40"/>
      <c r="E18" s="40"/>
      <c r="F18" s="40"/>
      <c r="G18" s="40"/>
      <c r="H18" s="40"/>
    </row>
    <row r="19" spans="1:8" x14ac:dyDescent="0.25">
      <c r="A19" s="47">
        <v>45016</v>
      </c>
      <c r="B19" s="154">
        <v>145200000000</v>
      </c>
      <c r="C19" s="40"/>
      <c r="D19" s="40"/>
      <c r="E19" s="40"/>
      <c r="F19" s="40"/>
      <c r="G19" s="40"/>
      <c r="H19" s="40"/>
    </row>
    <row r="20" spans="1:8" x14ac:dyDescent="0.25">
      <c r="A20" s="47">
        <v>44985</v>
      </c>
      <c r="B20" s="154">
        <v>140300000000</v>
      </c>
      <c r="C20" s="40"/>
      <c r="D20" s="40"/>
      <c r="E20" s="40"/>
      <c r="F20" s="40"/>
      <c r="G20" s="40"/>
      <c r="H20" s="40"/>
    </row>
    <row r="21" spans="1:8" x14ac:dyDescent="0.25">
      <c r="A21" s="47">
        <v>44957</v>
      </c>
      <c r="B21" s="154">
        <v>139400000000</v>
      </c>
      <c r="C21" s="40"/>
      <c r="D21" s="40"/>
      <c r="E21" s="40"/>
      <c r="F21" s="40"/>
      <c r="G21" s="40"/>
      <c r="H21" s="40"/>
    </row>
    <row r="22" spans="1:8" x14ac:dyDescent="0.25">
      <c r="A22" s="47">
        <v>44926</v>
      </c>
      <c r="B22" s="154">
        <v>137200000000</v>
      </c>
      <c r="C22" s="40"/>
      <c r="D22" s="40"/>
      <c r="E22" s="40"/>
      <c r="F22" s="40"/>
      <c r="G22" s="40"/>
      <c r="H22" s="40"/>
    </row>
    <row r="23" spans="1:8" x14ac:dyDescent="0.25">
      <c r="A23" s="47">
        <v>44895</v>
      </c>
      <c r="B23" s="154">
        <v>134000000000</v>
      </c>
      <c r="C23" s="40"/>
      <c r="D23" s="40"/>
      <c r="E23" s="40"/>
      <c r="F23" s="40"/>
      <c r="G23" s="40"/>
      <c r="H23" s="40"/>
    </row>
    <row r="24" spans="1:8" x14ac:dyDescent="0.25">
      <c r="A24" s="47">
        <v>44865</v>
      </c>
      <c r="B24" s="154">
        <v>130200000000</v>
      </c>
      <c r="C24" s="40"/>
      <c r="D24" s="40"/>
      <c r="E24" s="40"/>
      <c r="F24" s="40"/>
      <c r="G24" s="40"/>
      <c r="H24" s="40"/>
    </row>
    <row r="25" spans="1:8" x14ac:dyDescent="0.25">
      <c r="A25" s="47">
        <v>44834</v>
      </c>
      <c r="B25" s="154">
        <v>130800000000</v>
      </c>
      <c r="C25" s="40"/>
      <c r="D25" s="40"/>
      <c r="E25" s="40"/>
      <c r="F25" s="40"/>
      <c r="G25" s="40"/>
      <c r="H25" s="40"/>
    </row>
    <row r="26" spans="1:8" x14ac:dyDescent="0.25">
      <c r="A26" s="47">
        <v>44804</v>
      </c>
      <c r="B26" s="154">
        <v>132200000000</v>
      </c>
      <c r="C26" s="40"/>
      <c r="D26" s="40"/>
      <c r="E26" s="40"/>
      <c r="F26" s="40"/>
      <c r="G26" s="40"/>
      <c r="H26" s="40"/>
    </row>
    <row r="27" spans="1:8" x14ac:dyDescent="0.25">
      <c r="A27" s="47">
        <v>44773</v>
      </c>
      <c r="B27" s="154">
        <v>132200000000</v>
      </c>
      <c r="C27" s="40"/>
      <c r="D27" s="40"/>
      <c r="E27" s="40"/>
      <c r="F27" s="40"/>
      <c r="G27" s="40"/>
      <c r="H27" s="40"/>
    </row>
    <row r="28" spans="1:8" x14ac:dyDescent="0.25">
      <c r="A28" s="47">
        <v>44742</v>
      </c>
      <c r="B28" s="154">
        <v>136400000000</v>
      </c>
      <c r="C28" s="40"/>
      <c r="D28" s="40"/>
      <c r="E28" s="40"/>
      <c r="F28" s="40"/>
      <c r="G28" s="40"/>
      <c r="H28" s="40"/>
    </row>
    <row r="29" spans="1:8" x14ac:dyDescent="0.25">
      <c r="A29" s="47">
        <v>44712</v>
      </c>
      <c r="B29" s="154">
        <v>135600000000</v>
      </c>
      <c r="C29" s="40"/>
      <c r="D29" s="40"/>
      <c r="E29" s="40"/>
      <c r="F29" s="40"/>
      <c r="G29" s="40"/>
      <c r="H29" s="40"/>
    </row>
    <row r="30" spans="1:8" x14ac:dyDescent="0.25">
      <c r="A30" s="47">
        <v>44681</v>
      </c>
      <c r="B30" s="154">
        <v>135700000000</v>
      </c>
      <c r="C30" s="40"/>
      <c r="D30" s="40"/>
      <c r="E30" s="40"/>
      <c r="F30" s="40"/>
      <c r="G30" s="40"/>
      <c r="H30" s="40"/>
    </row>
    <row r="31" spans="1:8" x14ac:dyDescent="0.25">
      <c r="A31" s="47">
        <v>44651</v>
      </c>
      <c r="B31" s="154">
        <v>139100000000</v>
      </c>
      <c r="C31" s="40"/>
      <c r="D31" s="40"/>
      <c r="E31" s="40"/>
      <c r="F31" s="40"/>
      <c r="G31" s="40"/>
      <c r="H31" s="40"/>
    </row>
    <row r="32" spans="1:8" x14ac:dyDescent="0.25">
      <c r="A32" s="47">
        <v>44620</v>
      </c>
      <c r="B32" s="154">
        <v>141400000000</v>
      </c>
      <c r="C32" s="40"/>
      <c r="D32" s="40"/>
      <c r="E32" s="40"/>
      <c r="F32" s="40"/>
      <c r="G32" s="40"/>
      <c r="H32" s="40"/>
    </row>
    <row r="33" spans="1:8" x14ac:dyDescent="0.25">
      <c r="A33" s="47">
        <v>44592</v>
      </c>
      <c r="B33" s="154">
        <v>141300000000</v>
      </c>
      <c r="C33" s="40"/>
      <c r="D33" s="40"/>
      <c r="E33" s="40"/>
      <c r="F33" s="40"/>
      <c r="G33" s="40"/>
      <c r="H33" s="40"/>
    </row>
    <row r="34" spans="1:8" x14ac:dyDescent="0.25">
      <c r="A34" s="47">
        <v>44561</v>
      </c>
      <c r="B34" s="154">
        <v>144900000000</v>
      </c>
      <c r="C34" s="40"/>
      <c r="D34" s="40"/>
      <c r="E34" s="40"/>
      <c r="F34" s="40"/>
      <c r="G34" s="40"/>
      <c r="H34" s="40"/>
    </row>
    <row r="35" spans="1:8" x14ac:dyDescent="0.25">
      <c r="A35" s="47">
        <v>44530</v>
      </c>
      <c r="B35" s="154">
        <v>145900000000</v>
      </c>
      <c r="C35" s="40"/>
      <c r="D35" s="40"/>
      <c r="E35" s="40"/>
      <c r="F35" s="40"/>
      <c r="G35" s="40"/>
      <c r="H35" s="40"/>
    </row>
    <row r="36" spans="1:8" x14ac:dyDescent="0.25">
      <c r="A36" s="47">
        <v>44500</v>
      </c>
      <c r="B36" s="154">
        <v>145500000000</v>
      </c>
      <c r="C36" s="40"/>
      <c r="D36" s="40"/>
      <c r="E36" s="40"/>
      <c r="F36" s="40"/>
      <c r="G36" s="40"/>
      <c r="H36" s="40"/>
    </row>
    <row r="37" spans="1:8" x14ac:dyDescent="0.25">
      <c r="A37" s="47">
        <v>44469</v>
      </c>
      <c r="B37" s="154">
        <v>146900000000</v>
      </c>
      <c r="C37" s="40"/>
      <c r="D37" s="40"/>
      <c r="E37" s="40"/>
      <c r="F37" s="40"/>
      <c r="G37" s="40"/>
      <c r="H37" s="40"/>
    </row>
    <row r="38" spans="1:8" x14ac:dyDescent="0.25">
      <c r="A38" s="47">
        <v>44439</v>
      </c>
      <c r="B38" s="154">
        <v>144800000000</v>
      </c>
      <c r="C38" s="40"/>
      <c r="D38" s="40"/>
      <c r="E38" s="40"/>
      <c r="F38" s="40"/>
      <c r="G38" s="40"/>
      <c r="H38" s="40"/>
    </row>
    <row r="39" spans="1:8" x14ac:dyDescent="0.25">
      <c r="A39" s="47">
        <v>44408</v>
      </c>
      <c r="B39" s="154">
        <v>137300000000</v>
      </c>
      <c r="C39" s="40"/>
      <c r="D39" s="40"/>
      <c r="E39" s="40"/>
      <c r="F39" s="40"/>
      <c r="G39" s="40"/>
      <c r="H39" s="40"/>
    </row>
    <row r="40" spans="1:8" x14ac:dyDescent="0.25">
      <c r="A40" s="47">
        <v>44377</v>
      </c>
      <c r="B40" s="154">
        <v>137100000000</v>
      </c>
      <c r="C40" s="40"/>
      <c r="D40" s="40"/>
      <c r="E40" s="40"/>
      <c r="F40" s="40"/>
      <c r="G40" s="40"/>
      <c r="H40" s="40"/>
    </row>
    <row r="41" spans="1:8" x14ac:dyDescent="0.25">
      <c r="A41" s="47">
        <v>44347</v>
      </c>
      <c r="B41" s="154">
        <v>136400000000</v>
      </c>
      <c r="C41" s="40"/>
      <c r="D41" s="40"/>
      <c r="E41" s="40"/>
      <c r="F41" s="40"/>
      <c r="G41" s="40"/>
      <c r="H41" s="40"/>
    </row>
    <row r="42" spans="1:8" x14ac:dyDescent="0.25">
      <c r="A42" s="47">
        <v>44316</v>
      </c>
      <c r="B42" s="154">
        <v>138800000000</v>
      </c>
      <c r="C42" s="40"/>
      <c r="D42" s="40"/>
      <c r="E42" s="40"/>
      <c r="F42" s="40"/>
      <c r="G42" s="40"/>
      <c r="H42" s="40"/>
    </row>
    <row r="43" spans="1:8" x14ac:dyDescent="0.25">
      <c r="A43" s="47">
        <v>44286</v>
      </c>
      <c r="B43" s="154">
        <v>137100000000</v>
      </c>
      <c r="C43" s="40"/>
      <c r="D43" s="40"/>
      <c r="E43" s="40"/>
      <c r="F43" s="40"/>
      <c r="G43" s="40"/>
      <c r="H43" s="40"/>
    </row>
    <row r="44" spans="1:8" x14ac:dyDescent="0.25">
      <c r="A44" s="47">
        <v>44255</v>
      </c>
      <c r="B44" s="154">
        <v>138800000000</v>
      </c>
      <c r="C44" s="40"/>
      <c r="D44" s="40"/>
      <c r="E44" s="40"/>
      <c r="F44" s="40"/>
      <c r="G44" s="40"/>
      <c r="H44" s="40"/>
    </row>
    <row r="45" spans="1:8" x14ac:dyDescent="0.25">
      <c r="A45" s="47">
        <v>44227</v>
      </c>
      <c r="B45" s="154">
        <v>138000000000</v>
      </c>
      <c r="C45" s="40"/>
      <c r="D45" s="40"/>
      <c r="E45" s="40"/>
      <c r="F45" s="40"/>
      <c r="G45" s="40"/>
      <c r="H45" s="40"/>
    </row>
    <row r="46" spans="1:8" x14ac:dyDescent="0.25">
      <c r="A46" s="47">
        <v>44196</v>
      </c>
      <c r="B46" s="154">
        <v>135900000000</v>
      </c>
      <c r="C46" s="40"/>
      <c r="D46" s="40"/>
      <c r="E46" s="40"/>
      <c r="F46" s="40"/>
      <c r="G46" s="40"/>
      <c r="H46" s="40"/>
    </row>
    <row r="47" spans="1:8" x14ac:dyDescent="0.25">
      <c r="A47" s="47">
        <v>44165</v>
      </c>
      <c r="B47" s="154">
        <v>133600000000</v>
      </c>
      <c r="C47" s="40"/>
      <c r="D47" s="40"/>
      <c r="E47" s="40"/>
      <c r="F47" s="40"/>
      <c r="G47" s="40"/>
      <c r="H47" s="40"/>
    </row>
    <row r="48" spans="1:8" x14ac:dyDescent="0.25">
      <c r="A48" s="47">
        <v>44135</v>
      </c>
      <c r="B48" s="154">
        <v>133700000000</v>
      </c>
      <c r="C48" s="40"/>
      <c r="D48" s="40"/>
      <c r="E48" s="40"/>
      <c r="F48" s="40"/>
      <c r="G48" s="40"/>
      <c r="H48" s="40"/>
    </row>
    <row r="49" spans="1:8" x14ac:dyDescent="0.25">
      <c r="A49" s="47">
        <v>44104</v>
      </c>
      <c r="B49" s="154">
        <v>135200000000</v>
      </c>
      <c r="C49" s="40"/>
      <c r="D49" s="40"/>
      <c r="E49" s="40"/>
      <c r="F49" s="40"/>
      <c r="G49" s="40"/>
      <c r="H49" s="40"/>
    </row>
    <row r="50" spans="1:8" x14ac:dyDescent="0.25">
      <c r="A50" s="47">
        <v>44074</v>
      </c>
      <c r="B50" s="154">
        <v>137000000000</v>
      </c>
      <c r="C50" s="40"/>
      <c r="D50" s="40"/>
      <c r="E50" s="40"/>
      <c r="F50" s="40"/>
      <c r="G50" s="40"/>
      <c r="H50" s="40"/>
    </row>
    <row r="51" spans="1:8" x14ac:dyDescent="0.25">
      <c r="A51" s="47">
        <v>44043</v>
      </c>
      <c r="B51" s="154">
        <v>135100000000</v>
      </c>
      <c r="C51" s="40"/>
      <c r="D51" s="40"/>
      <c r="E51" s="40"/>
      <c r="F51" s="40"/>
      <c r="G51" s="40"/>
      <c r="H51" s="40"/>
    </row>
    <row r="52" spans="1:8" x14ac:dyDescent="0.25">
      <c r="A52" s="47">
        <v>44012</v>
      </c>
      <c r="B52" s="154">
        <v>131700000000</v>
      </c>
      <c r="C52" s="40"/>
      <c r="D52" s="40"/>
      <c r="E52" s="40"/>
      <c r="F52" s="40"/>
      <c r="G52" s="40"/>
      <c r="H52" s="40"/>
    </row>
    <row r="53" spans="1:8" x14ac:dyDescent="0.25">
      <c r="A53" s="47">
        <v>43982</v>
      </c>
      <c r="B53" s="154">
        <v>130500000000</v>
      </c>
      <c r="C53" s="40"/>
      <c r="D53" s="40"/>
      <c r="E53" s="40"/>
      <c r="F53" s="40"/>
      <c r="G53" s="40"/>
      <c r="H53" s="40"/>
    </row>
    <row r="54" spans="1:8" x14ac:dyDescent="0.25">
      <c r="A54" s="47">
        <v>43951</v>
      </c>
      <c r="B54" s="154">
        <v>127900000000</v>
      </c>
      <c r="C54" s="40"/>
      <c r="D54" s="40"/>
      <c r="E54" s="40"/>
      <c r="F54" s="40"/>
      <c r="G54" s="40"/>
      <c r="H54" s="40"/>
    </row>
    <row r="55" spans="1:8" x14ac:dyDescent="0.25">
      <c r="A55" s="47">
        <v>43921</v>
      </c>
      <c r="B55" s="154">
        <v>121000000000</v>
      </c>
      <c r="C55" s="40"/>
      <c r="D55" s="40"/>
      <c r="E55" s="40"/>
      <c r="F55" s="40"/>
      <c r="G55" s="40"/>
      <c r="H55" s="40"/>
    </row>
    <row r="56" spans="1:8" x14ac:dyDescent="0.25">
      <c r="A56" s="47">
        <v>43890</v>
      </c>
      <c r="B56" s="154">
        <v>130400000000</v>
      </c>
      <c r="C56" s="40"/>
      <c r="D56" s="40"/>
      <c r="E56" s="40"/>
      <c r="F56" s="40"/>
      <c r="G56" s="40"/>
      <c r="H56" s="40"/>
    </row>
    <row r="57" spans="1:8" x14ac:dyDescent="0.25">
      <c r="A57" s="47">
        <v>43861</v>
      </c>
      <c r="B57" s="154">
        <v>131700000000</v>
      </c>
      <c r="C57" s="40"/>
      <c r="D57" s="40"/>
      <c r="E57" s="40"/>
      <c r="F57" s="40"/>
      <c r="G57" s="40"/>
      <c r="H57" s="40"/>
    </row>
    <row r="58" spans="1:8" x14ac:dyDescent="0.25">
      <c r="A58" s="47">
        <v>43830</v>
      </c>
      <c r="B58" s="154">
        <v>129200000000</v>
      </c>
      <c r="C58" s="40"/>
      <c r="D58" s="40"/>
      <c r="E58" s="40"/>
      <c r="F58" s="40"/>
      <c r="G58" s="40"/>
      <c r="H58" s="40"/>
    </row>
    <row r="59" spans="1:8" x14ac:dyDescent="0.25">
      <c r="A59" s="47">
        <v>43799</v>
      </c>
      <c r="B59" s="154">
        <v>126600000000</v>
      </c>
      <c r="C59" s="40"/>
      <c r="D59" s="40"/>
      <c r="E59" s="40"/>
      <c r="F59" s="40"/>
      <c r="G59" s="40"/>
      <c r="H59" s="40"/>
    </row>
    <row r="60" spans="1:8" x14ac:dyDescent="0.25">
      <c r="A60" s="47">
        <v>43769</v>
      </c>
      <c r="B60" s="154">
        <v>126700000000</v>
      </c>
      <c r="C60" s="40"/>
      <c r="D60" s="40"/>
      <c r="E60" s="40"/>
      <c r="F60" s="40"/>
      <c r="G60" s="40"/>
      <c r="H60" s="40"/>
    </row>
    <row r="61" spans="1:8" x14ac:dyDescent="0.25">
      <c r="A61" s="47">
        <v>43738</v>
      </c>
      <c r="B61" s="154">
        <v>124300000000</v>
      </c>
      <c r="C61" s="40"/>
      <c r="D61" s="40"/>
      <c r="E61" s="40"/>
      <c r="F61" s="40"/>
      <c r="G61" s="40"/>
      <c r="H61" s="40"/>
    </row>
    <row r="62" spans="1:8" x14ac:dyDescent="0.25">
      <c r="A62" s="47">
        <v>43708</v>
      </c>
      <c r="B62" s="154">
        <v>126400000000</v>
      </c>
      <c r="C62" s="40"/>
      <c r="D62" s="40"/>
      <c r="E62" s="40"/>
      <c r="F62" s="40"/>
      <c r="G62" s="40"/>
      <c r="H62" s="40"/>
    </row>
    <row r="63" spans="1:8" x14ac:dyDescent="0.25">
      <c r="A63" s="47">
        <v>43677</v>
      </c>
      <c r="B63" s="154">
        <v>125900000000</v>
      </c>
      <c r="C63" s="40"/>
      <c r="D63" s="40"/>
      <c r="E63" s="40"/>
      <c r="F63" s="40"/>
      <c r="G63" s="40"/>
      <c r="H63" s="40"/>
    </row>
    <row r="64" spans="1:8" x14ac:dyDescent="0.25">
      <c r="A64" s="47">
        <v>43646</v>
      </c>
      <c r="B64" s="154">
        <v>123800000000</v>
      </c>
      <c r="C64" s="40"/>
      <c r="D64" s="40"/>
      <c r="E64" s="40"/>
      <c r="F64" s="40"/>
      <c r="G64" s="40"/>
      <c r="H64" s="40"/>
    </row>
    <row r="65" spans="1:8" x14ac:dyDescent="0.25">
      <c r="A65" s="47">
        <v>43616</v>
      </c>
      <c r="B65" s="154">
        <v>120300000000</v>
      </c>
      <c r="C65" s="40"/>
      <c r="D65" s="40"/>
      <c r="E65" s="40"/>
      <c r="F65" s="40"/>
      <c r="G65" s="40"/>
      <c r="H65" s="40"/>
    </row>
    <row r="66" spans="1:8" x14ac:dyDescent="0.25">
      <c r="A66" s="47">
        <v>43585</v>
      </c>
      <c r="B66" s="154">
        <v>124300000000</v>
      </c>
      <c r="C66" s="40"/>
      <c r="D66" s="40"/>
      <c r="E66" s="40"/>
      <c r="F66" s="40"/>
      <c r="G66" s="40"/>
      <c r="H66" s="40"/>
    </row>
    <row r="67" spans="1:8" x14ac:dyDescent="0.25">
      <c r="A67" s="47">
        <v>43555</v>
      </c>
      <c r="B67" s="154">
        <v>124500000000</v>
      </c>
      <c r="C67" s="40"/>
      <c r="D67" s="40"/>
      <c r="E67" s="40"/>
      <c r="F67" s="40"/>
      <c r="G67" s="40"/>
      <c r="H67" s="40"/>
    </row>
    <row r="68" spans="1:8" x14ac:dyDescent="0.25">
      <c r="A68" s="47">
        <v>43524</v>
      </c>
      <c r="B68" s="154">
        <v>123300000000</v>
      </c>
      <c r="C68" s="40"/>
      <c r="D68" s="40"/>
      <c r="E68" s="40"/>
      <c r="F68" s="40"/>
      <c r="G68" s="40"/>
      <c r="H68" s="40"/>
    </row>
    <row r="69" spans="1:8" x14ac:dyDescent="0.25">
      <c r="A69" s="47">
        <v>43496</v>
      </c>
      <c r="B69" s="154">
        <v>120100000000</v>
      </c>
      <c r="C69" s="40"/>
      <c r="D69" s="40"/>
      <c r="E69" s="40"/>
      <c r="F69" s="40"/>
      <c r="G69" s="40"/>
      <c r="H69" s="40"/>
    </row>
    <row r="70" spans="1:8" x14ac:dyDescent="0.25">
      <c r="A70" s="47">
        <v>43465</v>
      </c>
      <c r="B70" s="154">
        <v>120700000000</v>
      </c>
      <c r="C70" s="40"/>
      <c r="D70" s="40"/>
      <c r="E70" s="40"/>
      <c r="F70" s="40"/>
      <c r="G70" s="40"/>
      <c r="H70" s="40"/>
    </row>
    <row r="71" spans="1:8" x14ac:dyDescent="0.25">
      <c r="A71" s="47">
        <v>43434</v>
      </c>
      <c r="B71" s="154">
        <v>117200000000</v>
      </c>
      <c r="C71" s="40"/>
      <c r="D71" s="40"/>
      <c r="E71" s="40"/>
      <c r="F71" s="40"/>
      <c r="G71" s="40"/>
      <c r="H71" s="40"/>
    </row>
    <row r="72" spans="1:8" x14ac:dyDescent="0.25">
      <c r="A72" s="47">
        <v>43404</v>
      </c>
      <c r="B72" s="154">
        <v>115200000000</v>
      </c>
      <c r="C72" s="40"/>
      <c r="D72" s="40"/>
      <c r="E72" s="40"/>
      <c r="F72" s="40"/>
      <c r="G72" s="40"/>
      <c r="H72" s="40"/>
    </row>
    <row r="73" spans="1:8" x14ac:dyDescent="0.25">
      <c r="A73" s="47">
        <v>43373</v>
      </c>
      <c r="B73" s="154">
        <v>114800000000</v>
      </c>
      <c r="C73" s="40"/>
      <c r="D73" s="40"/>
      <c r="E73" s="40"/>
      <c r="F73" s="40"/>
      <c r="G73" s="40"/>
      <c r="H73" s="40"/>
    </row>
    <row r="74" spans="1:8" x14ac:dyDescent="0.25">
      <c r="A74" s="47">
        <v>43343</v>
      </c>
      <c r="B74" s="154">
        <v>117900000000</v>
      </c>
      <c r="C74" s="40"/>
      <c r="D74" s="40"/>
      <c r="E74" s="40"/>
      <c r="F74" s="40"/>
      <c r="G74" s="40"/>
      <c r="H74" s="40"/>
    </row>
    <row r="75" spans="1:8" x14ac:dyDescent="0.25">
      <c r="A75" s="47">
        <v>43312</v>
      </c>
      <c r="B75" s="154">
        <v>118300000000</v>
      </c>
      <c r="C75" s="40"/>
      <c r="D75" s="40"/>
      <c r="E75" s="40"/>
      <c r="F75" s="40"/>
      <c r="G75" s="40"/>
      <c r="H75" s="40"/>
    </row>
    <row r="76" spans="1:8" x14ac:dyDescent="0.25">
      <c r="A76" s="47">
        <v>43281</v>
      </c>
      <c r="B76" s="154">
        <v>119800000000</v>
      </c>
      <c r="C76" s="40"/>
      <c r="D76" s="40"/>
      <c r="E76" s="40"/>
      <c r="F76" s="40"/>
      <c r="G76" s="40"/>
      <c r="H76" s="40"/>
    </row>
    <row r="77" spans="1:8" x14ac:dyDescent="0.25">
      <c r="A77" s="47">
        <v>43251</v>
      </c>
      <c r="B77" s="154">
        <v>122900000000</v>
      </c>
      <c r="C77" s="40"/>
      <c r="D77" s="40"/>
      <c r="E77" s="40"/>
      <c r="F77" s="40"/>
      <c r="G77" s="40"/>
      <c r="H77" s="40"/>
    </row>
    <row r="78" spans="1:8" x14ac:dyDescent="0.25">
      <c r="A78" s="47">
        <v>43220</v>
      </c>
      <c r="B78" s="154">
        <v>124900000000</v>
      </c>
      <c r="C78" s="40"/>
      <c r="D78" s="40"/>
      <c r="E78" s="40"/>
      <c r="F78" s="40"/>
      <c r="G78" s="40"/>
      <c r="H78" s="40"/>
    </row>
    <row r="79" spans="1:8" x14ac:dyDescent="0.25">
      <c r="A79" s="47">
        <v>43190</v>
      </c>
      <c r="B79" s="154">
        <v>126000000000</v>
      </c>
      <c r="C79" s="40"/>
      <c r="D79" s="40"/>
      <c r="E79" s="40"/>
      <c r="F79" s="40"/>
      <c r="G79" s="40"/>
      <c r="H79" s="40"/>
    </row>
    <row r="80" spans="1:8" x14ac:dyDescent="0.25">
      <c r="A80" s="47">
        <v>43159</v>
      </c>
      <c r="B80" s="154">
        <v>128100000000</v>
      </c>
      <c r="C80" s="40"/>
      <c r="D80" s="40"/>
      <c r="E80" s="40"/>
      <c r="F80" s="40"/>
      <c r="G80" s="40"/>
      <c r="H80" s="40"/>
    </row>
    <row r="81" spans="1:8" x14ac:dyDescent="0.25">
      <c r="A81" s="47">
        <v>43131</v>
      </c>
      <c r="B81" s="154">
        <v>132000000000</v>
      </c>
      <c r="C81" s="40"/>
      <c r="D81" s="40"/>
      <c r="E81" s="40"/>
      <c r="F81" s="40"/>
      <c r="G81" s="40"/>
      <c r="H81" s="40"/>
    </row>
    <row r="82" spans="1:8" x14ac:dyDescent="0.25">
      <c r="A82" s="47">
        <v>43100</v>
      </c>
      <c r="B82" s="154">
        <v>130200000000</v>
      </c>
      <c r="C82" s="40"/>
      <c r="D82" s="40"/>
      <c r="E82" s="40"/>
      <c r="F82" s="40"/>
      <c r="G82" s="40"/>
      <c r="H82" s="40"/>
    </row>
    <row r="83" spans="1:8" x14ac:dyDescent="0.25">
      <c r="A83" s="47">
        <v>43069</v>
      </c>
      <c r="B83" s="154">
        <v>126000000000</v>
      </c>
      <c r="C83" s="40"/>
      <c r="D83" s="40"/>
      <c r="E83" s="40"/>
      <c r="F83" s="40"/>
      <c r="G83" s="40"/>
      <c r="H83" s="40"/>
    </row>
    <row r="84" spans="1:8" x14ac:dyDescent="0.25">
      <c r="A84" s="47">
        <v>43039</v>
      </c>
      <c r="B84" s="154">
        <v>126600000000</v>
      </c>
      <c r="C84" s="40"/>
      <c r="D84" s="40"/>
      <c r="E84" s="40"/>
      <c r="F84" s="40"/>
      <c r="G84" s="40"/>
      <c r="H84" s="40"/>
    </row>
    <row r="85" spans="1:8" x14ac:dyDescent="0.25">
      <c r="A85" s="47">
        <v>43008</v>
      </c>
      <c r="B85" s="154">
        <v>129400000000</v>
      </c>
      <c r="C85" s="40"/>
      <c r="D85" s="40"/>
      <c r="E85" s="40"/>
      <c r="F85" s="40"/>
      <c r="G85" s="40"/>
      <c r="H85" s="40"/>
    </row>
    <row r="86" spans="1:8" x14ac:dyDescent="0.25">
      <c r="A86" s="47">
        <v>42978</v>
      </c>
      <c r="B86" s="154">
        <v>128800000000</v>
      </c>
      <c r="C86" s="40"/>
      <c r="D86" s="40"/>
      <c r="E86" s="40"/>
      <c r="F86" s="40"/>
      <c r="G86" s="40"/>
      <c r="H86" s="40"/>
    </row>
    <row r="87" spans="1:8" x14ac:dyDescent="0.25">
      <c r="A87" s="47">
        <v>42947</v>
      </c>
      <c r="B87" s="154">
        <v>127800000000</v>
      </c>
      <c r="C87" s="40"/>
      <c r="D87" s="40"/>
      <c r="E87" s="40"/>
      <c r="F87" s="40"/>
      <c r="G87" s="40"/>
      <c r="H87" s="40"/>
    </row>
    <row r="88" spans="1:8" x14ac:dyDescent="0.25">
      <c r="A88" s="47">
        <v>42916</v>
      </c>
      <c r="B88" s="154">
        <v>123100000000</v>
      </c>
      <c r="C88" s="40"/>
      <c r="D88" s="40"/>
      <c r="E88" s="40"/>
      <c r="F88" s="40"/>
      <c r="G88" s="40"/>
      <c r="H88" s="40"/>
    </row>
    <row r="89" spans="1:8" x14ac:dyDescent="0.25">
      <c r="A89" s="47">
        <v>42886</v>
      </c>
      <c r="B89" s="154">
        <v>125000000000</v>
      </c>
      <c r="C89" s="40"/>
      <c r="D89" s="40"/>
      <c r="E89" s="40"/>
      <c r="F89" s="40"/>
      <c r="G89" s="40"/>
      <c r="H89" s="40"/>
    </row>
    <row r="90" spans="1:8" x14ac:dyDescent="0.25">
      <c r="A90" s="47">
        <v>42855</v>
      </c>
      <c r="B90" s="154">
        <v>123200000000</v>
      </c>
      <c r="C90" s="40"/>
      <c r="D90" s="40"/>
      <c r="E90" s="40"/>
      <c r="F90" s="40"/>
      <c r="G90" s="40"/>
      <c r="H90" s="40"/>
    </row>
    <row r="91" spans="1:8" x14ac:dyDescent="0.25">
      <c r="A91" s="47">
        <v>42825</v>
      </c>
      <c r="B91" s="154">
        <v>121800000000</v>
      </c>
      <c r="C91" s="40"/>
      <c r="D91" s="40"/>
      <c r="E91" s="40"/>
      <c r="F91" s="40"/>
      <c r="G91" s="40"/>
      <c r="H91" s="40"/>
    </row>
    <row r="92" spans="1:8" x14ac:dyDescent="0.25">
      <c r="A92" s="47">
        <v>42794</v>
      </c>
      <c r="B92" s="154">
        <v>119900000000</v>
      </c>
      <c r="C92" s="40"/>
      <c r="D92" s="40"/>
      <c r="E92" s="40"/>
      <c r="F92" s="40"/>
      <c r="G92" s="40"/>
      <c r="H92" s="40"/>
    </row>
    <row r="93" spans="1:8" x14ac:dyDescent="0.25">
      <c r="A93" s="47">
        <v>42766</v>
      </c>
      <c r="B93" s="154">
        <v>116900000000</v>
      </c>
      <c r="C93" s="40"/>
      <c r="D93" s="40"/>
      <c r="E93" s="40"/>
      <c r="F93" s="40"/>
      <c r="G93" s="40"/>
      <c r="H93" s="40"/>
    </row>
    <row r="94" spans="1:8" x14ac:dyDescent="0.25">
      <c r="A94" s="47">
        <v>42735</v>
      </c>
      <c r="B94" s="154">
        <v>116400000000</v>
      </c>
      <c r="C94" s="40"/>
      <c r="D94" s="40"/>
      <c r="E94" s="40"/>
      <c r="F94" s="40"/>
      <c r="G94" s="40"/>
      <c r="H94" s="40"/>
    </row>
    <row r="95" spans="1:8" x14ac:dyDescent="0.25">
      <c r="A95" s="47">
        <v>42704</v>
      </c>
      <c r="B95" s="154">
        <v>111500000000</v>
      </c>
      <c r="C95" s="40"/>
      <c r="D95" s="40"/>
      <c r="E95" s="40"/>
      <c r="F95" s="40"/>
      <c r="G95" s="40"/>
      <c r="H95" s="40"/>
    </row>
    <row r="96" spans="1:8" x14ac:dyDescent="0.25">
      <c r="A96" s="47">
        <v>42674</v>
      </c>
      <c r="B96" s="154">
        <v>115000000000</v>
      </c>
      <c r="C96" s="40"/>
      <c r="D96" s="40"/>
      <c r="E96" s="40"/>
      <c r="F96" s="40"/>
      <c r="G96" s="40"/>
      <c r="H96" s="40"/>
    </row>
    <row r="97" spans="1:8" x14ac:dyDescent="0.25">
      <c r="A97" s="47">
        <v>42643</v>
      </c>
      <c r="B97" s="154">
        <v>115700000000</v>
      </c>
      <c r="C97" s="40"/>
      <c r="D97" s="40"/>
      <c r="E97" s="40"/>
      <c r="F97" s="40"/>
      <c r="G97" s="40"/>
      <c r="H97" s="40"/>
    </row>
    <row r="98" spans="1:8" x14ac:dyDescent="0.25">
      <c r="A98" s="47">
        <v>42613</v>
      </c>
      <c r="B98" s="154">
        <v>113500000000</v>
      </c>
      <c r="C98" s="40"/>
      <c r="D98" s="40"/>
      <c r="E98" s="40"/>
      <c r="F98" s="40"/>
      <c r="G98" s="40"/>
      <c r="H98" s="40"/>
    </row>
    <row r="99" spans="1:8" x14ac:dyDescent="0.25">
      <c r="A99" s="47">
        <v>42582</v>
      </c>
      <c r="B99" s="154">
        <v>111400000000</v>
      </c>
      <c r="C99" s="40"/>
      <c r="D99" s="40"/>
      <c r="E99" s="40"/>
      <c r="F99" s="40"/>
      <c r="G99" s="40"/>
      <c r="H99" s="40"/>
    </row>
    <row r="100" spans="1:8" x14ac:dyDescent="0.25">
      <c r="A100" s="47">
        <v>42551</v>
      </c>
      <c r="B100" s="154">
        <v>109800000000</v>
      </c>
      <c r="C100" s="40"/>
      <c r="D100" s="40"/>
      <c r="E100" s="40"/>
      <c r="F100" s="40"/>
      <c r="G100" s="40"/>
      <c r="H100" s="40"/>
    </row>
    <row r="101" spans="1:8" x14ac:dyDescent="0.25">
      <c r="A101" s="47">
        <v>42521</v>
      </c>
      <c r="B101" s="154">
        <v>103600000000</v>
      </c>
      <c r="C101" s="40"/>
      <c r="D101" s="40"/>
      <c r="E101" s="40"/>
      <c r="F101" s="40"/>
      <c r="G101" s="40"/>
      <c r="H101" s="40"/>
    </row>
    <row r="102" spans="1:8" x14ac:dyDescent="0.25">
      <c r="A102" s="47">
        <v>42490</v>
      </c>
      <c r="B102" s="154">
        <v>107700000000</v>
      </c>
      <c r="C102" s="40"/>
      <c r="D102" s="40"/>
      <c r="E102" s="40"/>
      <c r="F102" s="40"/>
      <c r="G102" s="40"/>
      <c r="H102" s="40"/>
    </row>
    <row r="103" spans="1:8" x14ac:dyDescent="0.25">
      <c r="A103" s="47">
        <v>42460</v>
      </c>
      <c r="B103" s="154">
        <v>107500000000</v>
      </c>
      <c r="C103" s="40"/>
      <c r="D103" s="40"/>
      <c r="E103" s="40"/>
      <c r="F103" s="40"/>
      <c r="G103" s="40"/>
      <c r="H103" s="40"/>
    </row>
    <row r="104" spans="1:8" x14ac:dyDescent="0.25">
      <c r="A104" s="47">
        <v>42429</v>
      </c>
      <c r="B104" s="154">
        <v>104500000000</v>
      </c>
      <c r="C104" s="40"/>
      <c r="D104" s="40"/>
      <c r="E104" s="40"/>
      <c r="F104" s="40"/>
      <c r="G104" s="40"/>
      <c r="H104" s="40"/>
    </row>
    <row r="105" spans="1:8" x14ac:dyDescent="0.25">
      <c r="A105" s="47">
        <v>42400</v>
      </c>
      <c r="B105" s="154">
        <v>102100000000</v>
      </c>
      <c r="C105" s="40"/>
      <c r="D105" s="40"/>
      <c r="E105" s="40"/>
      <c r="F105" s="40"/>
      <c r="G105" s="40"/>
      <c r="H105" s="40"/>
    </row>
    <row r="106" spans="1:8" x14ac:dyDescent="0.25">
      <c r="A106" s="47">
        <v>42369</v>
      </c>
      <c r="B106" s="154">
        <v>105900000000</v>
      </c>
      <c r="C106" s="40"/>
      <c r="D106" s="40"/>
      <c r="E106" s="40"/>
      <c r="F106" s="40"/>
      <c r="G106" s="40"/>
      <c r="H106" s="40"/>
    </row>
    <row r="107" spans="1:8" x14ac:dyDescent="0.25">
      <c r="A107" s="47">
        <v>42338</v>
      </c>
      <c r="B107" s="154">
        <v>100200000000</v>
      </c>
      <c r="C107" s="40"/>
      <c r="D107" s="40"/>
      <c r="E107" s="40"/>
      <c r="F107" s="40"/>
      <c r="G107" s="40"/>
      <c r="H107" s="40"/>
    </row>
    <row r="108" spans="1:8" x14ac:dyDescent="0.25">
      <c r="A108" s="47">
        <v>42308</v>
      </c>
      <c r="B108" s="154">
        <v>100700000000</v>
      </c>
      <c r="C108" s="40"/>
      <c r="D108" s="40"/>
      <c r="E108" s="40"/>
      <c r="F108" s="40"/>
      <c r="G108" s="40"/>
      <c r="H108" s="40"/>
    </row>
    <row r="109" spans="1:8" x14ac:dyDescent="0.25">
      <c r="A109" s="47">
        <v>42277</v>
      </c>
      <c r="B109" s="154">
        <v>101700000000</v>
      </c>
      <c r="C109" s="40"/>
      <c r="D109" s="40"/>
      <c r="E109" s="40"/>
      <c r="F109" s="40"/>
      <c r="G109" s="40"/>
      <c r="H109" s="40"/>
    </row>
    <row r="110" spans="1:8" x14ac:dyDescent="0.25">
      <c r="A110" s="47">
        <v>42247</v>
      </c>
      <c r="B110" s="154">
        <v>105300000000</v>
      </c>
      <c r="C110" s="40"/>
      <c r="D110" s="40"/>
      <c r="E110" s="40"/>
      <c r="F110" s="40"/>
      <c r="G110" s="40"/>
      <c r="H110" s="40"/>
    </row>
    <row r="111" spans="1:8" x14ac:dyDescent="0.25">
      <c r="A111" s="47">
        <v>42216</v>
      </c>
      <c r="B111" s="154">
        <v>107600000000</v>
      </c>
      <c r="C111" s="40"/>
      <c r="D111" s="40"/>
      <c r="E111" s="40"/>
      <c r="F111" s="40"/>
      <c r="G111" s="40"/>
      <c r="H111" s="40"/>
    </row>
    <row r="112" spans="1:8" x14ac:dyDescent="0.25">
      <c r="A112" s="47">
        <v>42185</v>
      </c>
      <c r="B112" s="154">
        <v>108000000000</v>
      </c>
      <c r="C112" s="40"/>
      <c r="D112" s="40"/>
      <c r="E112" s="40"/>
      <c r="F112" s="40"/>
      <c r="G112" s="40"/>
      <c r="H112" s="40"/>
    </row>
    <row r="113" spans="1:8" x14ac:dyDescent="0.25">
      <c r="A113" s="47">
        <v>42155</v>
      </c>
      <c r="B113" s="154">
        <v>110800000000</v>
      </c>
      <c r="C113" s="40"/>
      <c r="D113" s="40"/>
      <c r="E113" s="40"/>
      <c r="F113" s="40"/>
      <c r="G113" s="40"/>
      <c r="H113" s="40"/>
    </row>
    <row r="114" spans="1:8" x14ac:dyDescent="0.25">
      <c r="A114" s="47">
        <v>42124</v>
      </c>
      <c r="B114" s="154">
        <v>110900000000</v>
      </c>
      <c r="C114" s="40"/>
      <c r="D114" s="40"/>
      <c r="E114" s="40"/>
      <c r="F114" s="40"/>
      <c r="G114" s="40"/>
      <c r="H114" s="40"/>
    </row>
    <row r="115" spans="1:8" x14ac:dyDescent="0.25">
      <c r="A115" s="47">
        <v>42094</v>
      </c>
      <c r="B115" s="154">
        <v>111600000000</v>
      </c>
      <c r="C115" s="40"/>
      <c r="D115" s="40"/>
      <c r="E115" s="40"/>
      <c r="F115" s="40"/>
      <c r="G115" s="40"/>
      <c r="H115" s="40"/>
    </row>
    <row r="116" spans="1:8" x14ac:dyDescent="0.25">
      <c r="A116" s="47">
        <v>42063</v>
      </c>
      <c r="B116" s="154">
        <v>115500000000</v>
      </c>
      <c r="C116" s="40"/>
      <c r="D116" s="40"/>
      <c r="E116" s="40"/>
      <c r="F116" s="40"/>
      <c r="G116" s="40"/>
      <c r="H116" s="40"/>
    </row>
    <row r="117" spans="1:8" x14ac:dyDescent="0.25">
      <c r="A117" s="47">
        <v>42035</v>
      </c>
      <c r="B117" s="154">
        <v>114200000000</v>
      </c>
      <c r="C117" s="40"/>
      <c r="D117" s="40"/>
      <c r="E117" s="40"/>
      <c r="F117" s="40"/>
      <c r="G117" s="40"/>
      <c r="H117" s="40"/>
    </row>
    <row r="118" spans="1:8" x14ac:dyDescent="0.25">
      <c r="A118" s="47">
        <v>42004</v>
      </c>
      <c r="B118" s="154">
        <v>111900000000</v>
      </c>
      <c r="C118" s="40"/>
      <c r="D118" s="40"/>
      <c r="E118" s="40"/>
      <c r="F118" s="40"/>
      <c r="G118" s="40"/>
      <c r="H118" s="40"/>
    </row>
    <row r="119" spans="1:8" x14ac:dyDescent="0.25">
      <c r="A119" s="47">
        <v>41973</v>
      </c>
      <c r="B119" s="154">
        <v>111100000000</v>
      </c>
      <c r="C119" s="40"/>
      <c r="D119" s="40"/>
      <c r="E119" s="40"/>
      <c r="F119" s="40"/>
      <c r="G119" s="40"/>
      <c r="H119" s="40"/>
    </row>
    <row r="120" spans="1:8" x14ac:dyDescent="0.25">
      <c r="A120" s="47">
        <v>41943</v>
      </c>
      <c r="B120" s="154">
        <v>112000000000</v>
      </c>
      <c r="C120" s="40"/>
      <c r="D120" s="40"/>
      <c r="E120" s="40"/>
      <c r="F120" s="40"/>
      <c r="G120" s="40"/>
      <c r="H120" s="40"/>
    </row>
    <row r="121" spans="1:8" x14ac:dyDescent="0.25">
      <c r="A121" s="47">
        <v>41912</v>
      </c>
      <c r="B121" s="154">
        <v>111200000000</v>
      </c>
      <c r="C121" s="40"/>
      <c r="D121" s="40"/>
      <c r="E121" s="40"/>
      <c r="F121" s="40"/>
      <c r="G121" s="40"/>
      <c r="H121" s="40"/>
    </row>
    <row r="122" spans="1:8" x14ac:dyDescent="0.25">
      <c r="A122" s="47">
        <v>41882</v>
      </c>
      <c r="B122" s="154">
        <v>111200000000</v>
      </c>
      <c r="C122" s="40"/>
      <c r="D122" s="40"/>
      <c r="E122" s="40"/>
      <c r="F122" s="40"/>
      <c r="G122" s="40"/>
      <c r="H122" s="40"/>
    </row>
    <row r="123" spans="1:8" x14ac:dyDescent="0.25">
      <c r="A123" s="47">
        <v>41851</v>
      </c>
      <c r="B123" s="154">
        <v>110500000000</v>
      </c>
      <c r="C123" s="40"/>
      <c r="D123" s="40"/>
      <c r="E123" s="40"/>
      <c r="F123" s="40"/>
      <c r="G123" s="40"/>
      <c r="H123" s="40"/>
    </row>
    <row r="124" spans="1:8" x14ac:dyDescent="0.25">
      <c r="A124" s="47">
        <v>41820</v>
      </c>
      <c r="B124" s="154">
        <v>107700000000</v>
      </c>
      <c r="C124" s="40"/>
      <c r="D124" s="40"/>
      <c r="E124" s="40"/>
      <c r="F124" s="40"/>
      <c r="G124" s="40"/>
      <c r="H124" s="40"/>
    </row>
    <row r="125" spans="1:8" x14ac:dyDescent="0.25">
      <c r="A125" s="47">
        <v>41790</v>
      </c>
      <c r="B125" s="154">
        <v>107000000000</v>
      </c>
      <c r="C125" s="40"/>
      <c r="D125" s="40"/>
      <c r="E125" s="40"/>
      <c r="F125" s="40"/>
      <c r="G125" s="40"/>
      <c r="H125" s="40"/>
    </row>
    <row r="126" spans="1:8" x14ac:dyDescent="0.25">
      <c r="A126" s="47">
        <v>41759</v>
      </c>
      <c r="B126" s="154">
        <v>105600000000</v>
      </c>
      <c r="C126" s="40"/>
      <c r="D126" s="40"/>
      <c r="E126" s="40"/>
      <c r="F126" s="40"/>
      <c r="G126" s="40"/>
      <c r="H126" s="40"/>
    </row>
    <row r="127" spans="1:8" x14ac:dyDescent="0.25">
      <c r="A127" s="47">
        <v>41729</v>
      </c>
      <c r="B127" s="154">
        <v>102500000000</v>
      </c>
      <c r="C127" s="40"/>
      <c r="D127" s="40"/>
      <c r="E127" s="40"/>
      <c r="F127" s="40"/>
      <c r="G127" s="40"/>
      <c r="H127" s="40"/>
    </row>
    <row r="128" spans="1:8" x14ac:dyDescent="0.25">
      <c r="A128" s="47">
        <v>41698</v>
      </c>
      <c r="B128" s="154">
        <v>102000000000</v>
      </c>
      <c r="C128" s="40"/>
      <c r="D128" s="40"/>
      <c r="E128" s="40"/>
      <c r="F128" s="40"/>
      <c r="G128" s="40"/>
      <c r="H128" s="40"/>
    </row>
    <row r="129" spans="1:8" x14ac:dyDescent="0.25">
      <c r="A129" s="47">
        <v>41670</v>
      </c>
      <c r="B129" s="154">
        <v>100600000000</v>
      </c>
      <c r="C129" s="40"/>
      <c r="D129" s="40"/>
      <c r="E129" s="40"/>
      <c r="F129" s="40"/>
      <c r="G129" s="40"/>
      <c r="H129" s="40"/>
    </row>
    <row r="130" spans="1:8" x14ac:dyDescent="0.25">
      <c r="A130" s="47">
        <v>41639</v>
      </c>
      <c r="B130" s="154">
        <v>99400000000</v>
      </c>
      <c r="C130" s="40"/>
      <c r="D130" s="40"/>
      <c r="E130" s="40"/>
      <c r="F130" s="40"/>
      <c r="G130" s="40"/>
      <c r="H130" s="40"/>
    </row>
    <row r="131" spans="1:8" x14ac:dyDescent="0.25">
      <c r="A131" s="47">
        <v>41608</v>
      </c>
      <c r="B131" s="154">
        <v>97000000000</v>
      </c>
      <c r="C131" s="40"/>
      <c r="D131" s="40"/>
      <c r="E131" s="40"/>
      <c r="F131" s="40"/>
      <c r="G131" s="40"/>
      <c r="H131" s="40"/>
    </row>
    <row r="132" spans="1:8" x14ac:dyDescent="0.25">
      <c r="A132" s="47">
        <v>41578</v>
      </c>
      <c r="B132" s="154">
        <v>97000000000</v>
      </c>
      <c r="C132" s="40"/>
      <c r="D132" s="40"/>
      <c r="E132" s="40"/>
      <c r="F132" s="40"/>
      <c r="G132" s="40"/>
      <c r="H132" s="40"/>
    </row>
    <row r="133" spans="1:8" x14ac:dyDescent="0.25">
      <c r="A133" s="47">
        <v>41547</v>
      </c>
      <c r="B133" s="154">
        <v>95700000000</v>
      </c>
      <c r="C133" s="40"/>
      <c r="D133" s="40"/>
      <c r="E133" s="40"/>
      <c r="F133" s="40"/>
      <c r="G133" s="40"/>
      <c r="H133" s="40"/>
    </row>
    <row r="134" spans="1:8" x14ac:dyDescent="0.25">
      <c r="A134" s="47">
        <v>41517</v>
      </c>
      <c r="B134" s="154">
        <v>93000000000</v>
      </c>
      <c r="C134" s="40"/>
      <c r="D134" s="40"/>
      <c r="E134" s="40"/>
      <c r="F134" s="40"/>
      <c r="G134" s="40"/>
      <c r="H134" s="40"/>
    </row>
    <row r="135" spans="1:8" x14ac:dyDescent="0.25">
      <c r="A135" s="47">
        <v>41486</v>
      </c>
      <c r="B135" s="154">
        <v>92700000000</v>
      </c>
      <c r="C135" s="40"/>
      <c r="D135" s="40"/>
      <c r="E135" s="40"/>
      <c r="F135" s="40"/>
      <c r="G135" s="40"/>
      <c r="H135" s="40"/>
    </row>
    <row r="136" spans="1:8" x14ac:dyDescent="0.25">
      <c r="A136" s="47">
        <v>41455</v>
      </c>
      <c r="B136" s="154">
        <v>98100000000</v>
      </c>
      <c r="C136" s="40"/>
      <c r="D136" s="40"/>
      <c r="E136" s="40"/>
      <c r="F136" s="40"/>
      <c r="G136" s="40"/>
      <c r="H136" s="40"/>
    </row>
  </sheetData>
  <mergeCells count="4">
    <mergeCell ref="A2:H2"/>
    <mergeCell ref="A3:H3"/>
    <mergeCell ref="A14:A16"/>
    <mergeCell ref="B14:B15"/>
  </mergeCells>
  <pageMargins left="0.7" right="0.7" top="0.75" bottom="0.75" header="0.3" footer="0.3"/>
  <customProperties>
    <customPr name="REFI_OFFICE_FUNCTION_DATA" r:id="rId1"/>
  </customPropertie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8E60E-37EA-401D-B831-AECC232557ED}">
  <dimension ref="A1:H138"/>
  <sheetViews>
    <sheetView workbookViewId="0">
      <selection activeCell="V10" sqref="V10"/>
    </sheetView>
  </sheetViews>
  <sheetFormatPr defaultRowHeight="15" x14ac:dyDescent="0.25"/>
  <cols>
    <col min="1" max="1" width="13.85546875" customWidth="1"/>
  </cols>
  <sheetData>
    <row r="1" spans="1:8" ht="15.75" x14ac:dyDescent="0.25">
      <c r="A1" s="39" t="s">
        <v>42</v>
      </c>
      <c r="B1" s="40"/>
      <c r="C1" s="40"/>
      <c r="D1" s="40"/>
      <c r="E1" s="40"/>
      <c r="F1" s="40"/>
      <c r="G1" s="40"/>
      <c r="H1" s="40"/>
    </row>
    <row r="2" spans="1:8" x14ac:dyDescent="0.25">
      <c r="A2" s="221" t="s">
        <v>1190</v>
      </c>
      <c r="B2" s="222"/>
      <c r="C2" s="222"/>
      <c r="D2" s="222"/>
      <c r="E2" s="222"/>
      <c r="F2" s="222"/>
      <c r="G2" s="222"/>
      <c r="H2" s="222"/>
    </row>
    <row r="3" spans="1:8" x14ac:dyDescent="0.25">
      <c r="A3" s="223" t="s">
        <v>1202</v>
      </c>
      <c r="B3" s="222"/>
      <c r="C3" s="222"/>
      <c r="D3" s="222"/>
      <c r="E3" s="222"/>
      <c r="F3" s="222"/>
      <c r="G3" s="222"/>
      <c r="H3" s="222"/>
    </row>
    <row r="4" spans="1:8" x14ac:dyDescent="0.25">
      <c r="A4" s="40"/>
      <c r="B4" s="40"/>
      <c r="C4" s="40"/>
      <c r="D4" s="40"/>
      <c r="E4" s="40"/>
      <c r="F4" s="40"/>
      <c r="G4" s="40"/>
      <c r="H4" s="40"/>
    </row>
    <row r="5" spans="1:8" x14ac:dyDescent="0.25">
      <c r="A5" s="42" t="s">
        <v>45</v>
      </c>
      <c r="B5" s="42" t="s">
        <v>1203</v>
      </c>
      <c r="C5" s="42" t="s">
        <v>47</v>
      </c>
      <c r="D5" s="42" t="s">
        <v>48</v>
      </c>
      <c r="E5" s="42" t="s">
        <v>49</v>
      </c>
      <c r="F5" s="42" t="s">
        <v>1204</v>
      </c>
      <c r="G5" s="40"/>
      <c r="H5" s="40"/>
    </row>
    <row r="6" spans="1:8" x14ac:dyDescent="0.25">
      <c r="A6" s="42" t="s">
        <v>73</v>
      </c>
      <c r="B6" s="42" t="s">
        <v>1205</v>
      </c>
      <c r="C6" s="43" t="s">
        <v>1206</v>
      </c>
      <c r="D6" s="43" t="s">
        <v>1207</v>
      </c>
      <c r="E6" s="42" t="s">
        <v>67</v>
      </c>
      <c r="F6" s="42" t="s">
        <v>1208</v>
      </c>
      <c r="G6" s="40"/>
      <c r="H6" s="40"/>
    </row>
    <row r="7" spans="1:8" x14ac:dyDescent="0.25">
      <c r="A7" s="40"/>
      <c r="B7" s="40"/>
      <c r="C7" s="40"/>
      <c r="D7" s="40"/>
      <c r="E7" s="40"/>
      <c r="F7" s="40"/>
      <c r="G7" s="40"/>
      <c r="H7" s="40"/>
    </row>
    <row r="8" spans="1:8" x14ac:dyDescent="0.25">
      <c r="A8" s="43" t="s">
        <v>56</v>
      </c>
      <c r="B8" s="40"/>
      <c r="C8" s="40"/>
      <c r="D8" s="40"/>
      <c r="E8" s="40"/>
      <c r="F8" s="40"/>
      <c r="G8" s="40"/>
      <c r="H8" s="40"/>
    </row>
    <row r="9" spans="1:8" x14ac:dyDescent="0.25">
      <c r="A9" s="43" t="s">
        <v>80</v>
      </c>
      <c r="B9" s="43" t="s">
        <v>1209</v>
      </c>
      <c r="C9" s="40"/>
      <c r="D9" s="40"/>
      <c r="E9" s="40"/>
      <c r="F9" s="40"/>
      <c r="G9" s="40"/>
      <c r="H9" s="40"/>
    </row>
    <row r="10" spans="1:8" x14ac:dyDescent="0.25">
      <c r="A10" s="43" t="s">
        <v>82</v>
      </c>
      <c r="B10" s="43" t="s">
        <v>83</v>
      </c>
      <c r="C10" s="43" t="str">
        <f>_xll.RDP.HistoricalPricing($B$16:$B$16,"VALUE"," START:24-Jun-2013 END:23-Jun-2023 INTERVAL:P1M SOURCE:RFV",,"TSREPEAT:NO RH:TimeStamp",$A$17)</f>
        <v>Updated at 17:14:53</v>
      </c>
      <c r="D10" s="40"/>
      <c r="E10" s="40"/>
      <c r="F10" s="40"/>
      <c r="G10" s="40"/>
      <c r="H10" s="40"/>
    </row>
    <row r="11" spans="1:8" x14ac:dyDescent="0.25">
      <c r="A11" s="43" t="s">
        <v>84</v>
      </c>
      <c r="B11" s="43" t="s">
        <v>1210</v>
      </c>
      <c r="C11" s="40"/>
      <c r="D11" s="40"/>
      <c r="E11" s="40"/>
      <c r="F11" s="40"/>
      <c r="G11" s="40"/>
      <c r="H11" s="40"/>
    </row>
    <row r="12" spans="1:8" x14ac:dyDescent="0.25">
      <c r="A12" s="43" t="s">
        <v>56</v>
      </c>
      <c r="B12" s="40"/>
      <c r="C12" s="40"/>
      <c r="D12" s="40"/>
      <c r="E12" s="40"/>
      <c r="F12" s="40"/>
      <c r="G12" s="40"/>
      <c r="H12" s="40"/>
    </row>
    <row r="13" spans="1:8" x14ac:dyDescent="0.25">
      <c r="A13" s="43" t="s">
        <v>56</v>
      </c>
      <c r="B13" s="40"/>
      <c r="C13" s="40"/>
      <c r="D13" s="40"/>
      <c r="E13" s="40"/>
      <c r="F13" s="40"/>
      <c r="G13" s="40"/>
      <c r="H13" s="40"/>
    </row>
    <row r="14" spans="1:8" x14ac:dyDescent="0.25">
      <c r="A14" s="197" t="s">
        <v>33</v>
      </c>
      <c r="B14" s="199" t="s">
        <v>1200</v>
      </c>
      <c r="C14" s="40"/>
      <c r="D14" s="40"/>
      <c r="E14" s="40"/>
      <c r="F14" s="40"/>
      <c r="G14" s="40"/>
      <c r="H14" s="40"/>
    </row>
    <row r="15" spans="1:8" x14ac:dyDescent="0.25">
      <c r="A15" s="197" t="s">
        <v>33</v>
      </c>
      <c r="B15" s="199" t="s">
        <v>1200</v>
      </c>
      <c r="C15" s="40"/>
      <c r="D15" s="40"/>
      <c r="E15" s="40"/>
      <c r="F15" s="40"/>
      <c r="G15" s="40"/>
      <c r="H15" s="40"/>
    </row>
    <row r="16" spans="1:8" x14ac:dyDescent="0.25">
      <c r="A16" s="197" t="s">
        <v>33</v>
      </c>
      <c r="B16" s="46" t="s">
        <v>1211</v>
      </c>
      <c r="C16" s="40"/>
      <c r="D16" s="40"/>
      <c r="E16" s="40"/>
      <c r="F16" s="40"/>
      <c r="G16" s="40"/>
      <c r="H16" s="40"/>
    </row>
    <row r="17" spans="1:8" x14ac:dyDescent="0.25">
      <c r="A17" s="47">
        <v>45107</v>
      </c>
      <c r="B17" s="40">
        <v>95.713292114034601</v>
      </c>
      <c r="C17" s="40"/>
      <c r="D17" s="40"/>
      <c r="E17" s="40"/>
      <c r="F17" s="40"/>
      <c r="G17" s="40"/>
      <c r="H17" s="40"/>
    </row>
    <row r="18" spans="1:8" x14ac:dyDescent="0.25">
      <c r="A18" s="47">
        <v>45077</v>
      </c>
      <c r="B18" s="40">
        <v>95.3900523080125</v>
      </c>
      <c r="C18" s="40"/>
      <c r="D18" s="40"/>
      <c r="E18" s="40"/>
      <c r="F18" s="40"/>
      <c r="G18" s="40"/>
      <c r="H18" s="40"/>
    </row>
    <row r="19" spans="1:8" x14ac:dyDescent="0.25">
      <c r="A19" s="47">
        <v>45046</v>
      </c>
      <c r="B19" s="40">
        <v>95.602925503283203</v>
      </c>
      <c r="C19" s="40"/>
      <c r="D19" s="40"/>
      <c r="E19" s="40"/>
      <c r="F19" s="40"/>
      <c r="G19" s="40"/>
      <c r="H19" s="40"/>
    </row>
    <row r="20" spans="1:8" x14ac:dyDescent="0.25">
      <c r="A20" s="47">
        <v>45016</v>
      </c>
      <c r="B20" s="40">
        <v>92.899609726158005</v>
      </c>
      <c r="C20" s="40"/>
      <c r="D20" s="40"/>
      <c r="E20" s="40"/>
      <c r="F20" s="40"/>
      <c r="G20" s="40"/>
      <c r="H20" s="40"/>
    </row>
    <row r="21" spans="1:8" x14ac:dyDescent="0.25">
      <c r="A21" s="47">
        <v>44985</v>
      </c>
      <c r="B21" s="40">
        <v>92.599113224688494</v>
      </c>
      <c r="C21" s="40"/>
      <c r="D21" s="40"/>
      <c r="E21" s="40"/>
      <c r="F21" s="40"/>
      <c r="G21" s="40"/>
      <c r="H21" s="40"/>
    </row>
    <row r="22" spans="1:8" x14ac:dyDescent="0.25">
      <c r="A22" s="47">
        <v>44957</v>
      </c>
      <c r="B22" s="40">
        <v>91.363619355669798</v>
      </c>
      <c r="C22" s="40"/>
      <c r="D22" s="40"/>
      <c r="E22" s="40"/>
      <c r="F22" s="40"/>
      <c r="G22" s="40"/>
      <c r="H22" s="40"/>
    </row>
    <row r="23" spans="1:8" x14ac:dyDescent="0.25">
      <c r="A23" s="47">
        <v>44926</v>
      </c>
      <c r="B23" s="40">
        <v>89.685816535925298</v>
      </c>
      <c r="C23" s="40"/>
      <c r="D23" s="40"/>
      <c r="E23" s="40"/>
      <c r="F23" s="40"/>
      <c r="G23" s="40"/>
      <c r="H23" s="40"/>
    </row>
    <row r="24" spans="1:8" x14ac:dyDescent="0.25">
      <c r="A24" s="47">
        <v>44895</v>
      </c>
      <c r="B24" s="40">
        <v>90.429567854991305</v>
      </c>
      <c r="C24" s="40"/>
      <c r="D24" s="40"/>
      <c r="E24" s="40"/>
      <c r="F24" s="40"/>
      <c r="G24" s="40"/>
      <c r="H24" s="40"/>
    </row>
    <row r="25" spans="1:8" x14ac:dyDescent="0.25">
      <c r="A25" s="47">
        <v>44865</v>
      </c>
      <c r="B25" s="40">
        <v>94.733410506599995</v>
      </c>
      <c r="C25" s="40"/>
      <c r="D25" s="40"/>
      <c r="E25" s="40"/>
      <c r="F25" s="40"/>
      <c r="G25" s="40"/>
      <c r="H25" s="40"/>
    </row>
    <row r="26" spans="1:8" x14ac:dyDescent="0.25">
      <c r="A26" s="47">
        <v>44834</v>
      </c>
      <c r="B26" s="40">
        <v>96.534413511099999</v>
      </c>
      <c r="C26" s="40"/>
      <c r="D26" s="40"/>
      <c r="E26" s="40"/>
      <c r="F26" s="40"/>
      <c r="G26" s="40"/>
      <c r="H26" s="40"/>
    </row>
    <row r="27" spans="1:8" x14ac:dyDescent="0.25">
      <c r="A27" s="47">
        <v>44804</v>
      </c>
      <c r="B27" s="40">
        <v>95.275312008399993</v>
      </c>
      <c r="C27" s="40"/>
      <c r="D27" s="40"/>
      <c r="E27" s="40"/>
      <c r="F27" s="40"/>
      <c r="G27" s="40"/>
      <c r="H27" s="40"/>
    </row>
    <row r="28" spans="1:8" x14ac:dyDescent="0.25">
      <c r="A28" s="47">
        <v>44773</v>
      </c>
      <c r="B28" s="40">
        <v>93.443605852700003</v>
      </c>
      <c r="C28" s="40"/>
      <c r="D28" s="40"/>
      <c r="E28" s="40"/>
      <c r="F28" s="40"/>
      <c r="G28" s="40"/>
      <c r="H28" s="40"/>
    </row>
    <row r="29" spans="1:8" x14ac:dyDescent="0.25">
      <c r="A29" s="47">
        <v>44742</v>
      </c>
      <c r="B29" s="40">
        <v>92.886726290200002</v>
      </c>
      <c r="C29" s="40"/>
      <c r="D29" s="40"/>
      <c r="E29" s="40"/>
      <c r="F29" s="40"/>
      <c r="G29" s="40"/>
      <c r="H29" s="40"/>
    </row>
    <row r="30" spans="1:8" x14ac:dyDescent="0.25">
      <c r="A30" s="47">
        <v>44712</v>
      </c>
      <c r="B30" s="40">
        <v>92.985969065999996</v>
      </c>
      <c r="C30" s="40"/>
      <c r="D30" s="40"/>
      <c r="E30" s="40"/>
      <c r="F30" s="40"/>
      <c r="G30" s="40"/>
      <c r="H30" s="40"/>
    </row>
    <row r="31" spans="1:8" x14ac:dyDescent="0.25">
      <c r="A31" s="47">
        <v>44681</v>
      </c>
      <c r="B31" s="40">
        <v>93.7905084378</v>
      </c>
      <c r="C31" s="40"/>
      <c r="D31" s="40"/>
      <c r="E31" s="40"/>
      <c r="F31" s="40"/>
      <c r="G31" s="40"/>
      <c r="H31" s="40"/>
    </row>
    <row r="32" spans="1:8" x14ac:dyDescent="0.25">
      <c r="A32" s="47">
        <v>44651</v>
      </c>
      <c r="B32" s="40">
        <v>90.962187664599995</v>
      </c>
      <c r="C32" s="40"/>
      <c r="D32" s="40"/>
      <c r="E32" s="40"/>
      <c r="F32" s="40"/>
      <c r="G32" s="40"/>
      <c r="H32" s="40"/>
    </row>
    <row r="33" spans="1:8" x14ac:dyDescent="0.25">
      <c r="A33" s="47">
        <v>44620</v>
      </c>
      <c r="B33" s="40">
        <v>90.279687851399999</v>
      </c>
      <c r="C33" s="40"/>
      <c r="D33" s="40"/>
      <c r="E33" s="40"/>
      <c r="F33" s="40"/>
      <c r="G33" s="40"/>
      <c r="H33" s="40"/>
    </row>
    <row r="34" spans="1:8" x14ac:dyDescent="0.25">
      <c r="A34" s="47">
        <v>44592</v>
      </c>
      <c r="B34" s="40">
        <v>90.779516469399994</v>
      </c>
      <c r="C34" s="40"/>
      <c r="D34" s="40"/>
      <c r="E34" s="40"/>
      <c r="F34" s="40"/>
      <c r="G34" s="40"/>
      <c r="H34" s="40"/>
    </row>
    <row r="35" spans="1:8" x14ac:dyDescent="0.25">
      <c r="A35" s="47">
        <v>44561</v>
      </c>
      <c r="B35" s="40">
        <v>91.029685148900001</v>
      </c>
      <c r="C35" s="40"/>
      <c r="D35" s="40"/>
      <c r="E35" s="40"/>
      <c r="F35" s="40"/>
      <c r="G35" s="40"/>
      <c r="H35" s="40"/>
    </row>
    <row r="36" spans="1:8" x14ac:dyDescent="0.25">
      <c r="A36" s="47">
        <v>44530</v>
      </c>
      <c r="B36" s="40">
        <v>90.257654882799997</v>
      </c>
      <c r="C36" s="40"/>
      <c r="D36" s="40"/>
      <c r="E36" s="40"/>
      <c r="F36" s="40"/>
      <c r="G36" s="40"/>
      <c r="H36" s="40"/>
    </row>
    <row r="37" spans="1:8" x14ac:dyDescent="0.25">
      <c r="A37" s="47">
        <v>44500</v>
      </c>
      <c r="B37" s="40">
        <v>90.664914723099997</v>
      </c>
      <c r="C37" s="40"/>
      <c r="D37" s="40"/>
      <c r="E37" s="40"/>
      <c r="F37" s="40"/>
      <c r="G37" s="40"/>
      <c r="H37" s="40"/>
    </row>
    <row r="38" spans="1:8" x14ac:dyDescent="0.25">
      <c r="A38" s="47">
        <v>44469</v>
      </c>
      <c r="B38" s="40">
        <v>90.424144508400005</v>
      </c>
      <c r="C38" s="40"/>
      <c r="D38" s="40"/>
      <c r="E38" s="40"/>
      <c r="F38" s="40"/>
      <c r="G38" s="40"/>
      <c r="H38" s="40"/>
    </row>
    <row r="39" spans="1:8" x14ac:dyDescent="0.25">
      <c r="A39" s="47">
        <v>44439</v>
      </c>
      <c r="B39" s="40">
        <v>89.943790000000007</v>
      </c>
      <c r="C39" s="40"/>
      <c r="D39" s="40"/>
      <c r="E39" s="40"/>
      <c r="F39" s="40"/>
      <c r="G39" s="40"/>
      <c r="H39" s="40"/>
    </row>
    <row r="40" spans="1:8" x14ac:dyDescent="0.25">
      <c r="A40" s="47">
        <v>44408</v>
      </c>
      <c r="B40" s="40">
        <v>89.186260000000004</v>
      </c>
      <c r="C40" s="40"/>
      <c r="D40" s="40"/>
      <c r="E40" s="40"/>
      <c r="F40" s="40"/>
      <c r="G40" s="40"/>
      <c r="H40" s="40"/>
    </row>
    <row r="41" spans="1:8" x14ac:dyDescent="0.25">
      <c r="A41" s="47">
        <v>44377</v>
      </c>
      <c r="B41" s="40">
        <v>88.75076</v>
      </c>
      <c r="C41" s="40"/>
      <c r="D41" s="40"/>
      <c r="E41" s="40"/>
      <c r="F41" s="40"/>
      <c r="G41" s="40"/>
      <c r="H41" s="40"/>
    </row>
    <row r="42" spans="1:8" x14ac:dyDescent="0.25">
      <c r="A42" s="47">
        <v>44347</v>
      </c>
      <c r="B42" s="40">
        <v>89.401420000000002</v>
      </c>
      <c r="C42" s="40"/>
      <c r="D42" s="40"/>
      <c r="E42" s="40"/>
      <c r="F42" s="40"/>
      <c r="G42" s="40"/>
      <c r="H42" s="40"/>
    </row>
    <row r="43" spans="1:8" x14ac:dyDescent="0.25">
      <c r="A43" s="47">
        <v>44316</v>
      </c>
      <c r="B43" s="40">
        <v>88.745990000000006</v>
      </c>
      <c r="C43" s="40"/>
      <c r="D43" s="40"/>
      <c r="E43" s="40"/>
      <c r="F43" s="40"/>
      <c r="G43" s="40"/>
      <c r="H43" s="40"/>
    </row>
    <row r="44" spans="1:8" x14ac:dyDescent="0.25">
      <c r="A44" s="47">
        <v>44286</v>
      </c>
      <c r="B44" s="40">
        <v>89.214330000000004</v>
      </c>
      <c r="C44" s="40"/>
      <c r="D44" s="40"/>
      <c r="E44" s="40"/>
      <c r="F44" s="40"/>
      <c r="G44" s="40"/>
      <c r="H44" s="40"/>
    </row>
    <row r="45" spans="1:8" x14ac:dyDescent="0.25">
      <c r="A45" s="47">
        <v>44255</v>
      </c>
      <c r="B45" s="40">
        <v>89.542950000000005</v>
      </c>
      <c r="C45" s="40"/>
      <c r="D45" s="40"/>
      <c r="E45" s="40"/>
      <c r="F45" s="40"/>
      <c r="G45" s="40"/>
      <c r="H45" s="40"/>
    </row>
    <row r="46" spans="1:8" x14ac:dyDescent="0.25">
      <c r="A46" s="47">
        <v>44227</v>
      </c>
      <c r="B46" s="40">
        <v>90.623469999999998</v>
      </c>
      <c r="C46" s="40"/>
      <c r="D46" s="40"/>
      <c r="E46" s="40"/>
      <c r="F46" s="40"/>
      <c r="G46" s="40"/>
      <c r="H46" s="40"/>
    </row>
    <row r="47" spans="1:8" x14ac:dyDescent="0.25">
      <c r="A47" s="47">
        <v>44196</v>
      </c>
      <c r="B47" s="40">
        <v>90.541749999999993</v>
      </c>
      <c r="C47" s="40"/>
      <c r="D47" s="40"/>
      <c r="E47" s="40"/>
      <c r="F47" s="40"/>
      <c r="G47" s="40"/>
      <c r="H47" s="40"/>
    </row>
    <row r="48" spans="1:8" x14ac:dyDescent="0.25">
      <c r="A48" s="47">
        <v>44165</v>
      </c>
      <c r="B48" s="40">
        <v>91.08099</v>
      </c>
      <c r="C48" s="40"/>
      <c r="D48" s="40"/>
      <c r="E48" s="40"/>
      <c r="F48" s="40"/>
      <c r="G48" s="40"/>
      <c r="H48" s="40"/>
    </row>
    <row r="49" spans="1:8" x14ac:dyDescent="0.25">
      <c r="A49" s="47">
        <v>44135</v>
      </c>
      <c r="B49" s="40">
        <v>88.834720000000004</v>
      </c>
      <c r="C49" s="40"/>
      <c r="D49" s="40"/>
      <c r="E49" s="40"/>
      <c r="F49" s="40"/>
      <c r="G49" s="40"/>
      <c r="H49" s="40"/>
    </row>
    <row r="50" spans="1:8" x14ac:dyDescent="0.25">
      <c r="A50" s="47">
        <v>44104</v>
      </c>
      <c r="B50" s="40">
        <v>87.911550000000005</v>
      </c>
      <c r="C50" s="40"/>
      <c r="D50" s="40"/>
      <c r="E50" s="40"/>
      <c r="F50" s="40"/>
      <c r="G50" s="40"/>
      <c r="H50" s="40"/>
    </row>
    <row r="51" spans="1:8" x14ac:dyDescent="0.25">
      <c r="A51" s="47">
        <v>44074</v>
      </c>
      <c r="B51" s="40">
        <v>90.048680000000004</v>
      </c>
      <c r="C51" s="40"/>
      <c r="D51" s="40"/>
      <c r="E51" s="40"/>
      <c r="F51" s="40"/>
      <c r="G51" s="40"/>
      <c r="H51" s="40"/>
    </row>
    <row r="52" spans="1:8" x14ac:dyDescent="0.25">
      <c r="A52" s="47">
        <v>44043</v>
      </c>
      <c r="B52" s="40">
        <v>90.933599999999998</v>
      </c>
      <c r="C52" s="40"/>
      <c r="D52" s="40"/>
      <c r="E52" s="40"/>
      <c r="F52" s="40"/>
      <c r="G52" s="40"/>
      <c r="H52" s="40"/>
    </row>
    <row r="53" spans="1:8" x14ac:dyDescent="0.25">
      <c r="A53" s="47">
        <v>44012</v>
      </c>
      <c r="B53" s="40">
        <v>95.213980000000006</v>
      </c>
      <c r="C53" s="40"/>
      <c r="D53" s="40"/>
      <c r="E53" s="40"/>
      <c r="F53" s="40"/>
      <c r="G53" s="40"/>
      <c r="H53" s="40"/>
    </row>
    <row r="54" spans="1:8" x14ac:dyDescent="0.25">
      <c r="A54" s="47">
        <v>43982</v>
      </c>
      <c r="B54" s="40">
        <v>94.00591</v>
      </c>
      <c r="C54" s="40"/>
      <c r="D54" s="40"/>
      <c r="E54" s="40"/>
      <c r="F54" s="40"/>
      <c r="G54" s="40"/>
      <c r="H54" s="40"/>
    </row>
    <row r="55" spans="1:8" x14ac:dyDescent="0.25">
      <c r="A55" s="47">
        <v>43951</v>
      </c>
      <c r="B55" s="40">
        <v>91.824100000000001</v>
      </c>
      <c r="C55" s="40"/>
      <c r="D55" s="40"/>
      <c r="E55" s="40"/>
      <c r="F55" s="40"/>
      <c r="G55" s="40"/>
      <c r="H55" s="40"/>
    </row>
    <row r="56" spans="1:8" x14ac:dyDescent="0.25">
      <c r="A56" s="47">
        <v>43921</v>
      </c>
      <c r="B56" s="40">
        <v>82.987139999999997</v>
      </c>
      <c r="C56" s="40"/>
      <c r="D56" s="40"/>
      <c r="E56" s="40"/>
      <c r="F56" s="40"/>
      <c r="G56" s="40"/>
      <c r="H56" s="40"/>
    </row>
    <row r="57" spans="1:8" x14ac:dyDescent="0.25">
      <c r="A57" s="47">
        <v>43890</v>
      </c>
      <c r="B57" s="40">
        <v>92.839500000000001</v>
      </c>
      <c r="C57" s="40"/>
      <c r="D57" s="40"/>
      <c r="E57" s="40"/>
      <c r="F57" s="40"/>
      <c r="G57" s="40"/>
      <c r="H57" s="40"/>
    </row>
    <row r="58" spans="1:8" x14ac:dyDescent="0.25">
      <c r="A58" s="47">
        <v>43861</v>
      </c>
      <c r="B58" s="40">
        <v>96.522270000000006</v>
      </c>
      <c r="C58" s="40"/>
      <c r="D58" s="40"/>
      <c r="E58" s="40"/>
      <c r="F58" s="40"/>
      <c r="G58" s="40"/>
      <c r="H58" s="40"/>
    </row>
    <row r="59" spans="1:8" x14ac:dyDescent="0.25">
      <c r="A59" s="47">
        <v>43830</v>
      </c>
      <c r="B59" s="40">
        <v>94.000397000000007</v>
      </c>
      <c r="C59" s="40"/>
      <c r="D59" s="40"/>
      <c r="E59" s="40"/>
      <c r="F59" s="40"/>
      <c r="G59" s="40"/>
      <c r="H59" s="40"/>
    </row>
    <row r="60" spans="1:8" x14ac:dyDescent="0.25">
      <c r="A60" s="47">
        <v>43799</v>
      </c>
      <c r="B60" s="40">
        <v>93.646079999999998</v>
      </c>
      <c r="C60" s="40"/>
      <c r="D60" s="40"/>
      <c r="E60" s="40"/>
      <c r="F60" s="40"/>
      <c r="G60" s="40"/>
      <c r="H60" s="40"/>
    </row>
    <row r="61" spans="1:8" x14ac:dyDescent="0.25">
      <c r="A61" s="47">
        <v>43769</v>
      </c>
      <c r="B61" s="40">
        <v>93.572211999999993</v>
      </c>
      <c r="C61" s="40"/>
      <c r="D61" s="40"/>
      <c r="E61" s="40"/>
      <c r="F61" s="40"/>
      <c r="G61" s="40"/>
      <c r="H61" s="40"/>
    </row>
    <row r="62" spans="1:8" x14ac:dyDescent="0.25">
      <c r="A62" s="47">
        <v>43738</v>
      </c>
      <c r="B62" s="40">
        <v>93.828697000000005</v>
      </c>
      <c r="C62" s="40"/>
      <c r="D62" s="40"/>
      <c r="E62" s="40"/>
      <c r="F62" s="40"/>
      <c r="G62" s="40"/>
      <c r="H62" s="40"/>
    </row>
    <row r="63" spans="1:8" x14ac:dyDescent="0.25">
      <c r="A63" s="47">
        <v>43708</v>
      </c>
      <c r="B63" s="40">
        <v>94.279365999999996</v>
      </c>
      <c r="C63" s="40"/>
      <c r="D63" s="40"/>
      <c r="E63" s="40"/>
      <c r="F63" s="40"/>
      <c r="G63" s="40"/>
      <c r="H63" s="40"/>
    </row>
    <row r="64" spans="1:8" x14ac:dyDescent="0.25">
      <c r="A64" s="47">
        <v>43677</v>
      </c>
      <c r="B64" s="40">
        <v>94.234261000000004</v>
      </c>
      <c r="C64" s="40"/>
      <c r="D64" s="40"/>
      <c r="E64" s="40"/>
      <c r="F64" s="40"/>
      <c r="G64" s="40"/>
      <c r="H64" s="40"/>
    </row>
    <row r="65" spans="1:8" x14ac:dyDescent="0.25">
      <c r="A65" s="47">
        <v>43646</v>
      </c>
      <c r="B65" s="40">
        <v>92.751625000000004</v>
      </c>
      <c r="C65" s="40"/>
      <c r="D65" s="40"/>
      <c r="E65" s="40"/>
      <c r="F65" s="40"/>
      <c r="G65" s="40"/>
      <c r="H65" s="40"/>
    </row>
    <row r="66" spans="1:8" x14ac:dyDescent="0.25">
      <c r="A66" s="47">
        <v>43616</v>
      </c>
      <c r="B66" s="40">
        <v>92.793823000000003</v>
      </c>
      <c r="C66" s="40"/>
      <c r="D66" s="40"/>
      <c r="E66" s="40"/>
      <c r="F66" s="40"/>
      <c r="G66" s="40"/>
      <c r="H66" s="40"/>
    </row>
    <row r="67" spans="1:8" x14ac:dyDescent="0.25">
      <c r="A67" s="47">
        <v>43585</v>
      </c>
      <c r="B67" s="40">
        <v>91.804496999999998</v>
      </c>
      <c r="C67" s="40"/>
      <c r="D67" s="40"/>
      <c r="E67" s="40"/>
      <c r="F67" s="40"/>
      <c r="G67" s="40"/>
      <c r="H67" s="40"/>
    </row>
    <row r="68" spans="1:8" x14ac:dyDescent="0.25">
      <c r="A68" s="47">
        <v>43555</v>
      </c>
      <c r="B68" s="40">
        <v>91.178604000000007</v>
      </c>
      <c r="C68" s="40"/>
      <c r="D68" s="40"/>
      <c r="E68" s="40"/>
      <c r="F68" s="40"/>
      <c r="G68" s="40"/>
      <c r="H68" s="40"/>
    </row>
    <row r="69" spans="1:8" x14ac:dyDescent="0.25">
      <c r="A69" s="47">
        <v>43524</v>
      </c>
      <c r="B69" s="40">
        <v>91.839920000000006</v>
      </c>
      <c r="C69" s="40"/>
      <c r="D69" s="40"/>
      <c r="E69" s="40"/>
      <c r="F69" s="40"/>
      <c r="G69" s="40"/>
      <c r="H69" s="40"/>
    </row>
    <row r="70" spans="1:8" x14ac:dyDescent="0.25">
      <c r="A70" s="47">
        <v>43496</v>
      </c>
      <c r="B70" s="40">
        <v>92.234932000000001</v>
      </c>
      <c r="C70" s="40"/>
      <c r="D70" s="40"/>
      <c r="E70" s="40"/>
      <c r="F70" s="40"/>
      <c r="G70" s="40"/>
      <c r="H70" s="40"/>
    </row>
    <row r="71" spans="1:8" x14ac:dyDescent="0.25">
      <c r="A71" s="47">
        <v>43465</v>
      </c>
      <c r="B71" s="40">
        <v>91.033966000000007</v>
      </c>
      <c r="C71" s="40"/>
      <c r="D71" s="40"/>
      <c r="E71" s="40"/>
      <c r="F71" s="40"/>
      <c r="G71" s="40"/>
      <c r="H71" s="40"/>
    </row>
    <row r="72" spans="1:8" x14ac:dyDescent="0.25">
      <c r="A72" s="47">
        <v>43434</v>
      </c>
      <c r="B72" s="40">
        <v>91.962128000000007</v>
      </c>
      <c r="C72" s="40"/>
      <c r="D72" s="40"/>
      <c r="E72" s="40"/>
      <c r="F72" s="40"/>
      <c r="G72" s="40"/>
      <c r="H72" s="40"/>
    </row>
    <row r="73" spans="1:8" x14ac:dyDescent="0.25">
      <c r="A73" s="47">
        <v>43404</v>
      </c>
      <c r="B73" s="40">
        <v>86.501441999999997</v>
      </c>
      <c r="C73" s="40"/>
      <c r="D73" s="40"/>
      <c r="E73" s="40"/>
      <c r="F73" s="40"/>
      <c r="G73" s="40"/>
      <c r="H73" s="40"/>
    </row>
    <row r="74" spans="1:8" x14ac:dyDescent="0.25">
      <c r="A74" s="47">
        <v>43373</v>
      </c>
      <c r="B74" s="40">
        <v>86.735909000000007</v>
      </c>
      <c r="C74" s="40"/>
      <c r="D74" s="40"/>
      <c r="E74" s="40"/>
      <c r="F74" s="40"/>
      <c r="G74" s="40"/>
      <c r="H74" s="40"/>
    </row>
    <row r="75" spans="1:8" x14ac:dyDescent="0.25">
      <c r="A75" s="47">
        <v>43343</v>
      </c>
      <c r="B75" s="40">
        <v>87.820510999999996</v>
      </c>
      <c r="C75" s="40"/>
      <c r="D75" s="40"/>
      <c r="E75" s="40"/>
      <c r="F75" s="40"/>
      <c r="G75" s="40"/>
      <c r="H75" s="40"/>
    </row>
    <row r="76" spans="1:8" x14ac:dyDescent="0.25">
      <c r="A76" s="47">
        <v>43312</v>
      </c>
      <c r="B76" s="40">
        <v>89.709159999999997</v>
      </c>
      <c r="C76" s="40"/>
      <c r="D76" s="40"/>
      <c r="E76" s="40"/>
      <c r="F76" s="40"/>
      <c r="G76" s="40"/>
      <c r="H76" s="40"/>
    </row>
    <row r="77" spans="1:8" x14ac:dyDescent="0.25">
      <c r="A77" s="47">
        <v>43281</v>
      </c>
      <c r="B77" s="40">
        <v>89.635017000000005</v>
      </c>
      <c r="C77" s="40"/>
      <c r="D77" s="40"/>
      <c r="E77" s="40"/>
      <c r="F77" s="40"/>
      <c r="G77" s="40"/>
      <c r="H77" s="40"/>
    </row>
    <row r="78" spans="1:8" x14ac:dyDescent="0.25">
      <c r="A78" s="47">
        <v>43251</v>
      </c>
      <c r="B78" s="40">
        <v>90.301513999999997</v>
      </c>
      <c r="C78" s="40"/>
      <c r="D78" s="40"/>
      <c r="E78" s="40"/>
      <c r="F78" s="40"/>
      <c r="G78" s="40"/>
      <c r="H78" s="40"/>
    </row>
    <row r="79" spans="1:8" x14ac:dyDescent="0.25">
      <c r="A79" s="47">
        <v>43220</v>
      </c>
      <c r="B79" s="40">
        <v>88.795586</v>
      </c>
      <c r="C79" s="40"/>
      <c r="D79" s="40"/>
      <c r="E79" s="40"/>
      <c r="F79" s="40"/>
      <c r="G79" s="40"/>
      <c r="H79" s="40"/>
    </row>
    <row r="80" spans="1:8" x14ac:dyDescent="0.25">
      <c r="A80" s="47">
        <v>43190</v>
      </c>
      <c r="B80" s="40">
        <v>88.441742000000005</v>
      </c>
      <c r="C80" s="40"/>
      <c r="D80" s="40"/>
      <c r="E80" s="40"/>
      <c r="F80" s="40"/>
      <c r="G80" s="40"/>
      <c r="H80" s="40"/>
    </row>
    <row r="81" spans="1:8" x14ac:dyDescent="0.25">
      <c r="A81" s="47">
        <v>43159</v>
      </c>
      <c r="B81" s="40">
        <v>88.769965999999997</v>
      </c>
      <c r="C81" s="40"/>
      <c r="D81" s="40"/>
      <c r="E81" s="40"/>
      <c r="F81" s="40"/>
      <c r="G81" s="40"/>
      <c r="H81" s="40"/>
    </row>
    <row r="82" spans="1:8" x14ac:dyDescent="0.25">
      <c r="A82" s="47">
        <v>43131</v>
      </c>
      <c r="B82" s="40">
        <v>90.581222999999994</v>
      </c>
      <c r="C82" s="40"/>
      <c r="D82" s="40"/>
      <c r="E82" s="40"/>
      <c r="F82" s="40"/>
      <c r="G82" s="40"/>
      <c r="H82" s="40"/>
    </row>
    <row r="83" spans="1:8" x14ac:dyDescent="0.25">
      <c r="A83" s="47">
        <v>43100</v>
      </c>
      <c r="B83" s="40">
        <v>91.650199999999998</v>
      </c>
      <c r="C83" s="40"/>
      <c r="D83" s="40"/>
      <c r="E83" s="40"/>
      <c r="F83" s="40"/>
      <c r="G83" s="40"/>
      <c r="H83" s="40"/>
    </row>
    <row r="84" spans="1:8" x14ac:dyDescent="0.25">
      <c r="A84" s="47">
        <v>43069</v>
      </c>
      <c r="B84" s="40">
        <v>92.198929000000007</v>
      </c>
      <c r="C84" s="40"/>
      <c r="D84" s="40"/>
      <c r="E84" s="40"/>
      <c r="F84" s="40"/>
      <c r="G84" s="40"/>
      <c r="H84" s="40"/>
    </row>
    <row r="85" spans="1:8" x14ac:dyDescent="0.25">
      <c r="A85" s="47">
        <v>43039</v>
      </c>
      <c r="B85" s="40">
        <v>92.613761999999994</v>
      </c>
      <c r="C85" s="40"/>
      <c r="D85" s="40"/>
      <c r="E85" s="40"/>
      <c r="F85" s="40"/>
      <c r="G85" s="40"/>
      <c r="H85" s="40"/>
    </row>
    <row r="86" spans="1:8" x14ac:dyDescent="0.25">
      <c r="A86" s="47">
        <v>43008</v>
      </c>
      <c r="B86" s="40">
        <v>93.047623000000002</v>
      </c>
      <c r="C86" s="40"/>
      <c r="D86" s="40"/>
      <c r="E86" s="40"/>
      <c r="F86" s="40"/>
      <c r="G86" s="40"/>
      <c r="H86" s="40"/>
    </row>
    <row r="87" spans="1:8" x14ac:dyDescent="0.25">
      <c r="A87" s="47">
        <v>42978</v>
      </c>
      <c r="B87" s="40">
        <v>93.341537000000002</v>
      </c>
      <c r="C87" s="40"/>
      <c r="D87" s="40"/>
      <c r="E87" s="40"/>
      <c r="F87" s="40"/>
      <c r="G87" s="40"/>
      <c r="H87" s="40"/>
    </row>
    <row r="88" spans="1:8" x14ac:dyDescent="0.25">
      <c r="A88" s="47">
        <v>42947</v>
      </c>
      <c r="B88" s="40">
        <v>94.430115000000001</v>
      </c>
      <c r="C88" s="40"/>
      <c r="D88" s="40"/>
      <c r="E88" s="40"/>
      <c r="F88" s="40"/>
      <c r="G88" s="40"/>
      <c r="H88" s="40"/>
    </row>
    <row r="89" spans="1:8" x14ac:dyDescent="0.25">
      <c r="A89" s="47">
        <v>42916</v>
      </c>
      <c r="B89" s="40">
        <v>95.861525999999998</v>
      </c>
      <c r="C89" s="40"/>
      <c r="D89" s="40"/>
      <c r="E89" s="40"/>
      <c r="F89" s="40"/>
      <c r="G89" s="40"/>
      <c r="H89" s="40"/>
    </row>
    <row r="90" spans="1:8" x14ac:dyDescent="0.25">
      <c r="A90" s="47">
        <v>42886</v>
      </c>
      <c r="B90" s="40">
        <v>95.552086000000003</v>
      </c>
      <c r="C90" s="40"/>
      <c r="D90" s="40"/>
      <c r="E90" s="40"/>
      <c r="F90" s="40"/>
      <c r="G90" s="40"/>
      <c r="H90" s="40"/>
    </row>
    <row r="91" spans="1:8" x14ac:dyDescent="0.25">
      <c r="A91" s="47">
        <v>42855</v>
      </c>
      <c r="B91" s="40">
        <v>95.923041999999995</v>
      </c>
      <c r="C91" s="40"/>
      <c r="D91" s="40"/>
      <c r="E91" s="40"/>
      <c r="F91" s="40"/>
      <c r="G91" s="40"/>
      <c r="H91" s="40"/>
    </row>
    <row r="92" spans="1:8" x14ac:dyDescent="0.25">
      <c r="A92" s="47">
        <v>42825</v>
      </c>
      <c r="B92" s="40">
        <v>95.976814000000005</v>
      </c>
      <c r="C92" s="40"/>
      <c r="D92" s="40"/>
      <c r="E92" s="40"/>
      <c r="F92" s="40"/>
      <c r="G92" s="40"/>
      <c r="H92" s="40"/>
    </row>
    <row r="93" spans="1:8" x14ac:dyDescent="0.25">
      <c r="A93" s="47">
        <v>42794</v>
      </c>
      <c r="B93" s="40">
        <v>96.390152</v>
      </c>
      <c r="C93" s="40"/>
      <c r="D93" s="40"/>
      <c r="E93" s="40"/>
      <c r="F93" s="40"/>
      <c r="G93" s="40"/>
      <c r="H93" s="40"/>
    </row>
    <row r="94" spans="1:8" x14ac:dyDescent="0.25">
      <c r="A94" s="47">
        <v>42766</v>
      </c>
      <c r="B94" s="40">
        <v>96.507896000000002</v>
      </c>
      <c r="C94" s="40"/>
      <c r="D94" s="40"/>
      <c r="E94" s="40"/>
      <c r="F94" s="40"/>
      <c r="G94" s="40"/>
      <c r="H94" s="40"/>
    </row>
    <row r="95" spans="1:8" x14ac:dyDescent="0.25">
      <c r="A95" s="47">
        <v>42735</v>
      </c>
      <c r="B95" s="40">
        <v>96.982590000000002</v>
      </c>
      <c r="C95" s="40"/>
      <c r="D95" s="40"/>
      <c r="E95" s="40"/>
      <c r="F95" s="40"/>
      <c r="G95" s="40"/>
      <c r="H95" s="40"/>
    </row>
    <row r="96" spans="1:8" x14ac:dyDescent="0.25">
      <c r="A96" s="47">
        <v>42704</v>
      </c>
      <c r="B96" s="40">
        <v>95.271736000000004</v>
      </c>
      <c r="C96" s="40"/>
      <c r="D96" s="40"/>
      <c r="E96" s="40"/>
      <c r="F96" s="40"/>
      <c r="G96" s="40"/>
      <c r="H96" s="40"/>
    </row>
    <row r="97" spans="1:8" x14ac:dyDescent="0.25">
      <c r="A97" s="47">
        <v>42674</v>
      </c>
      <c r="B97" s="40">
        <v>95.548630000000003</v>
      </c>
      <c r="C97" s="40"/>
      <c r="D97" s="40"/>
      <c r="E97" s="40"/>
      <c r="F97" s="40"/>
      <c r="G97" s="40"/>
      <c r="H97" s="40"/>
    </row>
    <row r="98" spans="1:8" x14ac:dyDescent="0.25">
      <c r="A98" s="47">
        <v>42643</v>
      </c>
      <c r="B98" s="40">
        <v>93.664947999999995</v>
      </c>
      <c r="C98" s="40"/>
      <c r="D98" s="40"/>
      <c r="E98" s="40"/>
      <c r="F98" s="40"/>
      <c r="G98" s="40"/>
      <c r="H98" s="40"/>
    </row>
    <row r="99" spans="1:8" x14ac:dyDescent="0.25">
      <c r="A99" s="47">
        <v>42613</v>
      </c>
      <c r="B99" s="40">
        <v>92.698639</v>
      </c>
      <c r="C99" s="40"/>
      <c r="D99" s="40"/>
      <c r="E99" s="40"/>
      <c r="F99" s="40"/>
      <c r="G99" s="40"/>
      <c r="H99" s="40"/>
    </row>
    <row r="100" spans="1:8" x14ac:dyDescent="0.25">
      <c r="A100" s="47">
        <v>42582</v>
      </c>
      <c r="B100" s="40">
        <v>93.709228999999993</v>
      </c>
      <c r="C100" s="40"/>
      <c r="D100" s="40"/>
      <c r="E100" s="40"/>
      <c r="F100" s="40"/>
      <c r="G100" s="40"/>
      <c r="H100" s="40"/>
    </row>
    <row r="101" spans="1:8" x14ac:dyDescent="0.25">
      <c r="A101" s="47">
        <v>42551</v>
      </c>
      <c r="B101" s="40">
        <v>93.110611000000006</v>
      </c>
      <c r="C101" s="40"/>
      <c r="D101" s="40"/>
      <c r="E101" s="40"/>
      <c r="F101" s="40"/>
      <c r="G101" s="40"/>
      <c r="H101" s="40"/>
    </row>
    <row r="102" spans="1:8" x14ac:dyDescent="0.25">
      <c r="A102" s="47">
        <v>42521</v>
      </c>
      <c r="B102" s="40">
        <v>90.537430000000001</v>
      </c>
      <c r="C102" s="40"/>
      <c r="D102" s="40"/>
      <c r="E102" s="40"/>
      <c r="F102" s="40"/>
      <c r="G102" s="40"/>
      <c r="H102" s="40"/>
    </row>
    <row r="103" spans="1:8" x14ac:dyDescent="0.25">
      <c r="A103" s="47">
        <v>42490</v>
      </c>
      <c r="B103" s="40">
        <v>91.259551999999999</v>
      </c>
      <c r="C103" s="40"/>
      <c r="D103" s="40"/>
      <c r="E103" s="40"/>
      <c r="F103" s="40"/>
      <c r="G103" s="40"/>
      <c r="H103" s="40"/>
    </row>
    <row r="104" spans="1:8" x14ac:dyDescent="0.25">
      <c r="A104" s="47">
        <v>42460</v>
      </c>
      <c r="B104" s="40">
        <v>91.594025000000002</v>
      </c>
      <c r="C104" s="40"/>
      <c r="D104" s="40"/>
      <c r="E104" s="40"/>
      <c r="F104" s="40"/>
      <c r="G104" s="40"/>
      <c r="H104" s="40"/>
    </row>
    <row r="105" spans="1:8" x14ac:dyDescent="0.25">
      <c r="A105" s="47">
        <v>42429</v>
      </c>
      <c r="B105" s="40">
        <v>93.656563000000006</v>
      </c>
      <c r="C105" s="40"/>
      <c r="D105" s="40"/>
      <c r="E105" s="40"/>
      <c r="F105" s="40"/>
      <c r="G105" s="40"/>
      <c r="H105" s="40"/>
    </row>
    <row r="106" spans="1:8" x14ac:dyDescent="0.25">
      <c r="A106" s="47">
        <v>42400</v>
      </c>
      <c r="B106" s="40">
        <v>92.203247000000005</v>
      </c>
      <c r="C106" s="40"/>
      <c r="D106" s="40"/>
      <c r="E106" s="40"/>
      <c r="F106" s="40"/>
      <c r="G106" s="40"/>
      <c r="H106" s="40"/>
    </row>
    <row r="107" spans="1:8" x14ac:dyDescent="0.25">
      <c r="A107" s="47">
        <v>42369</v>
      </c>
      <c r="B107" s="40">
        <v>91.381584000000004</v>
      </c>
      <c r="C107" s="40"/>
      <c r="D107" s="40"/>
      <c r="E107" s="40"/>
      <c r="F107" s="40"/>
      <c r="G107" s="40"/>
      <c r="H107" s="40"/>
    </row>
    <row r="108" spans="1:8" x14ac:dyDescent="0.25">
      <c r="A108" s="47">
        <v>42338</v>
      </c>
      <c r="B108" s="40">
        <v>90.142371999999995</v>
      </c>
      <c r="C108" s="40"/>
      <c r="D108" s="40"/>
      <c r="E108" s="40"/>
      <c r="F108" s="40"/>
      <c r="G108" s="40"/>
      <c r="H108" s="40"/>
    </row>
    <row r="109" spans="1:8" x14ac:dyDescent="0.25">
      <c r="A109" s="47">
        <v>42308</v>
      </c>
      <c r="B109" s="40">
        <v>89.275565999999998</v>
      </c>
      <c r="C109" s="40"/>
      <c r="D109" s="40"/>
      <c r="E109" s="40"/>
      <c r="F109" s="40"/>
      <c r="G109" s="40"/>
      <c r="H109" s="40"/>
    </row>
    <row r="110" spans="1:8" x14ac:dyDescent="0.25">
      <c r="A110" s="47">
        <v>42277</v>
      </c>
      <c r="B110" s="40">
        <v>83.950798000000006</v>
      </c>
      <c r="C110" s="40"/>
      <c r="D110" s="40"/>
      <c r="E110" s="40"/>
      <c r="F110" s="40"/>
      <c r="G110" s="40"/>
      <c r="H110" s="40"/>
    </row>
    <row r="111" spans="1:8" x14ac:dyDescent="0.25">
      <c r="A111" s="47">
        <v>42247</v>
      </c>
      <c r="B111" s="40">
        <v>87.403366000000005</v>
      </c>
      <c r="C111" s="40"/>
      <c r="D111" s="40"/>
      <c r="E111" s="40"/>
      <c r="F111" s="40"/>
      <c r="G111" s="40"/>
      <c r="H111" s="40"/>
    </row>
    <row r="112" spans="1:8" x14ac:dyDescent="0.25">
      <c r="A112" s="47">
        <v>42216</v>
      </c>
      <c r="B112" s="40">
        <v>89.357703999999998</v>
      </c>
      <c r="C112" s="40"/>
      <c r="D112" s="40"/>
      <c r="E112" s="40"/>
      <c r="F112" s="40"/>
      <c r="G112" s="40"/>
      <c r="H112" s="40"/>
    </row>
    <row r="113" spans="1:8" x14ac:dyDescent="0.25">
      <c r="A113" s="47">
        <v>42185</v>
      </c>
      <c r="B113" s="40">
        <v>88.857787999999999</v>
      </c>
      <c r="C113" s="40"/>
      <c r="D113" s="40"/>
      <c r="E113" s="40"/>
      <c r="F113" s="40"/>
      <c r="G113" s="40"/>
      <c r="H113" s="40"/>
    </row>
    <row r="114" spans="1:8" x14ac:dyDescent="0.25">
      <c r="A114" s="47">
        <v>42155</v>
      </c>
      <c r="B114" s="40">
        <v>89.181968999999995</v>
      </c>
      <c r="C114" s="40"/>
      <c r="D114" s="40"/>
      <c r="E114" s="40"/>
      <c r="F114" s="40"/>
      <c r="G114" s="40"/>
      <c r="H114" s="40"/>
    </row>
    <row r="115" spans="1:8" x14ac:dyDescent="0.25">
      <c r="A115" s="47">
        <v>42124</v>
      </c>
      <c r="B115" s="40">
        <v>89.468727000000001</v>
      </c>
      <c r="C115" s="40"/>
      <c r="D115" s="40"/>
      <c r="E115" s="40"/>
      <c r="F115" s="40"/>
      <c r="G115" s="40"/>
      <c r="H115" s="40"/>
    </row>
    <row r="116" spans="1:8" x14ac:dyDescent="0.25">
      <c r="A116" s="47">
        <v>42094</v>
      </c>
      <c r="B116" s="40">
        <v>89.512833000000001</v>
      </c>
      <c r="C116" s="40"/>
      <c r="D116" s="40"/>
      <c r="E116" s="40"/>
      <c r="F116" s="40"/>
      <c r="G116" s="40"/>
      <c r="H116" s="40"/>
    </row>
    <row r="117" spans="1:8" x14ac:dyDescent="0.25">
      <c r="A117" s="47">
        <v>42063</v>
      </c>
      <c r="B117" s="40">
        <v>89.784965999999997</v>
      </c>
      <c r="C117" s="40"/>
      <c r="D117" s="40"/>
      <c r="E117" s="40"/>
      <c r="F117" s="40"/>
      <c r="G117" s="40"/>
      <c r="H117" s="40"/>
    </row>
    <row r="118" spans="1:8" x14ac:dyDescent="0.25">
      <c r="A118" s="47">
        <v>42035</v>
      </c>
      <c r="B118" s="40">
        <v>91.780922000000004</v>
      </c>
      <c r="C118" s="40"/>
      <c r="D118" s="40"/>
      <c r="E118" s="40"/>
      <c r="F118" s="40"/>
      <c r="G118" s="40"/>
      <c r="H118" s="40"/>
    </row>
    <row r="119" spans="1:8" x14ac:dyDescent="0.25">
      <c r="A119" s="47">
        <v>42004</v>
      </c>
      <c r="B119" s="40">
        <v>92.000572000000005</v>
      </c>
      <c r="C119" s="40"/>
      <c r="D119" s="40"/>
      <c r="E119" s="40"/>
      <c r="F119" s="40"/>
      <c r="G119" s="40"/>
      <c r="H119" s="40"/>
    </row>
    <row r="120" spans="1:8" x14ac:dyDescent="0.25">
      <c r="A120" s="47">
        <v>41973</v>
      </c>
      <c r="B120" s="40">
        <v>90.649071000000006</v>
      </c>
      <c r="C120" s="40"/>
      <c r="D120" s="40"/>
      <c r="E120" s="40"/>
      <c r="F120" s="40"/>
      <c r="G120" s="40"/>
      <c r="H120" s="40"/>
    </row>
    <row r="121" spans="1:8" x14ac:dyDescent="0.25">
      <c r="A121" s="47">
        <v>41943</v>
      </c>
      <c r="B121" s="40">
        <v>88.049965</v>
      </c>
      <c r="C121" s="40"/>
      <c r="D121" s="40"/>
      <c r="E121" s="40"/>
      <c r="F121" s="40"/>
      <c r="G121" s="40"/>
      <c r="H121" s="40"/>
    </row>
    <row r="122" spans="1:8" x14ac:dyDescent="0.25">
      <c r="A122" s="47">
        <v>41912</v>
      </c>
      <c r="B122" s="40">
        <v>85.941237999999998</v>
      </c>
      <c r="C122" s="40"/>
      <c r="D122" s="40"/>
      <c r="E122" s="40"/>
      <c r="F122" s="40"/>
      <c r="G122" s="40"/>
      <c r="H122" s="40"/>
    </row>
    <row r="123" spans="1:8" x14ac:dyDescent="0.25">
      <c r="A123" s="47">
        <v>41882</v>
      </c>
      <c r="B123" s="40">
        <v>87.378708000000003</v>
      </c>
      <c r="C123" s="40"/>
      <c r="D123" s="40"/>
      <c r="E123" s="40"/>
      <c r="F123" s="40"/>
      <c r="G123" s="40"/>
      <c r="H123" s="40"/>
    </row>
    <row r="124" spans="1:8" x14ac:dyDescent="0.25">
      <c r="A124" s="47">
        <v>41851</v>
      </c>
      <c r="B124" s="40">
        <v>88.013817000000003</v>
      </c>
      <c r="C124" s="40"/>
      <c r="D124" s="40"/>
      <c r="E124" s="40"/>
      <c r="F124" s="40"/>
      <c r="G124" s="40"/>
      <c r="H124" s="40"/>
    </row>
    <row r="125" spans="1:8" x14ac:dyDescent="0.25">
      <c r="A125" s="47">
        <v>41820</v>
      </c>
      <c r="B125" s="40">
        <v>84.812759</v>
      </c>
      <c r="C125" s="40"/>
      <c r="D125" s="40"/>
      <c r="E125" s="40"/>
      <c r="F125" s="40"/>
      <c r="G125" s="40"/>
      <c r="H125" s="40"/>
    </row>
    <row r="126" spans="1:8" x14ac:dyDescent="0.25">
      <c r="A126" s="47">
        <v>41790</v>
      </c>
      <c r="B126" s="40">
        <v>86.035927000000001</v>
      </c>
      <c r="C126" s="40"/>
      <c r="D126" s="40"/>
      <c r="E126" s="40"/>
      <c r="F126" s="40"/>
      <c r="G126" s="40"/>
      <c r="H126" s="40"/>
    </row>
    <row r="127" spans="1:8" x14ac:dyDescent="0.25">
      <c r="A127" s="47">
        <v>41759</v>
      </c>
      <c r="B127" s="40">
        <v>86.757332000000005</v>
      </c>
      <c r="C127" s="40"/>
      <c r="D127" s="40"/>
      <c r="E127" s="40"/>
      <c r="F127" s="40"/>
      <c r="G127" s="40"/>
      <c r="H127" s="40"/>
    </row>
    <row r="128" spans="1:8" x14ac:dyDescent="0.25">
      <c r="A128" s="47">
        <v>41729</v>
      </c>
      <c r="B128" s="40">
        <v>88.740189000000001</v>
      </c>
      <c r="C128" s="40"/>
      <c r="D128" s="40"/>
      <c r="E128" s="40"/>
      <c r="F128" s="40"/>
      <c r="G128" s="40"/>
      <c r="H128" s="40"/>
    </row>
    <row r="129" spans="1:8" x14ac:dyDescent="0.25">
      <c r="A129" s="47">
        <v>41698</v>
      </c>
      <c r="B129" s="40">
        <v>86.896636999999998</v>
      </c>
      <c r="C129" s="40"/>
      <c r="D129" s="40"/>
      <c r="E129" s="40"/>
      <c r="F129" s="40"/>
      <c r="G129" s="40"/>
      <c r="H129" s="40"/>
    </row>
    <row r="130" spans="1:8" x14ac:dyDescent="0.25">
      <c r="A130" s="47">
        <v>41670</v>
      </c>
      <c r="B130" s="40">
        <v>83.082626000000005</v>
      </c>
      <c r="C130" s="40"/>
      <c r="D130" s="40"/>
      <c r="E130" s="40"/>
      <c r="F130" s="40"/>
      <c r="G130" s="40"/>
      <c r="H130" s="40"/>
    </row>
    <row r="131" spans="1:8" x14ac:dyDescent="0.25">
      <c r="A131" s="47">
        <v>41639</v>
      </c>
      <c r="B131" s="40">
        <v>82.406395000000003</v>
      </c>
      <c r="C131" s="40"/>
      <c r="D131" s="40"/>
      <c r="E131" s="40"/>
      <c r="F131" s="40"/>
      <c r="G131" s="40"/>
      <c r="H131" s="40"/>
    </row>
    <row r="132" spans="1:8" x14ac:dyDescent="0.25">
      <c r="A132" s="47">
        <v>41608</v>
      </c>
      <c r="B132" s="40">
        <v>82.984809999999996</v>
      </c>
      <c r="C132" s="40"/>
      <c r="D132" s="40"/>
      <c r="E132" s="40"/>
      <c r="F132" s="40"/>
      <c r="G132" s="40"/>
      <c r="H132" s="40"/>
    </row>
    <row r="133" spans="1:8" x14ac:dyDescent="0.25">
      <c r="A133" s="47">
        <v>41578</v>
      </c>
      <c r="B133" s="40">
        <v>86.958602999999997</v>
      </c>
      <c r="C133" s="40"/>
      <c r="D133" s="40"/>
      <c r="E133" s="40"/>
      <c r="F133" s="40"/>
      <c r="G133" s="40"/>
      <c r="H133" s="40"/>
    </row>
    <row r="134" spans="1:8" x14ac:dyDescent="0.25">
      <c r="A134" s="47">
        <v>41547</v>
      </c>
      <c r="B134" s="40">
        <v>84.982444999999998</v>
      </c>
      <c r="C134" s="40"/>
      <c r="D134" s="40"/>
      <c r="E134" s="40"/>
      <c r="F134" s="40"/>
      <c r="G134" s="40"/>
      <c r="H134" s="40"/>
    </row>
    <row r="135" spans="1:8" x14ac:dyDescent="0.25">
      <c r="A135" s="47">
        <v>41517</v>
      </c>
      <c r="B135" s="40">
        <v>91.750800999999996</v>
      </c>
      <c r="C135" s="40"/>
      <c r="D135" s="40"/>
      <c r="E135" s="40"/>
      <c r="F135" s="40"/>
      <c r="G135" s="40"/>
      <c r="H135" s="40"/>
    </row>
    <row r="136" spans="1:8" x14ac:dyDescent="0.25">
      <c r="A136" s="47">
        <v>41486</v>
      </c>
      <c r="B136" s="40">
        <v>97.270820999999998</v>
      </c>
      <c r="C136" s="40"/>
      <c r="D136" s="40"/>
      <c r="E136" s="40"/>
      <c r="F136" s="40"/>
      <c r="G136" s="40"/>
      <c r="H136" s="40"/>
    </row>
    <row r="137" spans="1:8" x14ac:dyDescent="0.25">
      <c r="A137" s="47">
        <v>41455</v>
      </c>
      <c r="B137" s="40">
        <v>98.585548000000003</v>
      </c>
      <c r="C137" s="40"/>
      <c r="D137" s="40"/>
      <c r="E137" s="40"/>
      <c r="F137" s="40"/>
      <c r="G137" s="40"/>
      <c r="H137" s="40"/>
    </row>
    <row r="138" spans="1:8" x14ac:dyDescent="0.25">
      <c r="A138" s="40"/>
      <c r="B138" s="40"/>
      <c r="C138" s="40"/>
      <c r="D138" s="40"/>
      <c r="E138" s="40"/>
      <c r="F138" s="40"/>
      <c r="G138" s="40"/>
      <c r="H138" s="40"/>
    </row>
  </sheetData>
  <mergeCells count="4">
    <mergeCell ref="A2:H2"/>
    <mergeCell ref="A3:H3"/>
    <mergeCell ref="A14:A16"/>
    <mergeCell ref="B14:B15"/>
  </mergeCells>
  <pageMargins left="0.7" right="0.7" top="0.75" bottom="0.75" header="0.3" footer="0.3"/>
  <customProperties>
    <customPr name="REFI_OFFICE_FUNCTION_DATA" r:id="rId1"/>
  </customPropertie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50109-7688-461B-8BEE-97AD42760FB8}">
  <dimension ref="A1:D524"/>
  <sheetViews>
    <sheetView workbookViewId="0">
      <selection activeCell="A31" sqref="A31"/>
    </sheetView>
  </sheetViews>
  <sheetFormatPr defaultRowHeight="15" x14ac:dyDescent="0.25"/>
  <cols>
    <col min="1" max="1" width="18.28515625" customWidth="1"/>
    <col min="3" max="3" width="14.140625" customWidth="1"/>
  </cols>
  <sheetData>
    <row r="1" spans="1:4" x14ac:dyDescent="0.25">
      <c r="A1" s="155" t="s">
        <v>1213</v>
      </c>
      <c r="B1" s="163"/>
      <c r="C1" s="155" t="s">
        <v>1214</v>
      </c>
      <c r="D1" s="156"/>
    </row>
    <row r="2" spans="1:4" x14ac:dyDescent="0.25">
      <c r="A2" s="157" t="s">
        <v>615</v>
      </c>
      <c r="B2" s="164" t="s">
        <v>1212</v>
      </c>
      <c r="C2" s="157" t="s">
        <v>615</v>
      </c>
      <c r="D2" s="158" t="s">
        <v>1212</v>
      </c>
    </row>
    <row r="3" spans="1:4" x14ac:dyDescent="0.25">
      <c r="A3" s="159">
        <v>45107</v>
      </c>
      <c r="B3" s="165">
        <v>6.2949999999999999</v>
      </c>
      <c r="C3" s="159">
        <v>45107</v>
      </c>
      <c r="D3" s="160">
        <v>3.6880000000000002</v>
      </c>
    </row>
    <row r="4" spans="1:4" x14ac:dyDescent="0.25">
      <c r="A4" s="159">
        <v>45100</v>
      </c>
      <c r="B4" s="165">
        <v>6.3049999999999997</v>
      </c>
      <c r="C4" s="159">
        <v>45100</v>
      </c>
      <c r="D4" s="160">
        <v>3.7389999999999999</v>
      </c>
    </row>
    <row r="5" spans="1:4" x14ac:dyDescent="0.25">
      <c r="A5" s="159">
        <v>45093</v>
      </c>
      <c r="B5" s="165">
        <v>6.306</v>
      </c>
      <c r="C5" s="159">
        <v>45093</v>
      </c>
      <c r="D5" s="160">
        <v>3.7690000000000001</v>
      </c>
    </row>
    <row r="6" spans="1:4" x14ac:dyDescent="0.25">
      <c r="A6" s="159">
        <v>45086</v>
      </c>
      <c r="B6" s="165">
        <v>6.3410000000000002</v>
      </c>
      <c r="C6" s="159">
        <v>45086</v>
      </c>
      <c r="D6" s="160">
        <v>3.7450000000000001</v>
      </c>
    </row>
    <row r="7" spans="1:4" x14ac:dyDescent="0.25">
      <c r="A7" s="159">
        <v>45079</v>
      </c>
      <c r="B7" s="165">
        <v>6.3920000000000003</v>
      </c>
      <c r="C7" s="159">
        <v>45079</v>
      </c>
      <c r="D7" s="160">
        <v>3.6930000000000001</v>
      </c>
    </row>
    <row r="8" spans="1:4" x14ac:dyDescent="0.25">
      <c r="A8" s="159">
        <v>45072</v>
      </c>
      <c r="B8" s="165">
        <v>6.4349999999999996</v>
      </c>
      <c r="C8" s="159">
        <v>45072</v>
      </c>
      <c r="D8" s="160">
        <v>3.82</v>
      </c>
    </row>
    <row r="9" spans="1:4" x14ac:dyDescent="0.25">
      <c r="A9" s="159">
        <v>45065</v>
      </c>
      <c r="B9" s="165">
        <v>6.4260000000000002</v>
      </c>
      <c r="C9" s="159">
        <v>45065</v>
      </c>
      <c r="D9" s="160">
        <v>3.6920000000000002</v>
      </c>
    </row>
    <row r="10" spans="1:4" x14ac:dyDescent="0.25">
      <c r="A10" s="159">
        <v>45058</v>
      </c>
      <c r="B10" s="165">
        <v>6.4050000000000002</v>
      </c>
      <c r="C10" s="159">
        <v>45058</v>
      </c>
      <c r="D10" s="160">
        <v>3.4630000000000001</v>
      </c>
    </row>
    <row r="11" spans="1:4" x14ac:dyDescent="0.25">
      <c r="A11" s="159">
        <v>45051</v>
      </c>
      <c r="B11" s="165">
        <v>6.4359999999999999</v>
      </c>
      <c r="C11" s="159">
        <v>45051</v>
      </c>
      <c r="D11" s="160">
        <v>3.4460000000000002</v>
      </c>
    </row>
    <row r="12" spans="1:4" x14ac:dyDescent="0.25">
      <c r="A12" s="159">
        <v>45044</v>
      </c>
      <c r="B12" s="165">
        <v>6.5359999999999996</v>
      </c>
      <c r="C12" s="159">
        <v>45044</v>
      </c>
      <c r="D12" s="160">
        <v>3.452</v>
      </c>
    </row>
    <row r="13" spans="1:4" x14ac:dyDescent="0.25">
      <c r="A13" s="159">
        <v>45037</v>
      </c>
      <c r="B13" s="165">
        <v>6.6680000000000001</v>
      </c>
      <c r="C13" s="159">
        <v>45037</v>
      </c>
      <c r="D13" s="160">
        <v>3.5720000000000001</v>
      </c>
    </row>
    <row r="14" spans="1:4" x14ac:dyDescent="0.25">
      <c r="A14" s="159">
        <v>45030</v>
      </c>
      <c r="B14" s="165">
        <v>6.6390000000000002</v>
      </c>
      <c r="C14" s="159">
        <v>45030</v>
      </c>
      <c r="D14" s="160">
        <v>3.5219999999999998</v>
      </c>
    </row>
    <row r="15" spans="1:4" x14ac:dyDescent="0.25">
      <c r="A15" s="159">
        <v>45023</v>
      </c>
      <c r="B15" s="165">
        <v>6.6779999999999999</v>
      </c>
      <c r="C15" s="159">
        <v>45023</v>
      </c>
      <c r="D15" s="160">
        <v>3.383</v>
      </c>
    </row>
    <row r="16" spans="1:4" x14ac:dyDescent="0.25">
      <c r="A16" s="159">
        <v>45016</v>
      </c>
      <c r="B16" s="165">
        <v>6.8150000000000004</v>
      </c>
      <c r="C16" s="159">
        <v>45016</v>
      </c>
      <c r="D16" s="160">
        <v>3.49</v>
      </c>
    </row>
    <row r="17" spans="1:4" x14ac:dyDescent="0.25">
      <c r="A17" s="159">
        <v>45009</v>
      </c>
      <c r="B17" s="165">
        <v>6.843</v>
      </c>
      <c r="C17" s="159">
        <v>45009</v>
      </c>
      <c r="D17" s="160">
        <v>3.3780000000000001</v>
      </c>
    </row>
    <row r="18" spans="1:4" x14ac:dyDescent="0.25">
      <c r="A18" s="159">
        <v>45002</v>
      </c>
      <c r="B18" s="165">
        <v>6.9530000000000003</v>
      </c>
      <c r="C18" s="159">
        <v>45002</v>
      </c>
      <c r="D18" s="160">
        <v>3.3969999999999998</v>
      </c>
    </row>
    <row r="19" spans="1:4" x14ac:dyDescent="0.25">
      <c r="A19" s="159">
        <v>44995</v>
      </c>
      <c r="B19" s="165">
        <v>6.9619999999999997</v>
      </c>
      <c r="C19" s="159">
        <v>44995</v>
      </c>
      <c r="D19" s="160">
        <v>3.6949999999999998</v>
      </c>
    </row>
    <row r="20" spans="1:4" x14ac:dyDescent="0.25">
      <c r="A20" s="159">
        <v>44988</v>
      </c>
      <c r="B20" s="165">
        <v>6.9820000000000002</v>
      </c>
      <c r="C20" s="159">
        <v>44988</v>
      </c>
      <c r="D20" s="160">
        <v>3.9630000000000001</v>
      </c>
    </row>
    <row r="21" spans="1:4" x14ac:dyDescent="0.25">
      <c r="A21" s="159">
        <v>44981</v>
      </c>
      <c r="B21" s="165">
        <v>6.79</v>
      </c>
      <c r="C21" s="159">
        <v>44981</v>
      </c>
      <c r="D21" s="160">
        <v>3.9489999999999998</v>
      </c>
    </row>
    <row r="22" spans="1:4" x14ac:dyDescent="0.25">
      <c r="A22" s="159">
        <v>44974</v>
      </c>
      <c r="B22" s="165">
        <v>6.7279999999999998</v>
      </c>
      <c r="C22" s="159">
        <v>44974</v>
      </c>
      <c r="D22" s="160">
        <v>3.8279999999999998</v>
      </c>
    </row>
    <row r="23" spans="1:4" x14ac:dyDescent="0.25">
      <c r="A23" s="159">
        <v>44967</v>
      </c>
      <c r="B23" s="165">
        <v>6.67</v>
      </c>
      <c r="C23" s="159">
        <v>44967</v>
      </c>
      <c r="D23" s="160">
        <v>3.7429999999999999</v>
      </c>
    </row>
    <row r="24" spans="1:4" x14ac:dyDescent="0.25">
      <c r="A24" s="159">
        <v>44960</v>
      </c>
      <c r="B24" s="165">
        <v>6.5679999999999996</v>
      </c>
      <c r="C24" s="159">
        <v>44960</v>
      </c>
      <c r="D24" s="160">
        <v>3.532</v>
      </c>
    </row>
    <row r="25" spans="1:4" x14ac:dyDescent="0.25">
      <c r="A25" s="159">
        <v>44953</v>
      </c>
      <c r="B25" s="165">
        <v>6.7270000000000003</v>
      </c>
      <c r="C25" s="159">
        <v>44953</v>
      </c>
      <c r="D25" s="160">
        <v>3.5179999999999998</v>
      </c>
    </row>
    <row r="26" spans="1:4" x14ac:dyDescent="0.25">
      <c r="A26" s="159">
        <v>44946</v>
      </c>
      <c r="B26" s="165">
        <v>6.6340000000000003</v>
      </c>
      <c r="C26" s="159">
        <v>44946</v>
      </c>
      <c r="D26" s="160">
        <v>3.484</v>
      </c>
    </row>
    <row r="27" spans="1:4" x14ac:dyDescent="0.25">
      <c r="A27" s="159">
        <v>44939</v>
      </c>
      <c r="B27" s="165">
        <v>6.6970000000000001</v>
      </c>
      <c r="C27" s="159">
        <v>44939</v>
      </c>
      <c r="D27" s="160">
        <v>3.5110000000000001</v>
      </c>
    </row>
    <row r="28" spans="1:4" x14ac:dyDescent="0.25">
      <c r="A28" s="159">
        <v>44932</v>
      </c>
      <c r="B28" s="165">
        <v>6.9660000000000002</v>
      </c>
      <c r="C28" s="159">
        <v>44932</v>
      </c>
      <c r="D28" s="160">
        <v>3.5710000000000002</v>
      </c>
    </row>
    <row r="29" spans="1:4" x14ac:dyDescent="0.25">
      <c r="A29" s="159">
        <v>44925</v>
      </c>
      <c r="B29" s="165">
        <v>6.9249999999999998</v>
      </c>
      <c r="C29" s="159">
        <v>44925</v>
      </c>
      <c r="D29" s="160">
        <v>3.831</v>
      </c>
    </row>
    <row r="30" spans="1:4" x14ac:dyDescent="0.25">
      <c r="A30" s="159">
        <v>44918</v>
      </c>
      <c r="B30" s="165">
        <v>6.9240000000000004</v>
      </c>
      <c r="C30" s="159">
        <v>44918</v>
      </c>
      <c r="D30" s="160">
        <v>3.7469999999999999</v>
      </c>
    </row>
    <row r="31" spans="1:4" x14ac:dyDescent="0.25">
      <c r="A31" s="159">
        <v>44911</v>
      </c>
      <c r="B31" s="165">
        <v>6.9</v>
      </c>
      <c r="C31" s="159">
        <v>44911</v>
      </c>
      <c r="D31" s="160">
        <v>3.4820000000000002</v>
      </c>
    </row>
    <row r="32" spans="1:4" x14ac:dyDescent="0.25">
      <c r="A32" s="159">
        <v>44904</v>
      </c>
      <c r="B32" s="165">
        <v>6.9580000000000002</v>
      </c>
      <c r="C32" s="159">
        <v>44904</v>
      </c>
      <c r="D32" s="160">
        <v>3.5670000000000002</v>
      </c>
    </row>
    <row r="33" spans="1:4" x14ac:dyDescent="0.25">
      <c r="A33" s="159">
        <v>44897</v>
      </c>
      <c r="B33" s="165">
        <v>6.843</v>
      </c>
      <c r="C33" s="159">
        <v>44897</v>
      </c>
      <c r="D33" s="160">
        <v>3.5030000000000001</v>
      </c>
    </row>
    <row r="34" spans="1:4" x14ac:dyDescent="0.25">
      <c r="A34" s="159">
        <v>44890</v>
      </c>
      <c r="B34" s="165">
        <v>6.9429999999999996</v>
      </c>
      <c r="C34" s="159">
        <v>44890</v>
      </c>
      <c r="D34" s="160">
        <v>3.702</v>
      </c>
    </row>
    <row r="35" spans="1:4" x14ac:dyDescent="0.25">
      <c r="A35" s="159">
        <v>44883</v>
      </c>
      <c r="B35" s="165">
        <v>7.0449999999999999</v>
      </c>
      <c r="C35" s="159">
        <v>44883</v>
      </c>
      <c r="D35" s="160">
        <v>3.8180000000000001</v>
      </c>
    </row>
    <row r="36" spans="1:4" x14ac:dyDescent="0.25">
      <c r="A36" s="159">
        <v>44876</v>
      </c>
      <c r="B36" s="165">
        <v>7.202</v>
      </c>
      <c r="C36" s="159">
        <v>44876</v>
      </c>
      <c r="D36" s="160">
        <v>3.8290000000000002</v>
      </c>
    </row>
    <row r="37" spans="1:4" x14ac:dyDescent="0.25">
      <c r="A37" s="159">
        <v>44869</v>
      </c>
      <c r="B37" s="165">
        <v>7.4820000000000002</v>
      </c>
      <c r="C37" s="159">
        <v>44869</v>
      </c>
      <c r="D37" s="160">
        <v>4.1580000000000004</v>
      </c>
    </row>
    <row r="38" spans="1:4" x14ac:dyDescent="0.25">
      <c r="A38" s="159">
        <v>44862</v>
      </c>
      <c r="B38" s="165">
        <v>7.5839999999999996</v>
      </c>
      <c r="C38" s="159">
        <v>44862</v>
      </c>
      <c r="D38" s="160">
        <v>4.01</v>
      </c>
    </row>
    <row r="39" spans="1:4" x14ac:dyDescent="0.25">
      <c r="A39" s="159">
        <v>44855</v>
      </c>
      <c r="B39" s="165">
        <v>7.5549999999999997</v>
      </c>
      <c r="C39" s="159">
        <v>44855</v>
      </c>
      <c r="D39" s="160">
        <v>4.2119999999999997</v>
      </c>
    </row>
    <row r="40" spans="1:4" x14ac:dyDescent="0.25">
      <c r="A40" s="159">
        <v>44848</v>
      </c>
      <c r="B40" s="165">
        <v>7.3360000000000003</v>
      </c>
      <c r="C40" s="159">
        <v>44848</v>
      </c>
      <c r="D40" s="160">
        <v>4.0060000000000002</v>
      </c>
    </row>
    <row r="41" spans="1:4" x14ac:dyDescent="0.25">
      <c r="A41" s="159">
        <v>44841</v>
      </c>
      <c r="B41" s="165">
        <v>7.242</v>
      </c>
      <c r="C41" s="159">
        <v>44841</v>
      </c>
      <c r="D41" s="160">
        <v>3.8849999999999998</v>
      </c>
    </row>
    <row r="42" spans="1:4" x14ac:dyDescent="0.25">
      <c r="A42" s="159">
        <v>44834</v>
      </c>
      <c r="B42" s="165">
        <v>7.38</v>
      </c>
      <c r="C42" s="159">
        <v>44834</v>
      </c>
      <c r="D42" s="160">
        <v>3.8039999999999998</v>
      </c>
    </row>
    <row r="43" spans="1:4" x14ac:dyDescent="0.25">
      <c r="A43" s="159">
        <v>44827</v>
      </c>
      <c r="B43" s="165">
        <v>7.274</v>
      </c>
      <c r="C43" s="159">
        <v>44827</v>
      </c>
      <c r="D43" s="160">
        <v>3.6970000000000001</v>
      </c>
    </row>
    <row r="44" spans="1:4" x14ac:dyDescent="0.25">
      <c r="A44" s="159">
        <v>44820</v>
      </c>
      <c r="B44" s="165">
        <v>7.2140000000000004</v>
      </c>
      <c r="C44" s="159">
        <v>44820</v>
      </c>
      <c r="D44" s="160">
        <v>3.4470000000000001</v>
      </c>
    </row>
    <row r="45" spans="1:4" x14ac:dyDescent="0.25">
      <c r="A45" s="159">
        <v>44813</v>
      </c>
      <c r="B45" s="165">
        <v>7.1769999999999996</v>
      </c>
      <c r="C45" s="159">
        <v>44813</v>
      </c>
      <c r="D45" s="160">
        <v>3.3210000000000002</v>
      </c>
    </row>
    <row r="46" spans="1:4" x14ac:dyDescent="0.25">
      <c r="A46" s="159">
        <v>44806</v>
      </c>
      <c r="B46" s="165">
        <v>7.1440000000000001</v>
      </c>
      <c r="C46" s="159">
        <v>44806</v>
      </c>
      <c r="D46" s="160">
        <v>3.1909999999999998</v>
      </c>
    </row>
    <row r="47" spans="1:4" x14ac:dyDescent="0.25">
      <c r="A47" s="159">
        <v>44799</v>
      </c>
      <c r="B47" s="165">
        <v>7.0730000000000004</v>
      </c>
      <c r="C47" s="159">
        <v>44799</v>
      </c>
      <c r="D47" s="160">
        <v>3.0350000000000001</v>
      </c>
    </row>
    <row r="48" spans="1:4" x14ac:dyDescent="0.25">
      <c r="A48" s="159">
        <v>44792</v>
      </c>
      <c r="B48" s="165">
        <v>7.0940000000000003</v>
      </c>
      <c r="C48" s="159">
        <v>44792</v>
      </c>
      <c r="D48" s="160">
        <v>2.9889999999999999</v>
      </c>
    </row>
    <row r="49" spans="1:4" x14ac:dyDescent="0.25">
      <c r="A49" s="159">
        <v>44785</v>
      </c>
      <c r="B49" s="165">
        <v>6.9710000000000001</v>
      </c>
      <c r="C49" s="159">
        <v>44785</v>
      </c>
      <c r="D49" s="160">
        <v>2.8490000000000002</v>
      </c>
    </row>
    <row r="50" spans="1:4" x14ac:dyDescent="0.25">
      <c r="A50" s="159">
        <v>44778</v>
      </c>
      <c r="B50" s="165">
        <v>7.1429999999999998</v>
      </c>
      <c r="C50" s="159">
        <v>44778</v>
      </c>
      <c r="D50" s="160">
        <v>2.84</v>
      </c>
    </row>
    <row r="51" spans="1:4" x14ac:dyDescent="0.25">
      <c r="A51" s="159">
        <v>44771</v>
      </c>
      <c r="B51" s="165">
        <v>7.1970000000000001</v>
      </c>
      <c r="C51" s="159">
        <v>44771</v>
      </c>
      <c r="D51" s="160">
        <v>2.6419999999999999</v>
      </c>
    </row>
    <row r="52" spans="1:4" x14ac:dyDescent="0.25">
      <c r="A52" s="159">
        <v>44764</v>
      </c>
      <c r="B52" s="165">
        <v>7.4909999999999997</v>
      </c>
      <c r="C52" s="159">
        <v>44764</v>
      </c>
      <c r="D52" s="160">
        <v>2.7810000000000001</v>
      </c>
    </row>
    <row r="53" spans="1:4" x14ac:dyDescent="0.25">
      <c r="A53" s="159">
        <v>44757</v>
      </c>
      <c r="B53" s="165">
        <v>7.3650000000000002</v>
      </c>
      <c r="C53" s="159">
        <v>44757</v>
      </c>
      <c r="D53" s="160">
        <v>2.93</v>
      </c>
    </row>
    <row r="54" spans="1:4" x14ac:dyDescent="0.25">
      <c r="A54" s="159">
        <v>44750</v>
      </c>
      <c r="B54" s="165">
        <v>7.2569999999999997</v>
      </c>
      <c r="C54" s="159">
        <v>44750</v>
      </c>
      <c r="D54" s="160">
        <v>3.101</v>
      </c>
    </row>
    <row r="55" spans="1:4" x14ac:dyDescent="0.25">
      <c r="A55" s="159">
        <v>44743</v>
      </c>
      <c r="B55" s="165">
        <v>7.242</v>
      </c>
      <c r="C55" s="159">
        <v>44743</v>
      </c>
      <c r="D55" s="160">
        <v>2.9039999999999999</v>
      </c>
    </row>
    <row r="56" spans="1:4" x14ac:dyDescent="0.25">
      <c r="A56" s="159">
        <v>44736</v>
      </c>
      <c r="B56" s="165">
        <v>7.3789999999999996</v>
      </c>
      <c r="C56" s="159">
        <v>44736</v>
      </c>
      <c r="D56" s="160">
        <v>3.1240000000000001</v>
      </c>
    </row>
    <row r="57" spans="1:4" x14ac:dyDescent="0.25">
      <c r="A57" s="159">
        <v>44729</v>
      </c>
      <c r="B57" s="165">
        <v>7.4660000000000002</v>
      </c>
      <c r="C57" s="159">
        <v>44729</v>
      </c>
      <c r="D57" s="160">
        <v>3.2389999999999999</v>
      </c>
    </row>
    <row r="58" spans="1:4" x14ac:dyDescent="0.25">
      <c r="A58" s="159">
        <v>44722</v>
      </c>
      <c r="B58" s="165">
        <v>7.22</v>
      </c>
      <c r="C58" s="159">
        <v>44722</v>
      </c>
      <c r="D58" s="160">
        <v>3.157</v>
      </c>
    </row>
    <row r="59" spans="1:4" x14ac:dyDescent="0.25">
      <c r="A59" s="159">
        <v>44715</v>
      </c>
      <c r="B59" s="165">
        <v>6.9960000000000004</v>
      </c>
      <c r="C59" s="159">
        <v>44715</v>
      </c>
      <c r="D59" s="160">
        <v>2.9550000000000001</v>
      </c>
    </row>
    <row r="60" spans="1:4" x14ac:dyDescent="0.25">
      <c r="A60" s="159">
        <v>44708</v>
      </c>
      <c r="B60" s="165">
        <v>7.141</v>
      </c>
      <c r="C60" s="159">
        <v>44708</v>
      </c>
      <c r="D60" s="160">
        <v>2.7490000000000001</v>
      </c>
    </row>
    <row r="61" spans="1:4" x14ac:dyDescent="0.25">
      <c r="A61" s="159">
        <v>44701</v>
      </c>
      <c r="B61" s="165">
        <v>7.28</v>
      </c>
      <c r="C61" s="159">
        <v>44701</v>
      </c>
      <c r="D61" s="160">
        <v>2.7869999999999999</v>
      </c>
    </row>
    <row r="62" spans="1:4" x14ac:dyDescent="0.25">
      <c r="A62" s="159">
        <v>44694</v>
      </c>
      <c r="B62" s="165">
        <v>7.3769999999999998</v>
      </c>
      <c r="C62" s="159">
        <v>44694</v>
      </c>
      <c r="D62" s="160">
        <v>2.9329999999999998</v>
      </c>
    </row>
    <row r="63" spans="1:4" x14ac:dyDescent="0.25">
      <c r="A63" s="159">
        <v>44680</v>
      </c>
      <c r="B63" s="165">
        <v>6.9980000000000002</v>
      </c>
      <c r="C63" s="159">
        <v>44687</v>
      </c>
      <c r="D63" s="160">
        <v>3.1240000000000001</v>
      </c>
    </row>
    <row r="64" spans="1:4" x14ac:dyDescent="0.25">
      <c r="A64" s="159">
        <v>44673</v>
      </c>
      <c r="B64" s="165">
        <v>6.976</v>
      </c>
      <c r="C64" s="159">
        <v>44680</v>
      </c>
      <c r="D64" s="160">
        <v>2.8849999999999998</v>
      </c>
    </row>
    <row r="65" spans="1:4" x14ac:dyDescent="0.25">
      <c r="A65" s="159">
        <v>44666</v>
      </c>
      <c r="B65" s="165">
        <v>6.9219999999999997</v>
      </c>
      <c r="C65" s="159">
        <v>44673</v>
      </c>
      <c r="D65" s="160">
        <v>2.9060000000000001</v>
      </c>
    </row>
    <row r="66" spans="1:4" x14ac:dyDescent="0.25">
      <c r="A66" s="159">
        <v>44659</v>
      </c>
      <c r="B66" s="165">
        <v>6.7889999999999997</v>
      </c>
      <c r="C66" s="159">
        <v>44666</v>
      </c>
      <c r="D66" s="160">
        <v>2.8079999999999998</v>
      </c>
    </row>
    <row r="67" spans="1:4" x14ac:dyDescent="0.25">
      <c r="A67" s="159">
        <v>44652</v>
      </c>
      <c r="B67" s="165">
        <v>6.7549999999999999</v>
      </c>
      <c r="C67" s="159">
        <v>44659</v>
      </c>
      <c r="D67" s="160">
        <v>2.7149999999999999</v>
      </c>
    </row>
    <row r="68" spans="1:4" x14ac:dyDescent="0.25">
      <c r="A68" s="159">
        <v>44645</v>
      </c>
      <c r="B68" s="165">
        <v>6.7050000000000001</v>
      </c>
      <c r="C68" s="159">
        <v>44652</v>
      </c>
      <c r="D68" s="160">
        <v>2.375</v>
      </c>
    </row>
    <row r="69" spans="1:4" x14ac:dyDescent="0.25">
      <c r="A69" s="159">
        <v>44638</v>
      </c>
      <c r="B69" s="165">
        <v>6.7229999999999999</v>
      </c>
      <c r="C69" s="159">
        <v>44645</v>
      </c>
      <c r="D69" s="160">
        <v>2.4929999999999999</v>
      </c>
    </row>
    <row r="70" spans="1:4" x14ac:dyDescent="0.25">
      <c r="A70" s="159">
        <v>44631</v>
      </c>
      <c r="B70" s="165">
        <v>6.7309999999999999</v>
      </c>
      <c r="C70" s="159">
        <v>44638</v>
      </c>
      <c r="D70" s="160">
        <v>2.1480000000000001</v>
      </c>
    </row>
    <row r="71" spans="1:4" x14ac:dyDescent="0.25">
      <c r="A71" s="159">
        <v>44624</v>
      </c>
      <c r="B71" s="165">
        <v>6.6369999999999996</v>
      </c>
      <c r="C71" s="159">
        <v>44631</v>
      </c>
      <c r="D71" s="160">
        <v>2.0059999999999998</v>
      </c>
    </row>
    <row r="72" spans="1:4" x14ac:dyDescent="0.25">
      <c r="A72" s="159">
        <v>44617</v>
      </c>
      <c r="B72" s="165">
        <v>6.51</v>
      </c>
      <c r="C72" s="159">
        <v>44624</v>
      </c>
      <c r="D72" s="160">
        <v>1.722</v>
      </c>
    </row>
    <row r="73" spans="1:4" x14ac:dyDescent="0.25">
      <c r="A73" s="159">
        <v>44610</v>
      </c>
      <c r="B73" s="165">
        <v>6.5019999999999998</v>
      </c>
      <c r="C73" s="159">
        <v>44617</v>
      </c>
      <c r="D73" s="160">
        <v>1.984</v>
      </c>
    </row>
    <row r="74" spans="1:4" x14ac:dyDescent="0.25">
      <c r="A74" s="159">
        <v>44603</v>
      </c>
      <c r="B74" s="165">
        <v>6.5030000000000001</v>
      </c>
      <c r="C74" s="159">
        <v>44610</v>
      </c>
      <c r="D74" s="160">
        <v>1.93</v>
      </c>
    </row>
    <row r="75" spans="1:4" x14ac:dyDescent="0.25">
      <c r="A75" s="159">
        <v>44596</v>
      </c>
      <c r="B75" s="165">
        <v>6.4530000000000003</v>
      </c>
      <c r="C75" s="159">
        <v>44603</v>
      </c>
      <c r="D75" s="160">
        <v>1.9510000000000001</v>
      </c>
    </row>
    <row r="76" spans="1:4" x14ac:dyDescent="0.25">
      <c r="A76" s="159">
        <v>44589</v>
      </c>
      <c r="B76" s="165">
        <v>6.4630000000000001</v>
      </c>
      <c r="C76" s="159">
        <v>44596</v>
      </c>
      <c r="D76" s="160">
        <v>1.9319999999999999</v>
      </c>
    </row>
    <row r="77" spans="1:4" x14ac:dyDescent="0.25">
      <c r="A77" s="159">
        <v>44582</v>
      </c>
      <c r="B77" s="165">
        <v>6.4249999999999998</v>
      </c>
      <c r="C77" s="159">
        <v>44589</v>
      </c>
      <c r="D77" s="160">
        <v>1.78</v>
      </c>
    </row>
    <row r="78" spans="1:4" x14ac:dyDescent="0.25">
      <c r="A78" s="159">
        <v>44575</v>
      </c>
      <c r="B78" s="165">
        <v>6.4020000000000001</v>
      </c>
      <c r="C78" s="159">
        <v>44582</v>
      </c>
      <c r="D78" s="160">
        <v>1.7470000000000001</v>
      </c>
    </row>
    <row r="79" spans="1:4" x14ac:dyDescent="0.25">
      <c r="A79" s="159">
        <v>44568</v>
      </c>
      <c r="B79" s="165">
        <v>6.423</v>
      </c>
      <c r="C79" s="159">
        <v>44575</v>
      </c>
      <c r="D79" s="160">
        <v>1.772</v>
      </c>
    </row>
    <row r="80" spans="1:4" x14ac:dyDescent="0.25">
      <c r="A80" s="159">
        <v>44561</v>
      </c>
      <c r="B80" s="165">
        <v>6.3760000000000003</v>
      </c>
      <c r="C80" s="159">
        <v>44568</v>
      </c>
      <c r="D80" s="160">
        <v>1.7689999999999999</v>
      </c>
    </row>
    <row r="81" spans="1:4" x14ac:dyDescent="0.25">
      <c r="A81" s="159">
        <v>44554</v>
      </c>
      <c r="B81" s="165">
        <v>6.3890000000000002</v>
      </c>
      <c r="C81" s="159">
        <v>44561</v>
      </c>
      <c r="D81" s="160">
        <v>1.498</v>
      </c>
    </row>
    <row r="82" spans="1:4" x14ac:dyDescent="0.25">
      <c r="A82" s="159">
        <v>44547</v>
      </c>
      <c r="B82" s="165">
        <v>6.4119999999999999</v>
      </c>
      <c r="C82" s="159">
        <v>44554</v>
      </c>
      <c r="D82" s="160">
        <v>1.4930000000000001</v>
      </c>
    </row>
    <row r="83" spans="1:4" x14ac:dyDescent="0.25">
      <c r="A83" s="159">
        <v>44540</v>
      </c>
      <c r="B83" s="165">
        <v>6.3079999999999998</v>
      </c>
      <c r="C83" s="159">
        <v>44547</v>
      </c>
      <c r="D83" s="160">
        <v>1.4019999999999999</v>
      </c>
    </row>
    <row r="84" spans="1:4" x14ac:dyDescent="0.25">
      <c r="A84" s="159">
        <v>44533</v>
      </c>
      <c r="B84" s="165">
        <v>6.3929999999999998</v>
      </c>
      <c r="C84" s="159">
        <v>44540</v>
      </c>
      <c r="D84" s="160">
        <v>1.4890000000000001</v>
      </c>
    </row>
    <row r="85" spans="1:4" x14ac:dyDescent="0.25">
      <c r="A85" s="159">
        <v>44526</v>
      </c>
      <c r="B85" s="165">
        <v>6.2270000000000003</v>
      </c>
      <c r="C85" s="159">
        <v>44533</v>
      </c>
      <c r="D85" s="160">
        <v>1.341</v>
      </c>
    </row>
    <row r="86" spans="1:4" x14ac:dyDescent="0.25">
      <c r="A86" s="159">
        <v>44519</v>
      </c>
      <c r="B86" s="165">
        <v>6.1760000000000002</v>
      </c>
      <c r="C86" s="159">
        <v>44526</v>
      </c>
      <c r="D86" s="160">
        <v>1.4850000000000001</v>
      </c>
    </row>
    <row r="87" spans="1:4" x14ac:dyDescent="0.25">
      <c r="A87" s="159">
        <v>44512</v>
      </c>
      <c r="B87" s="165">
        <v>6.2009999999999996</v>
      </c>
      <c r="C87" s="159">
        <v>44519</v>
      </c>
      <c r="D87" s="160">
        <v>1.536</v>
      </c>
    </row>
    <row r="88" spans="1:4" x14ac:dyDescent="0.25">
      <c r="A88" s="159">
        <v>44505</v>
      </c>
      <c r="B88" s="165">
        <v>6.2080000000000002</v>
      </c>
      <c r="C88" s="159">
        <v>44512</v>
      </c>
      <c r="D88" s="160">
        <v>1.5840000000000001</v>
      </c>
    </row>
    <row r="89" spans="1:4" x14ac:dyDescent="0.25">
      <c r="A89" s="159">
        <v>44498</v>
      </c>
      <c r="B89" s="165">
        <v>6.1689999999999996</v>
      </c>
      <c r="C89" s="159">
        <v>44505</v>
      </c>
      <c r="D89" s="160">
        <v>1.4530000000000001</v>
      </c>
    </row>
    <row r="90" spans="1:4" x14ac:dyDescent="0.25">
      <c r="A90" s="159">
        <v>44491</v>
      </c>
      <c r="B90" s="165">
        <v>6.1829999999999998</v>
      </c>
      <c r="C90" s="159">
        <v>44498</v>
      </c>
      <c r="D90" s="160">
        <v>1.556</v>
      </c>
    </row>
    <row r="91" spans="1:4" x14ac:dyDescent="0.25">
      <c r="A91" s="159">
        <v>44484</v>
      </c>
      <c r="B91" s="165">
        <v>6.2690000000000001</v>
      </c>
      <c r="C91" s="159">
        <v>44491</v>
      </c>
      <c r="D91" s="160">
        <v>1.655</v>
      </c>
    </row>
    <row r="92" spans="1:4" x14ac:dyDescent="0.25">
      <c r="A92" s="159">
        <v>44477</v>
      </c>
      <c r="B92" s="165">
        <v>6.35</v>
      </c>
      <c r="C92" s="159">
        <v>44484</v>
      </c>
      <c r="D92" s="160">
        <v>1.5760000000000001</v>
      </c>
    </row>
    <row r="93" spans="1:4" x14ac:dyDescent="0.25">
      <c r="A93" s="159">
        <v>44470</v>
      </c>
      <c r="B93" s="165">
        <v>6.359</v>
      </c>
      <c r="C93" s="159">
        <v>44477</v>
      </c>
      <c r="D93" s="160">
        <v>1.605</v>
      </c>
    </row>
    <row r="94" spans="1:4" x14ac:dyDescent="0.25">
      <c r="A94" s="159">
        <v>44463</v>
      </c>
      <c r="B94" s="165">
        <v>6.2380000000000004</v>
      </c>
      <c r="C94" s="159">
        <v>44470</v>
      </c>
      <c r="D94" s="160">
        <v>1.4670000000000001</v>
      </c>
    </row>
    <row r="95" spans="1:4" x14ac:dyDescent="0.25">
      <c r="A95" s="159">
        <v>44456</v>
      </c>
      <c r="B95" s="165">
        <v>6.1630000000000003</v>
      </c>
      <c r="C95" s="159">
        <v>44463</v>
      </c>
      <c r="D95" s="160">
        <v>1.4610000000000001</v>
      </c>
    </row>
    <row r="96" spans="1:4" x14ac:dyDescent="0.25">
      <c r="A96" s="159">
        <v>44449</v>
      </c>
      <c r="B96" s="165">
        <v>6.1550000000000002</v>
      </c>
      <c r="C96" s="159">
        <v>44456</v>
      </c>
      <c r="D96" s="160">
        <v>1.37</v>
      </c>
    </row>
    <row r="97" spans="1:4" x14ac:dyDescent="0.25">
      <c r="A97" s="159">
        <v>44442</v>
      </c>
      <c r="B97" s="165">
        <v>6.1319999999999997</v>
      </c>
      <c r="C97" s="159">
        <v>44449</v>
      </c>
      <c r="D97" s="160">
        <v>1.341</v>
      </c>
    </row>
    <row r="98" spans="1:4" x14ac:dyDescent="0.25">
      <c r="A98" s="159">
        <v>44435</v>
      </c>
      <c r="B98" s="165">
        <v>6.1660000000000004</v>
      </c>
      <c r="C98" s="159">
        <v>44442</v>
      </c>
      <c r="D98" s="160">
        <v>1.3220000000000001</v>
      </c>
    </row>
    <row r="99" spans="1:4" x14ac:dyDescent="0.25">
      <c r="A99" s="159">
        <v>44428</v>
      </c>
      <c r="B99" s="165">
        <v>6.3470000000000004</v>
      </c>
      <c r="C99" s="159">
        <v>44435</v>
      </c>
      <c r="D99" s="160">
        <v>1.3120000000000001</v>
      </c>
    </row>
    <row r="100" spans="1:4" x14ac:dyDescent="0.25">
      <c r="A100" s="159">
        <v>44421</v>
      </c>
      <c r="B100" s="165">
        <v>6.3789999999999996</v>
      </c>
      <c r="C100" s="159">
        <v>44428</v>
      </c>
      <c r="D100" s="160">
        <v>1.26</v>
      </c>
    </row>
    <row r="101" spans="1:4" x14ac:dyDescent="0.25">
      <c r="A101" s="159">
        <v>44414</v>
      </c>
      <c r="B101" s="165">
        <v>6.2880000000000003</v>
      </c>
      <c r="C101" s="159">
        <v>44421</v>
      </c>
      <c r="D101" s="160">
        <v>1.2969999999999999</v>
      </c>
    </row>
    <row r="102" spans="1:4" x14ac:dyDescent="0.25">
      <c r="A102" s="159">
        <v>44407</v>
      </c>
      <c r="B102" s="165">
        <v>6.3070000000000004</v>
      </c>
      <c r="C102" s="159">
        <v>44414</v>
      </c>
      <c r="D102" s="160">
        <v>1.288</v>
      </c>
    </row>
    <row r="103" spans="1:4" x14ac:dyDescent="0.25">
      <c r="A103" s="159">
        <v>44400</v>
      </c>
      <c r="B103" s="165">
        <v>6.298</v>
      </c>
      <c r="C103" s="159">
        <v>44407</v>
      </c>
      <c r="D103" s="160">
        <v>1.2390000000000001</v>
      </c>
    </row>
    <row r="104" spans="1:4" x14ac:dyDescent="0.25">
      <c r="A104" s="159">
        <v>44393</v>
      </c>
      <c r="B104" s="165">
        <v>6.4370000000000003</v>
      </c>
      <c r="C104" s="159">
        <v>44400</v>
      </c>
      <c r="D104" s="160">
        <v>1.2849999999999999</v>
      </c>
    </row>
    <row r="105" spans="1:4" x14ac:dyDescent="0.25">
      <c r="A105" s="159">
        <v>44386</v>
      </c>
      <c r="B105" s="165">
        <v>6.5540000000000003</v>
      </c>
      <c r="C105" s="159">
        <v>44393</v>
      </c>
      <c r="D105" s="160">
        <v>1.2989999999999999</v>
      </c>
    </row>
    <row r="106" spans="1:4" x14ac:dyDescent="0.25">
      <c r="A106" s="159">
        <v>44379</v>
      </c>
      <c r="B106" s="165">
        <v>6.6360000000000001</v>
      </c>
      <c r="C106" s="159">
        <v>44386</v>
      </c>
      <c r="D106" s="160">
        <v>1.3560000000000001</v>
      </c>
    </row>
    <row r="107" spans="1:4" x14ac:dyDescent="0.25">
      <c r="A107" s="159">
        <v>44372</v>
      </c>
      <c r="B107" s="165">
        <v>6.5270000000000001</v>
      </c>
      <c r="C107" s="159">
        <v>44379</v>
      </c>
      <c r="D107" s="160">
        <v>1.4319999999999999</v>
      </c>
    </row>
    <row r="108" spans="1:4" x14ac:dyDescent="0.25">
      <c r="A108" s="159">
        <v>44365</v>
      </c>
      <c r="B108" s="165">
        <v>6.5640000000000001</v>
      </c>
      <c r="C108" s="159">
        <v>44372</v>
      </c>
      <c r="D108" s="160">
        <v>1.536</v>
      </c>
    </row>
    <row r="109" spans="1:4" x14ac:dyDescent="0.25">
      <c r="A109" s="159">
        <v>44358</v>
      </c>
      <c r="B109" s="165">
        <v>6.4340000000000002</v>
      </c>
      <c r="C109" s="159">
        <v>44365</v>
      </c>
      <c r="D109" s="160">
        <v>1.45</v>
      </c>
    </row>
    <row r="110" spans="1:4" x14ac:dyDescent="0.25">
      <c r="A110" s="159">
        <v>44351</v>
      </c>
      <c r="B110" s="165">
        <v>6.44</v>
      </c>
      <c r="C110" s="159">
        <v>44358</v>
      </c>
      <c r="D110" s="160">
        <v>1.462</v>
      </c>
    </row>
    <row r="111" spans="1:4" x14ac:dyDescent="0.25">
      <c r="A111" s="159">
        <v>44344</v>
      </c>
      <c r="B111" s="165">
        <v>6.4260000000000002</v>
      </c>
      <c r="C111" s="159">
        <v>44351</v>
      </c>
      <c r="D111" s="160">
        <v>1.56</v>
      </c>
    </row>
    <row r="112" spans="1:4" x14ac:dyDescent="0.25">
      <c r="A112" s="159">
        <v>44337</v>
      </c>
      <c r="B112" s="165">
        <v>6.5190000000000001</v>
      </c>
      <c r="C112" s="159">
        <v>44344</v>
      </c>
      <c r="D112" s="160">
        <v>1.593</v>
      </c>
    </row>
    <row r="113" spans="1:4" x14ac:dyDescent="0.25">
      <c r="A113" s="159">
        <v>44330</v>
      </c>
      <c r="B113" s="165">
        <v>6.4050000000000002</v>
      </c>
      <c r="C113" s="159">
        <v>44337</v>
      </c>
      <c r="D113" s="160">
        <v>1.6319999999999999</v>
      </c>
    </row>
    <row r="114" spans="1:4" x14ac:dyDescent="0.25">
      <c r="A114" s="159">
        <v>44323</v>
      </c>
      <c r="B114" s="165">
        <v>6.4429999999999996</v>
      </c>
      <c r="C114" s="159">
        <v>44330</v>
      </c>
      <c r="D114" s="160">
        <v>1.635</v>
      </c>
    </row>
    <row r="115" spans="1:4" x14ac:dyDescent="0.25">
      <c r="A115" s="159">
        <v>44316</v>
      </c>
      <c r="B115" s="165">
        <v>6.476</v>
      </c>
      <c r="C115" s="159">
        <v>44323</v>
      </c>
      <c r="D115" s="160">
        <v>1.579</v>
      </c>
    </row>
    <row r="116" spans="1:4" x14ac:dyDescent="0.25">
      <c r="A116" s="159">
        <v>44309</v>
      </c>
      <c r="B116" s="165">
        <v>6.484</v>
      </c>
      <c r="C116" s="159">
        <v>44316</v>
      </c>
      <c r="D116" s="160">
        <v>1.631</v>
      </c>
    </row>
    <row r="117" spans="1:4" x14ac:dyDescent="0.25">
      <c r="A117" s="159">
        <v>44302</v>
      </c>
      <c r="B117" s="165">
        <v>6.5060000000000002</v>
      </c>
      <c r="C117" s="159">
        <v>44309</v>
      </c>
      <c r="D117" s="160">
        <v>1.5669999999999999</v>
      </c>
    </row>
    <row r="118" spans="1:4" x14ac:dyDescent="0.25">
      <c r="A118" s="159">
        <v>44295</v>
      </c>
      <c r="B118" s="165">
        <v>6.4530000000000003</v>
      </c>
      <c r="C118" s="159">
        <v>44302</v>
      </c>
      <c r="D118" s="160">
        <v>1.573</v>
      </c>
    </row>
    <row r="119" spans="1:4" x14ac:dyDescent="0.25">
      <c r="A119" s="159">
        <v>44288</v>
      </c>
      <c r="B119" s="165">
        <v>6.7610000000000001</v>
      </c>
      <c r="C119" s="159">
        <v>44295</v>
      </c>
      <c r="D119" s="160">
        <v>1.6659999999999999</v>
      </c>
    </row>
    <row r="120" spans="1:4" x14ac:dyDescent="0.25">
      <c r="A120" s="159">
        <v>44281</v>
      </c>
      <c r="B120" s="165">
        <v>6.7489999999999997</v>
      </c>
      <c r="C120" s="159">
        <v>44288</v>
      </c>
      <c r="D120" s="160">
        <v>1.673</v>
      </c>
    </row>
    <row r="121" spans="1:4" x14ac:dyDescent="0.25">
      <c r="A121" s="159">
        <v>44274</v>
      </c>
      <c r="B121" s="165">
        <v>6.8209999999999997</v>
      </c>
      <c r="C121" s="159">
        <v>44281</v>
      </c>
      <c r="D121" s="160">
        <v>1.66</v>
      </c>
    </row>
    <row r="122" spans="1:4" x14ac:dyDescent="0.25">
      <c r="A122" s="159">
        <v>44267</v>
      </c>
      <c r="B122" s="165">
        <v>6.7229999999999999</v>
      </c>
      <c r="C122" s="159">
        <v>44274</v>
      </c>
      <c r="D122" s="160">
        <v>1.732</v>
      </c>
    </row>
    <row r="123" spans="1:4" x14ac:dyDescent="0.25">
      <c r="A123" s="159">
        <v>44260</v>
      </c>
      <c r="B123" s="165">
        <v>6.625</v>
      </c>
      <c r="C123" s="159">
        <v>44267</v>
      </c>
      <c r="D123" s="160">
        <v>1.635</v>
      </c>
    </row>
    <row r="124" spans="1:4" x14ac:dyDescent="0.25">
      <c r="A124" s="159">
        <v>44253</v>
      </c>
      <c r="B124" s="165">
        <v>6.5979999999999999</v>
      </c>
      <c r="C124" s="159">
        <v>44260</v>
      </c>
      <c r="D124" s="160">
        <v>1.554</v>
      </c>
    </row>
    <row r="125" spans="1:4" x14ac:dyDescent="0.25">
      <c r="A125" s="159">
        <v>44246</v>
      </c>
      <c r="B125" s="165">
        <v>6.5990000000000002</v>
      </c>
      <c r="C125" s="159">
        <v>44253</v>
      </c>
      <c r="D125" s="160">
        <v>1.456</v>
      </c>
    </row>
    <row r="126" spans="1:4" x14ac:dyDescent="0.25">
      <c r="A126" s="159">
        <v>44239</v>
      </c>
      <c r="B126" s="165">
        <v>6.2409999999999997</v>
      </c>
      <c r="C126" s="159">
        <v>44246</v>
      </c>
      <c r="D126" s="160">
        <v>1.345</v>
      </c>
    </row>
    <row r="127" spans="1:4" x14ac:dyDescent="0.25">
      <c r="A127" s="159">
        <v>44232</v>
      </c>
      <c r="B127" s="165">
        <v>6.165</v>
      </c>
      <c r="C127" s="159">
        <v>44239</v>
      </c>
      <c r="D127" s="160">
        <v>1.2</v>
      </c>
    </row>
    <row r="128" spans="1:4" x14ac:dyDescent="0.25">
      <c r="A128" s="159">
        <v>44225</v>
      </c>
      <c r="B128" s="165">
        <v>6.2569999999999997</v>
      </c>
      <c r="C128" s="159">
        <v>44232</v>
      </c>
      <c r="D128" s="160">
        <v>1.17</v>
      </c>
    </row>
    <row r="129" spans="1:4" x14ac:dyDescent="0.25">
      <c r="A129" s="159">
        <v>44218</v>
      </c>
      <c r="B129" s="165">
        <v>6.2880000000000003</v>
      </c>
      <c r="C129" s="159">
        <v>44225</v>
      </c>
      <c r="D129" s="160">
        <v>1.0940000000000001</v>
      </c>
    </row>
    <row r="130" spans="1:4" x14ac:dyDescent="0.25">
      <c r="A130" s="159">
        <v>44211</v>
      </c>
      <c r="B130" s="165">
        <v>6.2089999999999996</v>
      </c>
      <c r="C130" s="159">
        <v>44218</v>
      </c>
      <c r="D130" s="160">
        <v>1.091</v>
      </c>
    </row>
    <row r="131" spans="1:4" x14ac:dyDescent="0.25">
      <c r="A131" s="159">
        <v>44204</v>
      </c>
      <c r="B131" s="165">
        <v>6.1280000000000001</v>
      </c>
      <c r="C131" s="159">
        <v>44211</v>
      </c>
      <c r="D131" s="160">
        <v>1.097</v>
      </c>
    </row>
    <row r="132" spans="1:4" x14ac:dyDescent="0.25">
      <c r="A132" s="159">
        <v>44197</v>
      </c>
      <c r="B132" s="165">
        <v>6.0970000000000004</v>
      </c>
      <c r="C132" s="159">
        <v>44204</v>
      </c>
      <c r="D132" s="160">
        <v>1.107</v>
      </c>
    </row>
    <row r="133" spans="1:4" x14ac:dyDescent="0.25">
      <c r="A133" s="159">
        <v>44190</v>
      </c>
      <c r="B133" s="165">
        <v>6.0970000000000004</v>
      </c>
      <c r="C133" s="159">
        <v>44197</v>
      </c>
      <c r="D133" s="160">
        <v>0.91200000000000003</v>
      </c>
    </row>
    <row r="134" spans="1:4" x14ac:dyDescent="0.25">
      <c r="A134" s="159">
        <v>44183</v>
      </c>
      <c r="B134" s="165">
        <v>5.976</v>
      </c>
      <c r="C134" s="159">
        <v>44190</v>
      </c>
      <c r="D134" s="160">
        <v>0.93</v>
      </c>
    </row>
    <row r="135" spans="1:4" x14ac:dyDescent="0.25">
      <c r="A135" s="159">
        <v>44176</v>
      </c>
      <c r="B135" s="165">
        <v>6.1820000000000004</v>
      </c>
      <c r="C135" s="159">
        <v>44183</v>
      </c>
      <c r="D135" s="160">
        <v>0.94799999999999995</v>
      </c>
    </row>
    <row r="136" spans="1:4" x14ac:dyDescent="0.25">
      <c r="A136" s="159">
        <v>44169</v>
      </c>
      <c r="B136" s="165">
        <v>6.1980000000000004</v>
      </c>
      <c r="C136" s="159">
        <v>44176</v>
      </c>
      <c r="D136" s="160">
        <v>0.89100000000000001</v>
      </c>
    </row>
    <row r="137" spans="1:4" x14ac:dyDescent="0.25">
      <c r="A137" s="159">
        <v>44162</v>
      </c>
      <c r="B137" s="165">
        <v>6.218</v>
      </c>
      <c r="C137" s="159">
        <v>44169</v>
      </c>
      <c r="D137" s="160">
        <v>0.96899999999999997</v>
      </c>
    </row>
    <row r="138" spans="1:4" x14ac:dyDescent="0.25">
      <c r="A138" s="159">
        <v>44155</v>
      </c>
      <c r="B138" s="165">
        <v>6.2</v>
      </c>
      <c r="C138" s="159">
        <v>44162</v>
      </c>
      <c r="D138" s="160">
        <v>0.84199999999999997</v>
      </c>
    </row>
    <row r="139" spans="1:4" x14ac:dyDescent="0.25">
      <c r="A139" s="159">
        <v>44148</v>
      </c>
      <c r="B139" s="165">
        <v>6.3239999999999998</v>
      </c>
      <c r="C139" s="159">
        <v>44155</v>
      </c>
      <c r="D139" s="160">
        <v>0.82899999999999996</v>
      </c>
    </row>
    <row r="140" spans="1:4" x14ac:dyDescent="0.25">
      <c r="A140" s="159">
        <v>44141</v>
      </c>
      <c r="B140" s="165">
        <v>6.3849999999999998</v>
      </c>
      <c r="C140" s="159">
        <v>44148</v>
      </c>
      <c r="D140" s="160">
        <v>0.89300000000000002</v>
      </c>
    </row>
    <row r="141" spans="1:4" x14ac:dyDescent="0.25">
      <c r="A141" s="159">
        <v>44134</v>
      </c>
      <c r="B141" s="165">
        <v>6.609</v>
      </c>
      <c r="C141" s="159">
        <v>44141</v>
      </c>
      <c r="D141" s="160">
        <v>0.82</v>
      </c>
    </row>
    <row r="142" spans="1:4" x14ac:dyDescent="0.25">
      <c r="A142" s="159">
        <v>44127</v>
      </c>
      <c r="B142" s="165">
        <v>6.6289999999999996</v>
      </c>
      <c r="C142" s="159">
        <v>44134</v>
      </c>
      <c r="D142" s="160">
        <v>0.85899999999999999</v>
      </c>
    </row>
    <row r="143" spans="1:4" x14ac:dyDescent="0.25">
      <c r="A143" s="159">
        <v>44120</v>
      </c>
      <c r="B143" s="165">
        <v>6.7590000000000003</v>
      </c>
      <c r="C143" s="159">
        <v>44127</v>
      </c>
      <c r="D143" s="160">
        <v>0.84099999999999997</v>
      </c>
    </row>
    <row r="144" spans="1:4" x14ac:dyDescent="0.25">
      <c r="A144" s="159">
        <v>44113</v>
      </c>
      <c r="B144" s="165">
        <v>6.9</v>
      </c>
      <c r="C144" s="159">
        <v>44120</v>
      </c>
      <c r="D144" s="160">
        <v>0.74399999999999999</v>
      </c>
    </row>
    <row r="145" spans="1:4" x14ac:dyDescent="0.25">
      <c r="A145" s="159">
        <v>44106</v>
      </c>
      <c r="B145" s="165">
        <v>6.9219999999999997</v>
      </c>
      <c r="C145" s="159">
        <v>44113</v>
      </c>
      <c r="D145" s="160">
        <v>0.77500000000000002</v>
      </c>
    </row>
    <row r="146" spans="1:4" x14ac:dyDescent="0.25">
      <c r="A146" s="159">
        <v>44099</v>
      </c>
      <c r="B146" s="165">
        <v>6.915</v>
      </c>
      <c r="C146" s="159">
        <v>44106</v>
      </c>
      <c r="D146" s="160">
        <v>0.69399999999999995</v>
      </c>
    </row>
    <row r="147" spans="1:4" x14ac:dyDescent="0.25">
      <c r="A147" s="159">
        <v>44092</v>
      </c>
      <c r="B147" s="165">
        <v>6.915</v>
      </c>
      <c r="C147" s="159">
        <v>44099</v>
      </c>
      <c r="D147" s="160">
        <v>0.65900000000000003</v>
      </c>
    </row>
    <row r="148" spans="1:4" x14ac:dyDescent="0.25">
      <c r="A148" s="159">
        <v>44085</v>
      </c>
      <c r="B148" s="165">
        <v>6.9740000000000002</v>
      </c>
      <c r="C148" s="159">
        <v>44092</v>
      </c>
      <c r="D148" s="160">
        <v>0.69399999999999995</v>
      </c>
    </row>
    <row r="149" spans="1:4" x14ac:dyDescent="0.25">
      <c r="A149" s="159">
        <v>44078</v>
      </c>
      <c r="B149" s="165">
        <v>6.9480000000000004</v>
      </c>
      <c r="C149" s="159">
        <v>44085</v>
      </c>
      <c r="D149" s="160">
        <v>0.66700000000000004</v>
      </c>
    </row>
    <row r="150" spans="1:4" x14ac:dyDescent="0.25">
      <c r="A150" s="159">
        <v>44071</v>
      </c>
      <c r="B150" s="165">
        <v>6.8570000000000002</v>
      </c>
      <c r="C150" s="159">
        <v>44078</v>
      </c>
      <c r="D150" s="160">
        <v>0.72299999999999998</v>
      </c>
    </row>
    <row r="151" spans="1:4" x14ac:dyDescent="0.25">
      <c r="A151" s="159">
        <v>44064</v>
      </c>
      <c r="B151" s="165">
        <v>6.726</v>
      </c>
      <c r="C151" s="159">
        <v>44071</v>
      </c>
      <c r="D151" s="160">
        <v>0.72899999999999998</v>
      </c>
    </row>
    <row r="152" spans="1:4" x14ac:dyDescent="0.25">
      <c r="A152" s="159">
        <v>44057</v>
      </c>
      <c r="B152" s="165">
        <v>6.766</v>
      </c>
      <c r="C152" s="159">
        <v>44064</v>
      </c>
      <c r="D152" s="160">
        <v>0.64</v>
      </c>
    </row>
    <row r="153" spans="1:4" x14ac:dyDescent="0.25">
      <c r="A153" s="159">
        <v>44050</v>
      </c>
      <c r="B153" s="165">
        <v>6.7869999999999999</v>
      </c>
      <c r="C153" s="159">
        <v>44057</v>
      </c>
      <c r="D153" s="160">
        <v>0.70899999999999996</v>
      </c>
    </row>
    <row r="154" spans="1:4" x14ac:dyDescent="0.25">
      <c r="A154" s="159">
        <v>44043</v>
      </c>
      <c r="B154" s="165">
        <v>6.8250000000000002</v>
      </c>
      <c r="C154" s="159">
        <v>44050</v>
      </c>
      <c r="D154" s="160">
        <v>0.56200000000000006</v>
      </c>
    </row>
    <row r="155" spans="1:4" x14ac:dyDescent="0.25">
      <c r="A155" s="159">
        <v>44036</v>
      </c>
      <c r="B155" s="165">
        <v>6.8659999999999997</v>
      </c>
      <c r="C155" s="159">
        <v>44043</v>
      </c>
      <c r="D155" s="160">
        <v>0.53600000000000003</v>
      </c>
    </row>
    <row r="156" spans="1:4" x14ac:dyDescent="0.25">
      <c r="A156" s="159">
        <v>44029</v>
      </c>
      <c r="B156" s="165">
        <v>7.0609999999999999</v>
      </c>
      <c r="C156" s="159">
        <v>44036</v>
      </c>
      <c r="D156" s="160">
        <v>0.58899999999999997</v>
      </c>
    </row>
    <row r="157" spans="1:4" x14ac:dyDescent="0.25">
      <c r="A157" s="159">
        <v>44022</v>
      </c>
      <c r="B157" s="165">
        <v>7.1120000000000001</v>
      </c>
      <c r="C157" s="159">
        <v>44029</v>
      </c>
      <c r="D157" s="160">
        <v>0.628</v>
      </c>
    </row>
    <row r="158" spans="1:4" x14ac:dyDescent="0.25">
      <c r="A158" s="159">
        <v>44015</v>
      </c>
      <c r="B158" s="165">
        <v>7.2389999999999999</v>
      </c>
      <c r="C158" s="159">
        <v>44022</v>
      </c>
      <c r="D158" s="160">
        <v>0.63300000000000001</v>
      </c>
    </row>
    <row r="159" spans="1:4" x14ac:dyDescent="0.25">
      <c r="A159" s="159">
        <v>44008</v>
      </c>
      <c r="B159" s="165">
        <v>7.194</v>
      </c>
      <c r="C159" s="159">
        <v>44015</v>
      </c>
      <c r="D159" s="160">
        <v>0.67100000000000004</v>
      </c>
    </row>
    <row r="160" spans="1:4" x14ac:dyDescent="0.25">
      <c r="A160" s="159">
        <v>44001</v>
      </c>
      <c r="B160" s="165">
        <v>7.1849999999999996</v>
      </c>
      <c r="C160" s="159">
        <v>44008</v>
      </c>
      <c r="D160" s="160">
        <v>0.63800000000000001</v>
      </c>
    </row>
    <row r="161" spans="1:4" x14ac:dyDescent="0.25">
      <c r="A161" s="159">
        <v>43994</v>
      </c>
      <c r="B161" s="165">
        <v>7.2439999999999998</v>
      </c>
      <c r="C161" s="159">
        <v>44001</v>
      </c>
      <c r="D161" s="160">
        <v>0.69899999999999995</v>
      </c>
    </row>
    <row r="162" spans="1:4" x14ac:dyDescent="0.25">
      <c r="A162" s="159">
        <v>43987</v>
      </c>
      <c r="B162" s="165">
        <v>7.109</v>
      </c>
      <c r="C162" s="159">
        <v>43994</v>
      </c>
      <c r="D162" s="160">
        <v>0.69899999999999995</v>
      </c>
    </row>
    <row r="163" spans="1:4" x14ac:dyDescent="0.25">
      <c r="A163" s="159">
        <v>43980</v>
      </c>
      <c r="B163" s="165">
        <v>7.34</v>
      </c>
      <c r="C163" s="159">
        <v>43987</v>
      </c>
      <c r="D163" s="160">
        <v>0.90500000000000003</v>
      </c>
    </row>
    <row r="164" spans="1:4" x14ac:dyDescent="0.25">
      <c r="A164" s="159">
        <v>43973</v>
      </c>
      <c r="B164" s="165">
        <v>7.6760000000000002</v>
      </c>
      <c r="C164" s="159">
        <v>43980</v>
      </c>
      <c r="D164" s="160">
        <v>0.64400000000000002</v>
      </c>
    </row>
    <row r="165" spans="1:4" x14ac:dyDescent="0.25">
      <c r="A165" s="159">
        <v>43966</v>
      </c>
      <c r="B165" s="165">
        <v>7.8090000000000002</v>
      </c>
      <c r="C165" s="159">
        <v>43973</v>
      </c>
      <c r="D165" s="160">
        <v>0.65900000000000003</v>
      </c>
    </row>
    <row r="166" spans="1:4" x14ac:dyDescent="0.25">
      <c r="A166" s="159">
        <v>43959</v>
      </c>
      <c r="B166" s="165">
        <v>8.0920000000000005</v>
      </c>
      <c r="C166" s="159">
        <v>43966</v>
      </c>
      <c r="D166" s="160">
        <v>0.64</v>
      </c>
    </row>
    <row r="167" spans="1:4" x14ac:dyDescent="0.25">
      <c r="A167" s="159">
        <v>43952</v>
      </c>
      <c r="B167" s="165">
        <v>7.8920000000000003</v>
      </c>
      <c r="C167" s="159">
        <v>43959</v>
      </c>
      <c r="D167" s="160">
        <v>0.68100000000000005</v>
      </c>
    </row>
    <row r="168" spans="1:4" x14ac:dyDescent="0.25">
      <c r="A168" s="159">
        <v>43945</v>
      </c>
      <c r="B168" s="165">
        <v>7.9240000000000004</v>
      </c>
      <c r="C168" s="159">
        <v>43952</v>
      </c>
      <c r="D168" s="160">
        <v>0.64</v>
      </c>
    </row>
    <row r="169" spans="1:4" x14ac:dyDescent="0.25">
      <c r="A169" s="159">
        <v>43938</v>
      </c>
      <c r="B169" s="165">
        <v>7.9269999999999996</v>
      </c>
      <c r="C169" s="159">
        <v>43945</v>
      </c>
      <c r="D169" s="160">
        <v>0.59599999999999997</v>
      </c>
    </row>
    <row r="170" spans="1:4" x14ac:dyDescent="0.25">
      <c r="A170" s="159">
        <v>43931</v>
      </c>
      <c r="B170" s="165">
        <v>8.1150000000000002</v>
      </c>
      <c r="C170" s="159">
        <v>43938</v>
      </c>
      <c r="D170" s="160">
        <v>0.65600000000000003</v>
      </c>
    </row>
    <row r="171" spans="1:4" x14ac:dyDescent="0.25">
      <c r="A171" s="159">
        <v>43924</v>
      </c>
      <c r="B171" s="165">
        <v>8.0960000000000001</v>
      </c>
      <c r="C171" s="159">
        <v>43931</v>
      </c>
      <c r="D171" s="160">
        <v>0.72199999999999998</v>
      </c>
    </row>
    <row r="172" spans="1:4" x14ac:dyDescent="0.25">
      <c r="A172" s="159">
        <v>43917</v>
      </c>
      <c r="B172" s="165">
        <v>7.907</v>
      </c>
      <c r="C172" s="159">
        <v>43924</v>
      </c>
      <c r="D172" s="160">
        <v>0.58899999999999997</v>
      </c>
    </row>
    <row r="173" spans="1:4" x14ac:dyDescent="0.25">
      <c r="A173" s="159">
        <v>43910</v>
      </c>
      <c r="B173" s="165">
        <v>8.0990000000000002</v>
      </c>
      <c r="C173" s="159">
        <v>43917</v>
      </c>
      <c r="D173" s="160">
        <v>0.74399999999999999</v>
      </c>
    </row>
    <row r="174" spans="1:4" x14ac:dyDescent="0.25">
      <c r="A174" s="159">
        <v>43903</v>
      </c>
      <c r="B174" s="165">
        <v>7.2960000000000003</v>
      </c>
      <c r="C174" s="159">
        <v>43910</v>
      </c>
      <c r="D174" s="160">
        <v>0.93799999999999994</v>
      </c>
    </row>
    <row r="175" spans="1:4" x14ac:dyDescent="0.25">
      <c r="A175" s="159">
        <v>43896</v>
      </c>
      <c r="B175" s="165">
        <v>6.6539999999999999</v>
      </c>
      <c r="C175" s="159">
        <v>43903</v>
      </c>
      <c r="D175" s="160">
        <v>0.95399999999999996</v>
      </c>
    </row>
    <row r="176" spans="1:4" x14ac:dyDescent="0.25">
      <c r="A176" s="159">
        <v>43889</v>
      </c>
      <c r="B176" s="165">
        <v>6.8869999999999996</v>
      </c>
      <c r="C176" s="159">
        <v>43896</v>
      </c>
      <c r="D176" s="160">
        <v>0.70699999999999996</v>
      </c>
    </row>
    <row r="177" spans="1:4" x14ac:dyDescent="0.25">
      <c r="A177" s="159">
        <v>43882</v>
      </c>
      <c r="B177" s="165">
        <v>6.5419999999999998</v>
      </c>
      <c r="C177" s="159">
        <v>43889</v>
      </c>
      <c r="D177" s="160">
        <v>1.1259999999999999</v>
      </c>
    </row>
    <row r="178" spans="1:4" x14ac:dyDescent="0.25">
      <c r="A178" s="159">
        <v>43875</v>
      </c>
      <c r="B178" s="165">
        <v>6.5750000000000002</v>
      </c>
      <c r="C178" s="159">
        <v>43882</v>
      </c>
      <c r="D178" s="160">
        <v>1.47</v>
      </c>
    </row>
    <row r="179" spans="1:4" x14ac:dyDescent="0.25">
      <c r="A179" s="159">
        <v>43868</v>
      </c>
      <c r="B179" s="165">
        <v>6.5750000000000002</v>
      </c>
      <c r="C179" s="159">
        <v>43875</v>
      </c>
      <c r="D179" s="160">
        <v>1.5880000000000001</v>
      </c>
    </row>
    <row r="180" spans="1:4" x14ac:dyDescent="0.25">
      <c r="A180" s="159">
        <v>43861</v>
      </c>
      <c r="B180" s="165">
        <v>6.6449999999999996</v>
      </c>
      <c r="C180" s="159">
        <v>43868</v>
      </c>
      <c r="D180" s="160">
        <v>1.577</v>
      </c>
    </row>
    <row r="181" spans="1:4" x14ac:dyDescent="0.25">
      <c r="A181" s="159">
        <v>43854</v>
      </c>
      <c r="B181" s="165">
        <v>6.6159999999999997</v>
      </c>
      <c r="C181" s="159">
        <v>43861</v>
      </c>
      <c r="D181" s="160">
        <v>1.5189999999999999</v>
      </c>
    </row>
    <row r="182" spans="1:4" x14ac:dyDescent="0.25">
      <c r="A182" s="159">
        <v>43847</v>
      </c>
      <c r="B182" s="165">
        <v>6.8250000000000002</v>
      </c>
      <c r="C182" s="159">
        <v>43854</v>
      </c>
      <c r="D182" s="160">
        <v>1.68</v>
      </c>
    </row>
    <row r="183" spans="1:4" x14ac:dyDescent="0.25">
      <c r="A183" s="159">
        <v>43840</v>
      </c>
      <c r="B183" s="165">
        <v>6.931</v>
      </c>
      <c r="C183" s="159">
        <v>43847</v>
      </c>
      <c r="D183" s="160">
        <v>1.835</v>
      </c>
    </row>
    <row r="184" spans="1:4" x14ac:dyDescent="0.25">
      <c r="A184" s="159">
        <v>43833</v>
      </c>
      <c r="B184" s="165">
        <v>7.0679999999999996</v>
      </c>
      <c r="C184" s="159">
        <v>43840</v>
      </c>
      <c r="D184" s="160">
        <v>1.827</v>
      </c>
    </row>
    <row r="185" spans="1:4" x14ac:dyDescent="0.25">
      <c r="A185" s="159">
        <v>43826</v>
      </c>
      <c r="B185" s="165">
        <v>7.0960000000000001</v>
      </c>
      <c r="C185" s="159">
        <v>43833</v>
      </c>
      <c r="D185" s="160">
        <v>1.788</v>
      </c>
    </row>
    <row r="186" spans="1:4" x14ac:dyDescent="0.25">
      <c r="A186" s="159">
        <v>43819</v>
      </c>
      <c r="B186" s="165">
        <v>7.1849999999999996</v>
      </c>
      <c r="C186" s="159">
        <v>43826</v>
      </c>
      <c r="D186" s="160">
        <v>1.873</v>
      </c>
    </row>
    <row r="187" spans="1:4" x14ac:dyDescent="0.25">
      <c r="A187" s="159">
        <v>43812</v>
      </c>
      <c r="B187" s="165">
        <v>7.2229999999999999</v>
      </c>
      <c r="C187" s="159">
        <v>43819</v>
      </c>
      <c r="D187" s="160">
        <v>1.917</v>
      </c>
    </row>
    <row r="188" spans="1:4" x14ac:dyDescent="0.25">
      <c r="A188" s="159">
        <v>43805</v>
      </c>
      <c r="B188" s="165">
        <v>7.109</v>
      </c>
      <c r="C188" s="159">
        <v>43812</v>
      </c>
      <c r="D188" s="160">
        <v>1.821</v>
      </c>
    </row>
    <row r="189" spans="1:4" x14ac:dyDescent="0.25">
      <c r="A189" s="159">
        <v>43798</v>
      </c>
      <c r="B189" s="165">
        <v>7.0739999999999998</v>
      </c>
      <c r="C189" s="159">
        <v>43805</v>
      </c>
      <c r="D189" s="160">
        <v>1.843</v>
      </c>
    </row>
    <row r="190" spans="1:4" x14ac:dyDescent="0.25">
      <c r="A190" s="159">
        <v>43791</v>
      </c>
      <c r="B190" s="165">
        <v>7.0739999999999998</v>
      </c>
      <c r="C190" s="159">
        <v>43798</v>
      </c>
      <c r="D190" s="160">
        <v>1.776</v>
      </c>
    </row>
    <row r="191" spans="1:4" x14ac:dyDescent="0.25">
      <c r="A191" s="159">
        <v>43784</v>
      </c>
      <c r="B191" s="165">
        <v>7.0460000000000003</v>
      </c>
      <c r="C191" s="159">
        <v>43791</v>
      </c>
      <c r="D191" s="160">
        <v>1.774</v>
      </c>
    </row>
    <row r="192" spans="1:4" x14ac:dyDescent="0.25">
      <c r="A192" s="159">
        <v>43777</v>
      </c>
      <c r="B192" s="165">
        <v>6.9720000000000004</v>
      </c>
      <c r="C192" s="159">
        <v>43784</v>
      </c>
      <c r="D192" s="160">
        <v>1.8340000000000001</v>
      </c>
    </row>
    <row r="193" spans="1:4" x14ac:dyDescent="0.25">
      <c r="A193" s="159">
        <v>43770</v>
      </c>
      <c r="B193" s="165">
        <v>7.0250000000000004</v>
      </c>
      <c r="C193" s="159">
        <v>43777</v>
      </c>
      <c r="D193" s="160">
        <v>1.9330000000000001</v>
      </c>
    </row>
    <row r="194" spans="1:4" x14ac:dyDescent="0.25">
      <c r="A194" s="159">
        <v>43763</v>
      </c>
      <c r="B194" s="165">
        <v>7.0919999999999996</v>
      </c>
      <c r="C194" s="159">
        <v>43770</v>
      </c>
      <c r="D194" s="160">
        <v>1.728</v>
      </c>
    </row>
    <row r="195" spans="1:4" x14ac:dyDescent="0.25">
      <c r="A195" s="159">
        <v>43756</v>
      </c>
      <c r="B195" s="165">
        <v>7.1360000000000001</v>
      </c>
      <c r="C195" s="159">
        <v>43763</v>
      </c>
      <c r="D195" s="160">
        <v>1.8009999999999999</v>
      </c>
    </row>
    <row r="196" spans="1:4" x14ac:dyDescent="0.25">
      <c r="A196" s="159">
        <v>43749</v>
      </c>
      <c r="B196" s="165">
        <v>7.2539999999999996</v>
      </c>
      <c r="C196" s="159">
        <v>43756</v>
      </c>
      <c r="D196" s="160">
        <v>1.75</v>
      </c>
    </row>
    <row r="197" spans="1:4" x14ac:dyDescent="0.25">
      <c r="A197" s="159">
        <v>43742</v>
      </c>
      <c r="B197" s="165">
        <v>7.23</v>
      </c>
      <c r="C197" s="159">
        <v>43749</v>
      </c>
      <c r="D197" s="160">
        <v>1.7529999999999999</v>
      </c>
    </row>
    <row r="198" spans="1:4" x14ac:dyDescent="0.25">
      <c r="A198" s="159">
        <v>43735</v>
      </c>
      <c r="B198" s="165">
        <v>7.3330000000000002</v>
      </c>
      <c r="C198" s="159">
        <v>43742</v>
      </c>
      <c r="D198" s="160">
        <v>1.514</v>
      </c>
    </row>
    <row r="199" spans="1:4" x14ac:dyDescent="0.25">
      <c r="A199" s="159">
        <v>43728</v>
      </c>
      <c r="B199" s="165">
        <v>7.2430000000000003</v>
      </c>
      <c r="C199" s="159">
        <v>43735</v>
      </c>
      <c r="D199" s="160">
        <v>1.673</v>
      </c>
    </row>
    <row r="200" spans="1:4" x14ac:dyDescent="0.25">
      <c r="A200" s="159">
        <v>43721</v>
      </c>
      <c r="B200" s="165">
        <v>7.2030000000000003</v>
      </c>
      <c r="C200" s="159">
        <v>43728</v>
      </c>
      <c r="D200" s="160">
        <v>1.7529999999999999</v>
      </c>
    </row>
    <row r="201" spans="1:4" x14ac:dyDescent="0.25">
      <c r="A201" s="159">
        <v>43714</v>
      </c>
      <c r="B201" s="165">
        <v>7.3150000000000004</v>
      </c>
      <c r="C201" s="159">
        <v>43721</v>
      </c>
      <c r="D201" s="160">
        <v>1.899</v>
      </c>
    </row>
    <row r="202" spans="1:4" x14ac:dyDescent="0.25">
      <c r="A202" s="159">
        <v>43707</v>
      </c>
      <c r="B202" s="165">
        <v>7.3540000000000001</v>
      </c>
      <c r="C202" s="159">
        <v>43714</v>
      </c>
      <c r="D202" s="160">
        <v>1.55</v>
      </c>
    </row>
    <row r="203" spans="1:4" x14ac:dyDescent="0.25">
      <c r="A203" s="159">
        <v>43700</v>
      </c>
      <c r="B203" s="165">
        <v>7.242</v>
      </c>
      <c r="C203" s="159">
        <v>43707</v>
      </c>
      <c r="D203" s="160">
        <v>1.506</v>
      </c>
    </row>
    <row r="204" spans="1:4" x14ac:dyDescent="0.25">
      <c r="A204" s="159">
        <v>43693</v>
      </c>
      <c r="B204" s="165">
        <v>7.4130000000000003</v>
      </c>
      <c r="C204" s="159">
        <v>43700</v>
      </c>
      <c r="D204" s="160">
        <v>1.5269999999999999</v>
      </c>
    </row>
    <row r="205" spans="1:4" x14ac:dyDescent="0.25">
      <c r="A205" s="159">
        <v>43686</v>
      </c>
      <c r="B205" s="165">
        <v>7.3079999999999998</v>
      </c>
      <c r="C205" s="159">
        <v>43693</v>
      </c>
      <c r="D205" s="160">
        <v>1.54</v>
      </c>
    </row>
    <row r="206" spans="1:4" x14ac:dyDescent="0.25">
      <c r="A206" s="159">
        <v>43679</v>
      </c>
      <c r="B206" s="165">
        <v>7.5430000000000001</v>
      </c>
      <c r="C206" s="159">
        <v>43686</v>
      </c>
      <c r="D206" s="160">
        <v>1.734</v>
      </c>
    </row>
    <row r="207" spans="1:4" x14ac:dyDescent="0.25">
      <c r="A207" s="159">
        <v>43672</v>
      </c>
      <c r="B207" s="165">
        <v>7.2149999999999999</v>
      </c>
      <c r="C207" s="159">
        <v>43679</v>
      </c>
      <c r="D207" s="160">
        <v>1.855</v>
      </c>
    </row>
    <row r="208" spans="1:4" x14ac:dyDescent="0.25">
      <c r="A208" s="159">
        <v>43665</v>
      </c>
      <c r="B208" s="165">
        <v>7.14</v>
      </c>
      <c r="C208" s="159">
        <v>43672</v>
      </c>
      <c r="D208" s="160">
        <v>2.081</v>
      </c>
    </row>
    <row r="209" spans="1:4" x14ac:dyDescent="0.25">
      <c r="A209" s="159">
        <v>43658</v>
      </c>
      <c r="B209" s="165">
        <v>7.2030000000000003</v>
      </c>
      <c r="C209" s="159">
        <v>43665</v>
      </c>
      <c r="D209" s="160">
        <v>2.0499999999999998</v>
      </c>
    </row>
    <row r="210" spans="1:4" x14ac:dyDescent="0.25">
      <c r="A210" s="159">
        <v>43651</v>
      </c>
      <c r="B210" s="165">
        <v>7.2169999999999996</v>
      </c>
      <c r="C210" s="159">
        <v>43658</v>
      </c>
      <c r="D210" s="160">
        <v>2.1059999999999999</v>
      </c>
    </row>
    <row r="211" spans="1:4" x14ac:dyDescent="0.25">
      <c r="A211" s="159">
        <v>43644</v>
      </c>
      <c r="B211" s="165">
        <v>7.3689999999999998</v>
      </c>
      <c r="C211" s="159">
        <v>43651</v>
      </c>
      <c r="D211" s="160">
        <v>2.044</v>
      </c>
    </row>
    <row r="212" spans="1:4" x14ac:dyDescent="0.25">
      <c r="A212" s="159">
        <v>43637</v>
      </c>
      <c r="B212" s="165">
        <v>7.4130000000000003</v>
      </c>
      <c r="C212" s="159">
        <v>43644</v>
      </c>
      <c r="D212" s="160">
        <v>2</v>
      </c>
    </row>
    <row r="213" spans="1:4" x14ac:dyDescent="0.25">
      <c r="A213" s="159">
        <v>43630</v>
      </c>
      <c r="B213" s="165">
        <v>7.6950000000000003</v>
      </c>
      <c r="C213" s="159">
        <v>43637</v>
      </c>
      <c r="D213" s="160">
        <v>2.0659999999999998</v>
      </c>
    </row>
    <row r="214" spans="1:4" x14ac:dyDescent="0.25">
      <c r="A214" s="159">
        <v>43616</v>
      </c>
      <c r="B214" s="165">
        <v>8.0229999999999997</v>
      </c>
      <c r="C214" s="159">
        <v>43630</v>
      </c>
      <c r="D214" s="160">
        <v>2.0939999999999999</v>
      </c>
    </row>
    <row r="215" spans="1:4" x14ac:dyDescent="0.25">
      <c r="A215" s="159">
        <v>43609</v>
      </c>
      <c r="B215" s="165">
        <v>7.931</v>
      </c>
      <c r="C215" s="159">
        <v>43623</v>
      </c>
      <c r="D215" s="160">
        <v>2.0840000000000001</v>
      </c>
    </row>
    <row r="216" spans="1:4" x14ac:dyDescent="0.25">
      <c r="A216" s="159">
        <v>43602</v>
      </c>
      <c r="B216" s="165">
        <v>8.0340000000000007</v>
      </c>
      <c r="C216" s="159">
        <v>43616</v>
      </c>
      <c r="D216" s="160">
        <v>2.1419999999999999</v>
      </c>
    </row>
    <row r="217" spans="1:4" x14ac:dyDescent="0.25">
      <c r="A217" s="159">
        <v>43595</v>
      </c>
      <c r="B217" s="165">
        <v>8.0259999999999998</v>
      </c>
      <c r="C217" s="159">
        <v>43609</v>
      </c>
      <c r="D217" s="160">
        <v>2.3290000000000002</v>
      </c>
    </row>
    <row r="218" spans="1:4" x14ac:dyDescent="0.25">
      <c r="A218" s="159">
        <v>43588</v>
      </c>
      <c r="B218" s="165">
        <v>7.8719999999999999</v>
      </c>
      <c r="C218" s="159">
        <v>43602</v>
      </c>
      <c r="D218" s="160">
        <v>2.3929999999999998</v>
      </c>
    </row>
    <row r="219" spans="1:4" x14ac:dyDescent="0.25">
      <c r="A219" s="159">
        <v>43581</v>
      </c>
      <c r="B219" s="165">
        <v>7.7779999999999996</v>
      </c>
      <c r="C219" s="159">
        <v>43595</v>
      </c>
      <c r="D219" s="160">
        <v>2.4550000000000001</v>
      </c>
    </row>
    <row r="220" spans="1:4" x14ac:dyDescent="0.25">
      <c r="A220" s="159">
        <v>43574</v>
      </c>
      <c r="B220" s="165">
        <v>7.5819999999999999</v>
      </c>
      <c r="C220" s="159">
        <v>43588</v>
      </c>
      <c r="D220" s="160">
        <v>2.5299999999999998</v>
      </c>
    </row>
    <row r="221" spans="1:4" x14ac:dyDescent="0.25">
      <c r="A221" s="159">
        <v>43567</v>
      </c>
      <c r="B221" s="165">
        <v>7.6840000000000002</v>
      </c>
      <c r="C221" s="159">
        <v>43581</v>
      </c>
      <c r="D221" s="160">
        <v>2.504</v>
      </c>
    </row>
    <row r="222" spans="1:4" x14ac:dyDescent="0.25">
      <c r="A222" s="159">
        <v>43560</v>
      </c>
      <c r="B222" s="165">
        <v>7.5629999999999997</v>
      </c>
      <c r="C222" s="159">
        <v>43574</v>
      </c>
      <c r="D222" s="160">
        <v>2.5579999999999998</v>
      </c>
    </row>
    <row r="223" spans="1:4" x14ac:dyDescent="0.25">
      <c r="A223" s="159">
        <v>43553</v>
      </c>
      <c r="B223" s="165">
        <v>7.665</v>
      </c>
      <c r="C223" s="159">
        <v>43567</v>
      </c>
      <c r="D223" s="160">
        <v>2.56</v>
      </c>
    </row>
    <row r="224" spans="1:4" x14ac:dyDescent="0.25">
      <c r="A224" s="159">
        <v>43546</v>
      </c>
      <c r="B224" s="165">
        <v>7.5970000000000004</v>
      </c>
      <c r="C224" s="159">
        <v>43560</v>
      </c>
      <c r="D224" s="160">
        <v>2.4990000000000001</v>
      </c>
    </row>
    <row r="225" spans="1:4" x14ac:dyDescent="0.25">
      <c r="A225" s="159">
        <v>43539</v>
      </c>
      <c r="B225" s="165">
        <v>7.8019999999999996</v>
      </c>
      <c r="C225" s="159">
        <v>43553</v>
      </c>
      <c r="D225" s="160">
        <v>2.4140000000000001</v>
      </c>
    </row>
    <row r="226" spans="1:4" x14ac:dyDescent="0.25">
      <c r="A226" s="159">
        <v>43532</v>
      </c>
      <c r="B226" s="165">
        <v>7.9580000000000002</v>
      </c>
      <c r="C226" s="159">
        <v>43546</v>
      </c>
      <c r="D226" s="160">
        <v>2.4550000000000001</v>
      </c>
    </row>
    <row r="227" spans="1:4" x14ac:dyDescent="0.25">
      <c r="A227" s="159">
        <v>43525</v>
      </c>
      <c r="B227" s="165">
        <v>7.84</v>
      </c>
      <c r="C227" s="159">
        <v>43539</v>
      </c>
      <c r="D227" s="160">
        <v>2.593</v>
      </c>
    </row>
    <row r="228" spans="1:4" x14ac:dyDescent="0.25">
      <c r="A228" s="159">
        <v>43518</v>
      </c>
      <c r="B228" s="165">
        <v>7.9569999999999999</v>
      </c>
      <c r="C228" s="159">
        <v>43532</v>
      </c>
      <c r="D228" s="160">
        <v>2.625</v>
      </c>
    </row>
    <row r="229" spans="1:4" x14ac:dyDescent="0.25">
      <c r="A229" s="159">
        <v>43511</v>
      </c>
      <c r="B229" s="165">
        <v>8.0169999999999995</v>
      </c>
      <c r="C229" s="159">
        <v>43525</v>
      </c>
      <c r="D229" s="160">
        <v>2.7549999999999999</v>
      </c>
    </row>
    <row r="230" spans="1:4" x14ac:dyDescent="0.25">
      <c r="A230" s="159">
        <v>43504</v>
      </c>
      <c r="B230" s="165">
        <v>7.8559999999999999</v>
      </c>
      <c r="C230" s="159">
        <v>43518</v>
      </c>
      <c r="D230" s="160">
        <v>2.6549999999999998</v>
      </c>
    </row>
    <row r="231" spans="1:4" x14ac:dyDescent="0.25">
      <c r="A231" s="159">
        <v>43497</v>
      </c>
      <c r="B231" s="165">
        <v>7.9089999999999998</v>
      </c>
      <c r="C231" s="159">
        <v>43511</v>
      </c>
      <c r="D231" s="160">
        <v>2.6659999999999999</v>
      </c>
    </row>
    <row r="232" spans="1:4" x14ac:dyDescent="0.25">
      <c r="A232" s="159">
        <v>43490</v>
      </c>
      <c r="B232" s="165">
        <v>8.1020000000000003</v>
      </c>
      <c r="C232" s="159">
        <v>43504</v>
      </c>
      <c r="D232" s="160">
        <v>2.6320000000000001</v>
      </c>
    </row>
    <row r="233" spans="1:4" x14ac:dyDescent="0.25">
      <c r="A233" s="159">
        <v>43483</v>
      </c>
      <c r="B233" s="165">
        <v>8.0879999999999992</v>
      </c>
      <c r="C233" s="159">
        <v>43497</v>
      </c>
      <c r="D233" s="160">
        <v>2.6909999999999998</v>
      </c>
    </row>
    <row r="234" spans="1:4" x14ac:dyDescent="0.25">
      <c r="A234" s="159">
        <v>43476</v>
      </c>
      <c r="B234" s="165">
        <v>7.96</v>
      </c>
      <c r="C234" s="159">
        <v>43490</v>
      </c>
      <c r="D234" s="160">
        <v>2.7509999999999999</v>
      </c>
    </row>
    <row r="235" spans="1:4" x14ac:dyDescent="0.25">
      <c r="A235" s="159">
        <v>43469</v>
      </c>
      <c r="B235" s="165">
        <v>8.077</v>
      </c>
      <c r="C235" s="159">
        <v>43483</v>
      </c>
      <c r="D235" s="160">
        <v>2.782</v>
      </c>
    </row>
    <row r="236" spans="1:4" x14ac:dyDescent="0.25">
      <c r="A236" s="159">
        <v>43462</v>
      </c>
      <c r="B236" s="165">
        <v>7.9820000000000002</v>
      </c>
      <c r="C236" s="159">
        <v>43476</v>
      </c>
      <c r="D236" s="160">
        <v>2.6989999999999998</v>
      </c>
    </row>
    <row r="237" spans="1:4" x14ac:dyDescent="0.25">
      <c r="A237" s="159">
        <v>43455</v>
      </c>
      <c r="B237" s="165">
        <v>7.9820000000000002</v>
      </c>
      <c r="C237" s="159">
        <v>43469</v>
      </c>
      <c r="D237" s="160">
        <v>2.6589999999999998</v>
      </c>
    </row>
    <row r="238" spans="1:4" x14ac:dyDescent="0.25">
      <c r="A238" s="159">
        <v>43448</v>
      </c>
      <c r="B238" s="165">
        <v>8.07</v>
      </c>
      <c r="C238" s="159">
        <v>43462</v>
      </c>
      <c r="D238" s="160">
        <v>2.738</v>
      </c>
    </row>
    <row r="239" spans="1:4" x14ac:dyDescent="0.25">
      <c r="A239" s="159">
        <v>43441</v>
      </c>
      <c r="B239" s="165">
        <v>8.0470000000000006</v>
      </c>
      <c r="C239" s="159">
        <v>43455</v>
      </c>
      <c r="D239" s="160">
        <v>2.7919999999999998</v>
      </c>
    </row>
    <row r="240" spans="1:4" x14ac:dyDescent="0.25">
      <c r="A240" s="159">
        <v>43434</v>
      </c>
      <c r="B240" s="165">
        <v>7.8659999999999997</v>
      </c>
      <c r="C240" s="159">
        <v>43448</v>
      </c>
      <c r="D240" s="160">
        <v>2.8889999999999998</v>
      </c>
    </row>
    <row r="241" spans="1:4" x14ac:dyDescent="0.25">
      <c r="A241" s="159">
        <v>43427</v>
      </c>
      <c r="B241" s="165">
        <v>7.9160000000000004</v>
      </c>
      <c r="C241" s="159">
        <v>43441</v>
      </c>
      <c r="D241" s="160">
        <v>2.85</v>
      </c>
    </row>
    <row r="242" spans="1:4" x14ac:dyDescent="0.25">
      <c r="A242" s="159">
        <v>43420</v>
      </c>
      <c r="B242" s="165">
        <v>8.0719999999999992</v>
      </c>
      <c r="C242" s="159">
        <v>43434</v>
      </c>
      <c r="D242" s="160">
        <v>3.0129999999999999</v>
      </c>
    </row>
    <row r="243" spans="1:4" x14ac:dyDescent="0.25">
      <c r="A243" s="159">
        <v>43413</v>
      </c>
      <c r="B243" s="165">
        <v>8.077</v>
      </c>
      <c r="C243" s="159">
        <v>43427</v>
      </c>
      <c r="D243" s="160">
        <v>3.0539999999999998</v>
      </c>
    </row>
    <row r="244" spans="1:4" x14ac:dyDescent="0.25">
      <c r="A244" s="159">
        <v>43406</v>
      </c>
      <c r="B244" s="165">
        <v>8.3879999999999999</v>
      </c>
      <c r="C244" s="159">
        <v>43420</v>
      </c>
      <c r="D244" s="160">
        <v>3.0739999999999998</v>
      </c>
    </row>
    <row r="245" spans="1:4" x14ac:dyDescent="0.25">
      <c r="A245" s="159">
        <v>43399</v>
      </c>
      <c r="B245" s="165">
        <v>8.6669999999999998</v>
      </c>
      <c r="C245" s="159">
        <v>43413</v>
      </c>
      <c r="D245" s="160">
        <v>3.1890000000000001</v>
      </c>
    </row>
    <row r="246" spans="1:4" x14ac:dyDescent="0.25">
      <c r="A246" s="159">
        <v>43392</v>
      </c>
      <c r="B246" s="165">
        <v>8.6379999999999999</v>
      </c>
      <c r="C246" s="159">
        <v>43406</v>
      </c>
      <c r="D246" s="160">
        <v>3.214</v>
      </c>
    </row>
    <row r="247" spans="1:4" x14ac:dyDescent="0.25">
      <c r="A247" s="159">
        <v>43385</v>
      </c>
      <c r="B247" s="165">
        <v>8.7360000000000007</v>
      </c>
      <c r="C247" s="159">
        <v>43399</v>
      </c>
      <c r="D247" s="160">
        <v>3.0760000000000001</v>
      </c>
    </row>
    <row r="248" spans="1:4" x14ac:dyDescent="0.25">
      <c r="A248" s="159">
        <v>43378</v>
      </c>
      <c r="B248" s="165">
        <v>8.4009999999999998</v>
      </c>
      <c r="C248" s="159">
        <v>43392</v>
      </c>
      <c r="D248" s="160">
        <v>3.202</v>
      </c>
    </row>
    <row r="249" spans="1:4" x14ac:dyDescent="0.25">
      <c r="A249" s="159">
        <v>43371</v>
      </c>
      <c r="B249" s="165">
        <v>8.2080000000000002</v>
      </c>
      <c r="C249" s="159">
        <v>43385</v>
      </c>
      <c r="D249" s="160">
        <v>3.141</v>
      </c>
    </row>
    <row r="250" spans="1:4" x14ac:dyDescent="0.25">
      <c r="A250" s="159">
        <v>43364</v>
      </c>
      <c r="B250" s="165">
        <v>8.18</v>
      </c>
      <c r="C250" s="159">
        <v>43378</v>
      </c>
      <c r="D250" s="160">
        <v>3.2269999999999999</v>
      </c>
    </row>
    <row r="251" spans="1:4" x14ac:dyDescent="0.25">
      <c r="A251" s="159">
        <v>43357</v>
      </c>
      <c r="B251" s="165">
        <v>8.4960000000000004</v>
      </c>
      <c r="C251" s="159">
        <v>43371</v>
      </c>
      <c r="D251" s="160">
        <v>3.056</v>
      </c>
    </row>
    <row r="252" spans="1:4" x14ac:dyDescent="0.25">
      <c r="A252" s="159">
        <v>43350</v>
      </c>
      <c r="B252" s="165">
        <v>8.516</v>
      </c>
      <c r="C252" s="159">
        <v>43364</v>
      </c>
      <c r="D252" s="160">
        <v>3.0680000000000001</v>
      </c>
    </row>
    <row r="253" spans="1:4" x14ac:dyDescent="0.25">
      <c r="A253" s="159">
        <v>43343</v>
      </c>
      <c r="B253" s="165">
        <v>8.1270000000000007</v>
      </c>
      <c r="C253" s="159">
        <v>43357</v>
      </c>
      <c r="D253" s="160">
        <v>2.9940000000000002</v>
      </c>
    </row>
    <row r="254" spans="1:4" x14ac:dyDescent="0.25">
      <c r="A254" s="159">
        <v>43336</v>
      </c>
      <c r="B254" s="165">
        <v>7.9169999999999998</v>
      </c>
      <c r="C254" s="159">
        <v>43350</v>
      </c>
      <c r="D254" s="160">
        <v>2.9420000000000002</v>
      </c>
    </row>
    <row r="255" spans="1:4" x14ac:dyDescent="0.25">
      <c r="A255" s="159">
        <v>43329</v>
      </c>
      <c r="B255" s="165">
        <v>7.99</v>
      </c>
      <c r="C255" s="159">
        <v>43343</v>
      </c>
      <c r="D255" s="160">
        <v>2.8530000000000002</v>
      </c>
    </row>
    <row r="256" spans="1:4" x14ac:dyDescent="0.25">
      <c r="A256" s="159">
        <v>43322</v>
      </c>
      <c r="B256" s="165">
        <v>7.6760000000000002</v>
      </c>
      <c r="C256" s="159">
        <v>43336</v>
      </c>
      <c r="D256" s="160">
        <v>2.8260000000000001</v>
      </c>
    </row>
    <row r="257" spans="1:4" x14ac:dyDescent="0.25">
      <c r="A257" s="159">
        <v>43315</v>
      </c>
      <c r="B257" s="165">
        <v>7.8209999999999997</v>
      </c>
      <c r="C257" s="159">
        <v>43329</v>
      </c>
      <c r="D257" s="160">
        <v>2.8730000000000002</v>
      </c>
    </row>
    <row r="258" spans="1:4" x14ac:dyDescent="0.25">
      <c r="A258" s="159">
        <v>43308</v>
      </c>
      <c r="B258" s="165">
        <v>7.7389999999999999</v>
      </c>
      <c r="C258" s="159">
        <v>43322</v>
      </c>
      <c r="D258" s="160">
        <v>2.859</v>
      </c>
    </row>
    <row r="259" spans="1:4" x14ac:dyDescent="0.25">
      <c r="A259" s="159">
        <v>43301</v>
      </c>
      <c r="B259" s="165">
        <v>7.8579999999999997</v>
      </c>
      <c r="C259" s="159">
        <v>43315</v>
      </c>
      <c r="D259" s="160">
        <v>2.952</v>
      </c>
    </row>
    <row r="260" spans="1:4" x14ac:dyDescent="0.25">
      <c r="A260" s="159">
        <v>43294</v>
      </c>
      <c r="B260" s="165">
        <v>7.48</v>
      </c>
      <c r="C260" s="159">
        <v>43308</v>
      </c>
      <c r="D260" s="160">
        <v>2.9620000000000002</v>
      </c>
    </row>
    <row r="261" spans="1:4" x14ac:dyDescent="0.25">
      <c r="A261" s="159">
        <v>43287</v>
      </c>
      <c r="B261" s="165">
        <v>7.6349999999999998</v>
      </c>
      <c r="C261" s="159">
        <v>43301</v>
      </c>
      <c r="D261" s="160">
        <v>2.8929999999999998</v>
      </c>
    </row>
    <row r="262" spans="1:4" x14ac:dyDescent="0.25">
      <c r="A262" s="159">
        <v>43280</v>
      </c>
      <c r="B262" s="165">
        <v>7.8029999999999999</v>
      </c>
      <c r="C262" s="159">
        <v>43294</v>
      </c>
      <c r="D262" s="160">
        <v>2.831</v>
      </c>
    </row>
    <row r="263" spans="1:4" x14ac:dyDescent="0.25">
      <c r="A263" s="159">
        <v>43273</v>
      </c>
      <c r="B263" s="165">
        <v>7.5090000000000003</v>
      </c>
      <c r="C263" s="159">
        <v>43287</v>
      </c>
      <c r="D263" s="160">
        <v>2.831</v>
      </c>
    </row>
    <row r="264" spans="1:4" x14ac:dyDescent="0.25">
      <c r="A264" s="159">
        <v>43259</v>
      </c>
      <c r="B264" s="165">
        <v>7.2809999999999997</v>
      </c>
      <c r="C264" s="159">
        <v>43280</v>
      </c>
      <c r="D264" s="160">
        <v>2.851</v>
      </c>
    </row>
    <row r="265" spans="1:4" x14ac:dyDescent="0.25">
      <c r="A265" s="159">
        <v>43252</v>
      </c>
      <c r="B265" s="165">
        <v>7.06</v>
      </c>
      <c r="C265" s="159">
        <v>43273</v>
      </c>
      <c r="D265" s="160">
        <v>2.9</v>
      </c>
    </row>
    <row r="266" spans="1:4" x14ac:dyDescent="0.25">
      <c r="A266" s="159">
        <v>43245</v>
      </c>
      <c r="B266" s="165">
        <v>7.5449999999999999</v>
      </c>
      <c r="C266" s="159">
        <v>43266</v>
      </c>
      <c r="D266" s="160">
        <v>2.9239999999999999</v>
      </c>
    </row>
    <row r="267" spans="1:4" x14ac:dyDescent="0.25">
      <c r="A267" s="159">
        <v>43238</v>
      </c>
      <c r="B267" s="165">
        <v>7.31</v>
      </c>
      <c r="C267" s="159">
        <v>43259</v>
      </c>
      <c r="D267" s="160">
        <v>2.9350000000000001</v>
      </c>
    </row>
    <row r="268" spans="1:4" x14ac:dyDescent="0.25">
      <c r="A268" s="159">
        <v>43231</v>
      </c>
      <c r="B268" s="165">
        <v>7.2480000000000002</v>
      </c>
      <c r="C268" s="159">
        <v>43252</v>
      </c>
      <c r="D268" s="160">
        <v>2.895</v>
      </c>
    </row>
    <row r="269" spans="1:4" x14ac:dyDescent="0.25">
      <c r="A269" s="159">
        <v>43224</v>
      </c>
      <c r="B269" s="165">
        <v>6.9960000000000004</v>
      </c>
      <c r="C269" s="159">
        <v>43245</v>
      </c>
      <c r="D269" s="160">
        <v>2.9350000000000001</v>
      </c>
    </row>
    <row r="270" spans="1:4" x14ac:dyDescent="0.25">
      <c r="A270" s="159">
        <v>43217</v>
      </c>
      <c r="B270" s="165">
        <v>7.03</v>
      </c>
      <c r="C270" s="159">
        <v>43238</v>
      </c>
      <c r="D270" s="160">
        <v>3.0670000000000002</v>
      </c>
    </row>
    <row r="271" spans="1:4" x14ac:dyDescent="0.25">
      <c r="A271" s="159">
        <v>43210</v>
      </c>
      <c r="B271" s="165">
        <v>6.7469999999999999</v>
      </c>
      <c r="C271" s="159">
        <v>43231</v>
      </c>
      <c r="D271" s="160">
        <v>2.9710000000000001</v>
      </c>
    </row>
    <row r="272" spans="1:4" x14ac:dyDescent="0.25">
      <c r="A272" s="159">
        <v>43203</v>
      </c>
      <c r="B272" s="165">
        <v>6.57</v>
      </c>
      <c r="C272" s="159">
        <v>43224</v>
      </c>
      <c r="D272" s="160">
        <v>2.944</v>
      </c>
    </row>
    <row r="273" spans="1:4" x14ac:dyDescent="0.25">
      <c r="A273" s="159">
        <v>43196</v>
      </c>
      <c r="B273" s="165">
        <v>6.6020000000000003</v>
      </c>
      <c r="C273" s="159">
        <v>43217</v>
      </c>
      <c r="D273" s="160">
        <v>2.9569999999999999</v>
      </c>
    </row>
    <row r="274" spans="1:4" x14ac:dyDescent="0.25">
      <c r="A274" s="159">
        <v>43189</v>
      </c>
      <c r="B274" s="165">
        <v>6.6689999999999996</v>
      </c>
      <c r="C274" s="159">
        <v>43210</v>
      </c>
      <c r="D274" s="160">
        <v>2.9510000000000001</v>
      </c>
    </row>
    <row r="275" spans="1:4" x14ac:dyDescent="0.25">
      <c r="A275" s="159">
        <v>43182</v>
      </c>
      <c r="B275" s="165">
        <v>6.8719999999999999</v>
      </c>
      <c r="C275" s="159">
        <v>43203</v>
      </c>
      <c r="D275" s="160">
        <v>2.8279999999999998</v>
      </c>
    </row>
    <row r="276" spans="1:4" x14ac:dyDescent="0.25">
      <c r="A276" s="159">
        <v>43175</v>
      </c>
      <c r="B276" s="165">
        <v>6.734</v>
      </c>
      <c r="C276" s="159">
        <v>43196</v>
      </c>
      <c r="D276" s="160">
        <v>2.7749999999999999</v>
      </c>
    </row>
    <row r="277" spans="1:4" x14ac:dyDescent="0.25">
      <c r="A277" s="159">
        <v>43168</v>
      </c>
      <c r="B277" s="165">
        <v>6.798</v>
      </c>
      <c r="C277" s="159">
        <v>43189</v>
      </c>
      <c r="D277" s="160">
        <v>2.7440000000000002</v>
      </c>
    </row>
    <row r="278" spans="1:4" x14ac:dyDescent="0.25">
      <c r="A278" s="159">
        <v>43161</v>
      </c>
      <c r="B278" s="165">
        <v>6.6109999999999998</v>
      </c>
      <c r="C278" s="159">
        <v>43182</v>
      </c>
      <c r="D278" s="160">
        <v>2.8260000000000001</v>
      </c>
    </row>
    <row r="279" spans="1:4" x14ac:dyDescent="0.25">
      <c r="A279" s="159">
        <v>43154</v>
      </c>
      <c r="B279" s="165">
        <v>6.5970000000000004</v>
      </c>
      <c r="C279" s="159">
        <v>43175</v>
      </c>
      <c r="D279" s="160">
        <v>2.8479999999999999</v>
      </c>
    </row>
    <row r="280" spans="1:4" x14ac:dyDescent="0.25">
      <c r="A280" s="159">
        <v>43147</v>
      </c>
      <c r="B280" s="165">
        <v>6.4089999999999998</v>
      </c>
      <c r="C280" s="159">
        <v>43168</v>
      </c>
      <c r="D280" s="160">
        <v>2.8940000000000001</v>
      </c>
    </row>
    <row r="281" spans="1:4" x14ac:dyDescent="0.25">
      <c r="A281" s="159">
        <v>43140</v>
      </c>
      <c r="B281" s="165">
        <v>6.3630000000000004</v>
      </c>
      <c r="C281" s="159">
        <v>43161</v>
      </c>
      <c r="D281" s="160">
        <v>2.8570000000000002</v>
      </c>
    </row>
    <row r="282" spans="1:4" x14ac:dyDescent="0.25">
      <c r="A282" s="159">
        <v>43133</v>
      </c>
      <c r="B282" s="165">
        <v>6.26</v>
      </c>
      <c r="C282" s="159">
        <v>43154</v>
      </c>
      <c r="D282" s="160">
        <v>2.871</v>
      </c>
    </row>
    <row r="283" spans="1:4" x14ac:dyDescent="0.25">
      <c r="A283" s="159">
        <v>43126</v>
      </c>
      <c r="B283" s="165">
        <v>6.1719999999999997</v>
      </c>
      <c r="C283" s="159">
        <v>43147</v>
      </c>
      <c r="D283" s="160">
        <v>2.8769999999999998</v>
      </c>
    </row>
    <row r="284" spans="1:4" x14ac:dyDescent="0.25">
      <c r="A284" s="159">
        <v>43119</v>
      </c>
      <c r="B284" s="165">
        <v>6.0890000000000004</v>
      </c>
      <c r="C284" s="159">
        <v>43140</v>
      </c>
      <c r="D284" s="160">
        <v>2.831</v>
      </c>
    </row>
    <row r="285" spans="1:4" x14ac:dyDescent="0.25">
      <c r="A285" s="159">
        <v>43112</v>
      </c>
      <c r="B285" s="165">
        <v>6.0640000000000001</v>
      </c>
      <c r="C285" s="159">
        <v>43133</v>
      </c>
      <c r="D285" s="160">
        <v>2.8519999999999999</v>
      </c>
    </row>
    <row r="286" spans="1:4" x14ac:dyDescent="0.25">
      <c r="A286" s="159">
        <v>43105</v>
      </c>
      <c r="B286" s="165">
        <v>6.0839999999999996</v>
      </c>
      <c r="C286" s="159">
        <v>43126</v>
      </c>
      <c r="D286" s="160">
        <v>2.6619999999999999</v>
      </c>
    </row>
    <row r="287" spans="1:4" x14ac:dyDescent="0.25">
      <c r="A287" s="159">
        <v>43098</v>
      </c>
      <c r="B287" s="165">
        <v>6.3070000000000004</v>
      </c>
      <c r="C287" s="159">
        <v>43119</v>
      </c>
      <c r="D287" s="160">
        <v>2.6389999999999998</v>
      </c>
    </row>
    <row r="288" spans="1:4" x14ac:dyDescent="0.25">
      <c r="A288" s="159">
        <v>43091</v>
      </c>
      <c r="B288" s="165">
        <v>6.367</v>
      </c>
      <c r="C288" s="159">
        <v>43112</v>
      </c>
      <c r="D288" s="160">
        <v>2.552</v>
      </c>
    </row>
    <row r="289" spans="1:4" x14ac:dyDescent="0.25">
      <c r="A289" s="159">
        <v>43084</v>
      </c>
      <c r="B289" s="165">
        <v>6.484</v>
      </c>
      <c r="C289" s="159">
        <v>43105</v>
      </c>
      <c r="D289" s="160">
        <v>2.476</v>
      </c>
    </row>
    <row r="290" spans="1:4" x14ac:dyDescent="0.25">
      <c r="A290" s="159">
        <v>43077</v>
      </c>
      <c r="B290" s="165">
        <v>6.5519999999999996</v>
      </c>
      <c r="C290" s="159">
        <v>43098</v>
      </c>
      <c r="D290" s="160">
        <v>2.411</v>
      </c>
    </row>
    <row r="291" spans="1:4" x14ac:dyDescent="0.25">
      <c r="A291" s="159">
        <v>43070</v>
      </c>
      <c r="B291" s="165">
        <v>6.5110000000000001</v>
      </c>
      <c r="C291" s="159">
        <v>43091</v>
      </c>
      <c r="D291" s="160">
        <v>2.488</v>
      </c>
    </row>
    <row r="292" spans="1:4" x14ac:dyDescent="0.25">
      <c r="A292" s="159">
        <v>43063</v>
      </c>
      <c r="B292" s="165">
        <v>6.5519999999999996</v>
      </c>
      <c r="C292" s="159">
        <v>43084</v>
      </c>
      <c r="D292" s="160">
        <v>2.355</v>
      </c>
    </row>
    <row r="293" spans="1:4" x14ac:dyDescent="0.25">
      <c r="A293" s="159">
        <v>43056</v>
      </c>
      <c r="B293" s="165">
        <v>6.6760000000000002</v>
      </c>
      <c r="C293" s="159">
        <v>43077</v>
      </c>
      <c r="D293" s="160">
        <v>2.383</v>
      </c>
    </row>
    <row r="294" spans="1:4" x14ac:dyDescent="0.25">
      <c r="A294" s="159">
        <v>43049</v>
      </c>
      <c r="B294" s="165">
        <v>6.6440000000000001</v>
      </c>
      <c r="C294" s="159">
        <v>43070</v>
      </c>
      <c r="D294" s="160">
        <v>2.363</v>
      </c>
    </row>
    <row r="295" spans="1:4" x14ac:dyDescent="0.25">
      <c r="A295" s="159">
        <v>43042</v>
      </c>
      <c r="B295" s="165">
        <v>6.6689999999999996</v>
      </c>
      <c r="C295" s="159">
        <v>43063</v>
      </c>
      <c r="D295" s="160">
        <v>2.34</v>
      </c>
    </row>
    <row r="296" spans="1:4" x14ac:dyDescent="0.25">
      <c r="A296" s="159">
        <v>43035</v>
      </c>
      <c r="B296" s="165">
        <v>6.8170000000000002</v>
      </c>
      <c r="C296" s="159">
        <v>43056</v>
      </c>
      <c r="D296" s="160">
        <v>2.3540000000000001</v>
      </c>
    </row>
    <row r="297" spans="1:4" x14ac:dyDescent="0.25">
      <c r="A297" s="159">
        <v>43028</v>
      </c>
      <c r="B297" s="165">
        <v>6.6280000000000001</v>
      </c>
      <c r="C297" s="159">
        <v>43049</v>
      </c>
      <c r="D297" s="160">
        <v>2.4</v>
      </c>
    </row>
    <row r="298" spans="1:4" x14ac:dyDescent="0.25">
      <c r="A298" s="159">
        <v>43021</v>
      </c>
      <c r="B298" s="165">
        <v>6.5570000000000004</v>
      </c>
      <c r="C298" s="159">
        <v>43042</v>
      </c>
      <c r="D298" s="160">
        <v>2.343</v>
      </c>
    </row>
    <row r="299" spans="1:4" x14ac:dyDescent="0.25">
      <c r="A299" s="159">
        <v>43014</v>
      </c>
      <c r="B299" s="165">
        <v>6.5010000000000003</v>
      </c>
      <c r="C299" s="159">
        <v>43035</v>
      </c>
      <c r="D299" s="160">
        <v>2.4279999999999999</v>
      </c>
    </row>
    <row r="300" spans="1:4" x14ac:dyDescent="0.25">
      <c r="A300" s="159">
        <v>43007</v>
      </c>
      <c r="B300" s="165">
        <v>6.4960000000000004</v>
      </c>
      <c r="C300" s="159">
        <v>43028</v>
      </c>
      <c r="D300" s="160">
        <v>2.3809999999999998</v>
      </c>
    </row>
    <row r="301" spans="1:4" x14ac:dyDescent="0.25">
      <c r="A301" s="159">
        <v>43000</v>
      </c>
      <c r="B301" s="165">
        <v>6.4489999999999998</v>
      </c>
      <c r="C301" s="159">
        <v>43021</v>
      </c>
      <c r="D301" s="160">
        <v>2.2799999999999998</v>
      </c>
    </row>
    <row r="302" spans="1:4" x14ac:dyDescent="0.25">
      <c r="A302" s="159">
        <v>42993</v>
      </c>
      <c r="B302" s="165">
        <v>6.5410000000000004</v>
      </c>
      <c r="C302" s="159">
        <v>43014</v>
      </c>
      <c r="D302" s="160">
        <v>2.3679999999999999</v>
      </c>
    </row>
    <row r="303" spans="1:4" x14ac:dyDescent="0.25">
      <c r="A303" s="159">
        <v>42986</v>
      </c>
      <c r="B303" s="165">
        <v>6.47</v>
      </c>
      <c r="C303" s="159">
        <v>43007</v>
      </c>
      <c r="D303" s="160">
        <v>2.3260000000000001</v>
      </c>
    </row>
    <row r="304" spans="1:4" x14ac:dyDescent="0.25">
      <c r="A304" s="159">
        <v>42979</v>
      </c>
      <c r="B304" s="165">
        <v>6.6829999999999998</v>
      </c>
      <c r="C304" s="159">
        <v>43000</v>
      </c>
      <c r="D304" s="160">
        <v>2.262</v>
      </c>
    </row>
    <row r="305" spans="1:4" x14ac:dyDescent="0.25">
      <c r="A305" s="159">
        <v>42972</v>
      </c>
      <c r="B305" s="165">
        <v>6.8259999999999996</v>
      </c>
      <c r="C305" s="159">
        <v>42993</v>
      </c>
      <c r="D305" s="160">
        <v>2.202</v>
      </c>
    </row>
    <row r="306" spans="1:4" x14ac:dyDescent="0.25">
      <c r="A306" s="159">
        <v>42965</v>
      </c>
      <c r="B306" s="165">
        <v>6.8949999999999996</v>
      </c>
      <c r="C306" s="159">
        <v>42986</v>
      </c>
      <c r="D306" s="160">
        <v>2.0609999999999999</v>
      </c>
    </row>
    <row r="307" spans="1:4" x14ac:dyDescent="0.25">
      <c r="A307" s="159">
        <v>42958</v>
      </c>
      <c r="B307" s="165">
        <v>6.8940000000000001</v>
      </c>
      <c r="C307" s="159">
        <v>42979</v>
      </c>
      <c r="D307" s="160">
        <v>2.157</v>
      </c>
    </row>
    <row r="308" spans="1:4" x14ac:dyDescent="0.25">
      <c r="A308" s="159">
        <v>42951</v>
      </c>
      <c r="B308" s="165">
        <v>6.8940000000000001</v>
      </c>
      <c r="C308" s="159">
        <v>42972</v>
      </c>
      <c r="D308" s="160">
        <v>2.1709999999999998</v>
      </c>
    </row>
    <row r="309" spans="1:4" x14ac:dyDescent="0.25">
      <c r="A309" s="159">
        <v>42944</v>
      </c>
      <c r="B309" s="165">
        <v>6.9530000000000003</v>
      </c>
      <c r="C309" s="159">
        <v>42965</v>
      </c>
      <c r="D309" s="160">
        <v>2.194</v>
      </c>
    </row>
    <row r="310" spans="1:4" x14ac:dyDescent="0.25">
      <c r="A310" s="159">
        <v>42937</v>
      </c>
      <c r="B310" s="165">
        <v>6.9260000000000002</v>
      </c>
      <c r="C310" s="159">
        <v>42958</v>
      </c>
      <c r="D310" s="160">
        <v>2.1869999999999998</v>
      </c>
    </row>
    <row r="311" spans="1:4" x14ac:dyDescent="0.25">
      <c r="A311" s="159">
        <v>42930</v>
      </c>
      <c r="B311" s="165">
        <v>6.9660000000000002</v>
      </c>
      <c r="C311" s="159">
        <v>42951</v>
      </c>
      <c r="D311" s="160">
        <v>2.2690000000000001</v>
      </c>
    </row>
    <row r="312" spans="1:4" x14ac:dyDescent="0.25">
      <c r="A312" s="159">
        <v>42923</v>
      </c>
      <c r="B312" s="165">
        <v>7.0190000000000001</v>
      </c>
      <c r="C312" s="159">
        <v>42944</v>
      </c>
      <c r="D312" s="160">
        <v>2.2869999999999999</v>
      </c>
    </row>
    <row r="313" spans="1:4" x14ac:dyDescent="0.25">
      <c r="A313" s="159">
        <v>42909</v>
      </c>
      <c r="B313" s="165">
        <v>6.8109999999999999</v>
      </c>
      <c r="C313" s="159">
        <v>42937</v>
      </c>
      <c r="D313" s="160">
        <v>2.2320000000000002</v>
      </c>
    </row>
    <row r="314" spans="1:4" x14ac:dyDescent="0.25">
      <c r="A314" s="159">
        <v>42902</v>
      </c>
      <c r="B314" s="165">
        <v>6.8</v>
      </c>
      <c r="C314" s="159">
        <v>42930</v>
      </c>
      <c r="D314" s="160">
        <v>2.319</v>
      </c>
    </row>
    <row r="315" spans="1:4" x14ac:dyDescent="0.25">
      <c r="A315" s="159">
        <v>42895</v>
      </c>
      <c r="B315" s="165">
        <v>6.9020000000000001</v>
      </c>
      <c r="C315" s="159">
        <v>42923</v>
      </c>
      <c r="D315" s="160">
        <v>2.3929999999999998</v>
      </c>
    </row>
    <row r="316" spans="1:4" x14ac:dyDescent="0.25">
      <c r="A316" s="159">
        <v>42888</v>
      </c>
      <c r="B316" s="165">
        <v>6.94</v>
      </c>
      <c r="C316" s="159">
        <v>42916</v>
      </c>
      <c r="D316" s="160">
        <v>2.302</v>
      </c>
    </row>
    <row r="317" spans="1:4" x14ac:dyDescent="0.25">
      <c r="A317" s="159">
        <v>42881</v>
      </c>
      <c r="B317" s="165">
        <v>6.9379999999999997</v>
      </c>
      <c r="C317" s="159">
        <v>42909</v>
      </c>
      <c r="D317" s="160">
        <v>2.1440000000000001</v>
      </c>
    </row>
    <row r="318" spans="1:4" x14ac:dyDescent="0.25">
      <c r="A318" s="159">
        <v>42874</v>
      </c>
      <c r="B318" s="165">
        <v>7.1029999999999998</v>
      </c>
      <c r="C318" s="159">
        <v>42902</v>
      </c>
      <c r="D318" s="160">
        <v>2.157</v>
      </c>
    </row>
    <row r="319" spans="1:4" x14ac:dyDescent="0.25">
      <c r="A319" s="159">
        <v>42867</v>
      </c>
      <c r="B319" s="165">
        <v>7.1970000000000001</v>
      </c>
      <c r="C319" s="159">
        <v>42895</v>
      </c>
      <c r="D319" s="160">
        <v>2.1989999999999998</v>
      </c>
    </row>
    <row r="320" spans="1:4" x14ac:dyDescent="0.25">
      <c r="A320" s="159">
        <v>42860</v>
      </c>
      <c r="B320" s="165">
        <v>7.06</v>
      </c>
      <c r="C320" s="159">
        <v>42888</v>
      </c>
      <c r="D320" s="160">
        <v>2.1589999999999998</v>
      </c>
    </row>
    <row r="321" spans="1:4" x14ac:dyDescent="0.25">
      <c r="A321" s="159">
        <v>42853</v>
      </c>
      <c r="B321" s="165">
        <v>7.0309999999999997</v>
      </c>
      <c r="C321" s="159">
        <v>42881</v>
      </c>
      <c r="D321" s="160">
        <v>2.25</v>
      </c>
    </row>
    <row r="322" spans="1:4" x14ac:dyDescent="0.25">
      <c r="A322" s="159">
        <v>42846</v>
      </c>
      <c r="B322" s="165">
        <v>7.1</v>
      </c>
      <c r="C322" s="159">
        <v>42874</v>
      </c>
      <c r="D322" s="160">
        <v>2.2450000000000001</v>
      </c>
    </row>
    <row r="323" spans="1:4" x14ac:dyDescent="0.25">
      <c r="A323" s="159">
        <v>42839</v>
      </c>
      <c r="B323" s="165">
        <v>7.0439999999999996</v>
      </c>
      <c r="C323" s="159">
        <v>42867</v>
      </c>
      <c r="D323" s="160">
        <v>2.3330000000000002</v>
      </c>
    </row>
    <row r="324" spans="1:4" x14ac:dyDescent="0.25">
      <c r="A324" s="159">
        <v>42832</v>
      </c>
      <c r="B324" s="165">
        <v>7.11</v>
      </c>
      <c r="C324" s="159">
        <v>42860</v>
      </c>
      <c r="D324" s="160">
        <v>2.3519999999999999</v>
      </c>
    </row>
    <row r="325" spans="1:4" x14ac:dyDescent="0.25">
      <c r="A325" s="159">
        <v>42825</v>
      </c>
      <c r="B325" s="165">
        <v>7.0289999999999999</v>
      </c>
      <c r="C325" s="159">
        <v>42853</v>
      </c>
      <c r="D325" s="160">
        <v>2.282</v>
      </c>
    </row>
    <row r="326" spans="1:4" x14ac:dyDescent="0.25">
      <c r="A326" s="159">
        <v>42818</v>
      </c>
      <c r="B326" s="165">
        <v>7.1050000000000004</v>
      </c>
      <c r="C326" s="159">
        <v>42846</v>
      </c>
      <c r="D326" s="160">
        <v>2.2360000000000002</v>
      </c>
    </row>
    <row r="327" spans="1:4" x14ac:dyDescent="0.25">
      <c r="A327" s="159">
        <v>42811</v>
      </c>
      <c r="B327" s="165">
        <v>7.2450000000000001</v>
      </c>
      <c r="C327" s="159">
        <v>42839</v>
      </c>
      <c r="D327" s="160">
        <v>2.2280000000000002</v>
      </c>
    </row>
    <row r="328" spans="1:4" x14ac:dyDescent="0.25">
      <c r="A328" s="159">
        <v>42804</v>
      </c>
      <c r="B328" s="165">
        <v>7.5119999999999996</v>
      </c>
      <c r="C328" s="159">
        <v>42832</v>
      </c>
      <c r="D328" s="160">
        <v>2.3730000000000002</v>
      </c>
    </row>
    <row r="329" spans="1:4" x14ac:dyDescent="0.25">
      <c r="A329" s="159">
        <v>42797</v>
      </c>
      <c r="B329" s="165">
        <v>7.4820000000000002</v>
      </c>
      <c r="C329" s="159">
        <v>42825</v>
      </c>
      <c r="D329" s="160">
        <v>2.395</v>
      </c>
    </row>
    <row r="330" spans="1:4" x14ac:dyDescent="0.25">
      <c r="A330" s="159">
        <v>42790</v>
      </c>
      <c r="B330" s="165">
        <v>7.5549999999999997</v>
      </c>
      <c r="C330" s="159">
        <v>42818</v>
      </c>
      <c r="D330" s="160">
        <v>2.4</v>
      </c>
    </row>
    <row r="331" spans="1:4" x14ac:dyDescent="0.25">
      <c r="A331" s="159">
        <v>42783</v>
      </c>
      <c r="B331" s="165">
        <v>7.5460000000000003</v>
      </c>
      <c r="C331" s="159">
        <v>42811</v>
      </c>
      <c r="D331" s="160">
        <v>2.5</v>
      </c>
    </row>
    <row r="332" spans="1:4" x14ac:dyDescent="0.25">
      <c r="A332" s="159">
        <v>42776</v>
      </c>
      <c r="B332" s="165">
        <v>7.4930000000000003</v>
      </c>
      <c r="C332" s="159">
        <v>42804</v>
      </c>
      <c r="D332" s="160">
        <v>2.5819999999999999</v>
      </c>
    </row>
    <row r="333" spans="1:4" x14ac:dyDescent="0.25">
      <c r="A333" s="159">
        <v>42769</v>
      </c>
      <c r="B333" s="165">
        <v>7.63</v>
      </c>
      <c r="C333" s="159">
        <v>42797</v>
      </c>
      <c r="D333" s="160">
        <v>2.492</v>
      </c>
    </row>
    <row r="334" spans="1:4" x14ac:dyDescent="0.25">
      <c r="A334" s="159">
        <v>42762</v>
      </c>
      <c r="B334" s="165">
        <v>7.6159999999999997</v>
      </c>
      <c r="C334" s="159">
        <v>42790</v>
      </c>
      <c r="D334" s="160">
        <v>2.3170000000000002</v>
      </c>
    </row>
    <row r="335" spans="1:4" x14ac:dyDescent="0.25">
      <c r="A335" s="159">
        <v>42755</v>
      </c>
      <c r="B335" s="165">
        <v>7.5789999999999997</v>
      </c>
      <c r="C335" s="159">
        <v>42783</v>
      </c>
      <c r="D335" s="160">
        <v>2.4249999999999998</v>
      </c>
    </row>
    <row r="336" spans="1:4" x14ac:dyDescent="0.25">
      <c r="A336" s="159">
        <v>42748</v>
      </c>
      <c r="B336" s="165">
        <v>7.4889999999999999</v>
      </c>
      <c r="C336" s="159">
        <v>42776</v>
      </c>
      <c r="D336" s="160">
        <v>2.4089999999999998</v>
      </c>
    </row>
    <row r="337" spans="1:4" x14ac:dyDescent="0.25">
      <c r="A337" s="159">
        <v>42741</v>
      </c>
      <c r="B337" s="165">
        <v>7.6029999999999998</v>
      </c>
      <c r="C337" s="159">
        <v>42769</v>
      </c>
      <c r="D337" s="160">
        <v>2.4910000000000001</v>
      </c>
    </row>
    <row r="338" spans="1:4" x14ac:dyDescent="0.25">
      <c r="A338" s="159">
        <v>42734</v>
      </c>
      <c r="B338" s="165">
        <v>7.9409999999999998</v>
      </c>
      <c r="C338" s="159">
        <v>42762</v>
      </c>
      <c r="D338" s="160">
        <v>2.4809999999999999</v>
      </c>
    </row>
    <row r="339" spans="1:4" x14ac:dyDescent="0.25">
      <c r="A339" s="159">
        <v>42727</v>
      </c>
      <c r="B339" s="165">
        <v>7.8929999999999998</v>
      </c>
      <c r="C339" s="159">
        <v>42755</v>
      </c>
      <c r="D339" s="160">
        <v>2.4670000000000001</v>
      </c>
    </row>
    <row r="340" spans="1:4" x14ac:dyDescent="0.25">
      <c r="A340" s="159">
        <v>42720</v>
      </c>
      <c r="B340" s="165">
        <v>8.0129999999999999</v>
      </c>
      <c r="C340" s="159">
        <v>42748</v>
      </c>
      <c r="D340" s="160">
        <v>2.38</v>
      </c>
    </row>
    <row r="341" spans="1:4" x14ac:dyDescent="0.25">
      <c r="A341" s="159">
        <v>42713</v>
      </c>
      <c r="B341" s="165">
        <v>7.5949999999999998</v>
      </c>
      <c r="C341" s="159">
        <v>42741</v>
      </c>
      <c r="D341" s="160">
        <v>2.4180000000000001</v>
      </c>
    </row>
    <row r="342" spans="1:4" x14ac:dyDescent="0.25">
      <c r="A342" s="159">
        <v>42706</v>
      </c>
      <c r="B342" s="165">
        <v>8.0690000000000008</v>
      </c>
      <c r="C342" s="159">
        <v>42734</v>
      </c>
      <c r="D342" s="160">
        <v>2.4319999999999999</v>
      </c>
    </row>
    <row r="343" spans="1:4" x14ac:dyDescent="0.25">
      <c r="A343" s="159">
        <v>42699</v>
      </c>
      <c r="B343" s="165">
        <v>8.3040000000000003</v>
      </c>
      <c r="C343" s="159">
        <v>42727</v>
      </c>
      <c r="D343" s="160">
        <v>2.5390000000000001</v>
      </c>
    </row>
    <row r="344" spans="1:4" x14ac:dyDescent="0.25">
      <c r="A344" s="159">
        <v>42692</v>
      </c>
      <c r="B344" s="165">
        <v>7.7930000000000001</v>
      </c>
      <c r="C344" s="159">
        <v>42720</v>
      </c>
      <c r="D344" s="160">
        <v>2.597</v>
      </c>
    </row>
    <row r="345" spans="1:4" x14ac:dyDescent="0.25">
      <c r="A345" s="159">
        <v>42685</v>
      </c>
      <c r="B345" s="165">
        <v>7.4690000000000003</v>
      </c>
      <c r="C345" s="159">
        <v>42713</v>
      </c>
      <c r="D345" s="160">
        <v>2.464</v>
      </c>
    </row>
    <row r="346" spans="1:4" x14ac:dyDescent="0.25">
      <c r="A346" s="159">
        <v>42678</v>
      </c>
      <c r="B346" s="165">
        <v>7.3079999999999998</v>
      </c>
      <c r="C346" s="159">
        <v>42706</v>
      </c>
      <c r="D346" s="160">
        <v>2.39</v>
      </c>
    </row>
    <row r="347" spans="1:4" x14ac:dyDescent="0.25">
      <c r="A347" s="159">
        <v>42671</v>
      </c>
      <c r="B347" s="165">
        <v>7.2009999999999996</v>
      </c>
      <c r="C347" s="159">
        <v>42699</v>
      </c>
      <c r="D347" s="160">
        <v>2.37</v>
      </c>
    </row>
    <row r="348" spans="1:4" x14ac:dyDescent="0.25">
      <c r="A348" s="159">
        <v>42664</v>
      </c>
      <c r="B348" s="165">
        <v>7.0819999999999999</v>
      </c>
      <c r="C348" s="159">
        <v>42692</v>
      </c>
      <c r="D348" s="160">
        <v>2.3370000000000002</v>
      </c>
    </row>
    <row r="349" spans="1:4" x14ac:dyDescent="0.25">
      <c r="A349" s="159">
        <v>42657</v>
      </c>
      <c r="B349" s="165">
        <v>7.0529999999999999</v>
      </c>
      <c r="C349" s="159">
        <v>42685</v>
      </c>
      <c r="D349" s="160">
        <v>2.1179999999999999</v>
      </c>
    </row>
    <row r="350" spans="1:4" x14ac:dyDescent="0.25">
      <c r="A350" s="159">
        <v>42650</v>
      </c>
      <c r="B350" s="165">
        <v>7.09</v>
      </c>
      <c r="C350" s="159">
        <v>42678</v>
      </c>
      <c r="D350" s="160">
        <v>1.7829999999999999</v>
      </c>
    </row>
    <row r="351" spans="1:4" x14ac:dyDescent="0.25">
      <c r="A351" s="159">
        <v>42643</v>
      </c>
      <c r="B351" s="165">
        <v>7.069</v>
      </c>
      <c r="C351" s="159">
        <v>42671</v>
      </c>
      <c r="D351" s="160">
        <v>1.845</v>
      </c>
    </row>
    <row r="352" spans="1:4" x14ac:dyDescent="0.25">
      <c r="A352" s="159">
        <v>42636</v>
      </c>
      <c r="B352" s="165">
        <v>6.8710000000000004</v>
      </c>
      <c r="C352" s="159">
        <v>42664</v>
      </c>
      <c r="D352" s="160">
        <v>1.74</v>
      </c>
    </row>
    <row r="353" spans="1:4" x14ac:dyDescent="0.25">
      <c r="A353" s="159">
        <v>42629</v>
      </c>
      <c r="B353" s="165">
        <v>7.032</v>
      </c>
      <c r="C353" s="159">
        <v>42657</v>
      </c>
      <c r="D353" s="160">
        <v>1.792</v>
      </c>
    </row>
    <row r="354" spans="1:4" x14ac:dyDescent="0.25">
      <c r="A354" s="159">
        <v>42622</v>
      </c>
      <c r="B354" s="165">
        <v>6.915</v>
      </c>
      <c r="C354" s="159">
        <v>42650</v>
      </c>
      <c r="D354" s="160">
        <v>1.736</v>
      </c>
    </row>
    <row r="355" spans="1:4" x14ac:dyDescent="0.25">
      <c r="A355" s="159">
        <v>42615</v>
      </c>
      <c r="B355" s="165">
        <v>6.992</v>
      </c>
      <c r="C355" s="159">
        <v>42643</v>
      </c>
      <c r="D355" s="160">
        <v>1.6060000000000001</v>
      </c>
    </row>
    <row r="356" spans="1:4" x14ac:dyDescent="0.25">
      <c r="A356" s="159">
        <v>42608</v>
      </c>
      <c r="B356" s="165">
        <v>7.06</v>
      </c>
      <c r="C356" s="159">
        <v>42636</v>
      </c>
      <c r="D356" s="160">
        <v>1.615</v>
      </c>
    </row>
    <row r="357" spans="1:4" x14ac:dyDescent="0.25">
      <c r="A357" s="159">
        <v>42601</v>
      </c>
      <c r="B357" s="165">
        <v>6.8339999999999996</v>
      </c>
      <c r="C357" s="159">
        <v>42629</v>
      </c>
      <c r="D357" s="160">
        <v>1.7010000000000001</v>
      </c>
    </row>
    <row r="358" spans="1:4" x14ac:dyDescent="0.25">
      <c r="A358" s="159">
        <v>42594</v>
      </c>
      <c r="B358" s="165">
        <v>6.782</v>
      </c>
      <c r="C358" s="159">
        <v>42622</v>
      </c>
      <c r="D358" s="160">
        <v>1.671</v>
      </c>
    </row>
    <row r="359" spans="1:4" x14ac:dyDescent="0.25">
      <c r="A359" s="159">
        <v>42587</v>
      </c>
      <c r="B359" s="165">
        <v>6.875</v>
      </c>
      <c r="C359" s="159">
        <v>42615</v>
      </c>
      <c r="D359" s="160">
        <v>1.597</v>
      </c>
    </row>
    <row r="360" spans="1:4" x14ac:dyDescent="0.25">
      <c r="A360" s="159">
        <v>42580</v>
      </c>
      <c r="B360" s="165">
        <v>6.944</v>
      </c>
      <c r="C360" s="159">
        <v>42608</v>
      </c>
      <c r="D360" s="160">
        <v>1.633</v>
      </c>
    </row>
    <row r="361" spans="1:4" x14ac:dyDescent="0.25">
      <c r="A361" s="159">
        <v>42573</v>
      </c>
      <c r="B361" s="165">
        <v>7.04</v>
      </c>
      <c r="C361" s="159">
        <v>42601</v>
      </c>
      <c r="D361" s="160">
        <v>1.58</v>
      </c>
    </row>
    <row r="362" spans="1:4" x14ac:dyDescent="0.25">
      <c r="A362" s="159">
        <v>42566</v>
      </c>
      <c r="B362" s="165">
        <v>7.1429999999999998</v>
      </c>
      <c r="C362" s="159">
        <v>42594</v>
      </c>
      <c r="D362" s="160">
        <v>1.5149999999999999</v>
      </c>
    </row>
    <row r="363" spans="1:4" x14ac:dyDescent="0.25">
      <c r="A363" s="159">
        <v>42559</v>
      </c>
      <c r="B363" s="165">
        <v>7.2809999999999997</v>
      </c>
      <c r="C363" s="159">
        <v>42587</v>
      </c>
      <c r="D363" s="160">
        <v>1.5820000000000001</v>
      </c>
    </row>
    <row r="364" spans="1:4" x14ac:dyDescent="0.25">
      <c r="A364" s="159">
        <v>42552</v>
      </c>
      <c r="B364" s="165">
        <v>7.4130000000000003</v>
      </c>
      <c r="C364" s="159">
        <v>42580</v>
      </c>
      <c r="D364" s="160">
        <v>1.458</v>
      </c>
    </row>
    <row r="365" spans="1:4" x14ac:dyDescent="0.25">
      <c r="A365" s="159">
        <v>42545</v>
      </c>
      <c r="B365" s="165">
        <v>7.7290000000000001</v>
      </c>
      <c r="C365" s="159">
        <v>42573</v>
      </c>
      <c r="D365" s="160">
        <v>1.5680000000000001</v>
      </c>
    </row>
    <row r="366" spans="1:4" x14ac:dyDescent="0.25">
      <c r="A366" s="159">
        <v>42538</v>
      </c>
      <c r="B366" s="165">
        <v>7.6210000000000004</v>
      </c>
      <c r="C366" s="159">
        <v>42566</v>
      </c>
      <c r="D366" s="160">
        <v>1.5940000000000001</v>
      </c>
    </row>
    <row r="367" spans="1:4" x14ac:dyDescent="0.25">
      <c r="A367" s="159">
        <v>42531</v>
      </c>
      <c r="B367" s="165">
        <v>7.6150000000000002</v>
      </c>
      <c r="C367" s="159">
        <v>42559</v>
      </c>
      <c r="D367" s="160">
        <v>1.365</v>
      </c>
    </row>
    <row r="368" spans="1:4" x14ac:dyDescent="0.25">
      <c r="A368" s="159">
        <v>42524</v>
      </c>
      <c r="B368" s="165">
        <v>7.8659999999999997</v>
      </c>
      <c r="C368" s="159">
        <v>42552</v>
      </c>
      <c r="D368" s="160">
        <v>1.4610000000000001</v>
      </c>
    </row>
    <row r="369" spans="1:4" x14ac:dyDescent="0.25">
      <c r="A369" s="159">
        <v>42517</v>
      </c>
      <c r="B369" s="165">
        <v>7.8310000000000004</v>
      </c>
      <c r="C369" s="159">
        <v>42545</v>
      </c>
      <c r="D369" s="160">
        <v>1.579</v>
      </c>
    </row>
    <row r="370" spans="1:4" x14ac:dyDescent="0.25">
      <c r="A370" s="159">
        <v>42510</v>
      </c>
      <c r="B370" s="165">
        <v>7.8840000000000003</v>
      </c>
      <c r="C370" s="159">
        <v>42538</v>
      </c>
      <c r="D370" s="160">
        <v>1.6180000000000001</v>
      </c>
    </row>
    <row r="371" spans="1:4" x14ac:dyDescent="0.25">
      <c r="A371" s="159">
        <v>42503</v>
      </c>
      <c r="B371" s="165">
        <v>7.73</v>
      </c>
      <c r="C371" s="159">
        <v>42531</v>
      </c>
      <c r="D371" s="160">
        <v>1.639</v>
      </c>
    </row>
    <row r="372" spans="1:4" x14ac:dyDescent="0.25">
      <c r="A372" s="159">
        <v>42496</v>
      </c>
      <c r="B372" s="165">
        <v>7.6980000000000004</v>
      </c>
      <c r="C372" s="159">
        <v>42524</v>
      </c>
      <c r="D372" s="160">
        <v>1.704</v>
      </c>
    </row>
    <row r="373" spans="1:4" x14ac:dyDescent="0.25">
      <c r="A373" s="159">
        <v>42489</v>
      </c>
      <c r="B373" s="165">
        <v>7.7149999999999999</v>
      </c>
      <c r="C373" s="159">
        <v>42517</v>
      </c>
      <c r="D373" s="160">
        <v>1.835</v>
      </c>
    </row>
    <row r="374" spans="1:4" x14ac:dyDescent="0.25">
      <c r="A374" s="159">
        <v>42482</v>
      </c>
      <c r="B374" s="165">
        <v>7.5529999999999999</v>
      </c>
      <c r="C374" s="159">
        <v>42510</v>
      </c>
      <c r="D374" s="160">
        <v>1.849</v>
      </c>
    </row>
    <row r="375" spans="1:4" x14ac:dyDescent="0.25">
      <c r="A375" s="159">
        <v>42475</v>
      </c>
      <c r="B375" s="165">
        <v>7.4240000000000004</v>
      </c>
      <c r="C375" s="159">
        <v>42503</v>
      </c>
      <c r="D375" s="160">
        <v>1.7050000000000001</v>
      </c>
    </row>
    <row r="376" spans="1:4" x14ac:dyDescent="0.25">
      <c r="A376" s="159">
        <v>42468</v>
      </c>
      <c r="B376" s="165">
        <v>7.577</v>
      </c>
      <c r="C376" s="159">
        <v>42496</v>
      </c>
      <c r="D376" s="160">
        <v>1.7769999999999999</v>
      </c>
    </row>
    <row r="377" spans="1:4" x14ac:dyDescent="0.25">
      <c r="A377" s="159">
        <v>42461</v>
      </c>
      <c r="B377" s="165">
        <v>7.5819999999999999</v>
      </c>
      <c r="C377" s="159">
        <v>42489</v>
      </c>
      <c r="D377" s="160">
        <v>1.819</v>
      </c>
    </row>
    <row r="378" spans="1:4" x14ac:dyDescent="0.25">
      <c r="A378" s="159">
        <v>42454</v>
      </c>
      <c r="B378" s="165">
        <v>7.7830000000000004</v>
      </c>
      <c r="C378" s="159">
        <v>42482</v>
      </c>
      <c r="D378" s="160">
        <v>1.8879999999999999</v>
      </c>
    </row>
    <row r="379" spans="1:4" x14ac:dyDescent="0.25">
      <c r="A379" s="159">
        <v>42447</v>
      </c>
      <c r="B379" s="165">
        <v>7.6369999999999996</v>
      </c>
      <c r="C379" s="159">
        <v>42475</v>
      </c>
      <c r="D379" s="160">
        <v>1.752</v>
      </c>
    </row>
    <row r="380" spans="1:4" x14ac:dyDescent="0.25">
      <c r="A380" s="159">
        <v>42440</v>
      </c>
      <c r="B380" s="165">
        <v>7.8129999999999997</v>
      </c>
      <c r="C380" s="159">
        <v>42468</v>
      </c>
      <c r="D380" s="160">
        <v>1.722</v>
      </c>
    </row>
    <row r="381" spans="1:4" x14ac:dyDescent="0.25">
      <c r="A381" s="159">
        <v>42433</v>
      </c>
      <c r="B381" s="165">
        <v>7.9909999999999997</v>
      </c>
      <c r="C381" s="159">
        <v>42461</v>
      </c>
      <c r="D381" s="160">
        <v>1.7909999999999999</v>
      </c>
    </row>
    <row r="382" spans="1:4" x14ac:dyDescent="0.25">
      <c r="A382" s="159">
        <v>42426</v>
      </c>
      <c r="B382" s="165">
        <v>8.234</v>
      </c>
      <c r="C382" s="159">
        <v>42454</v>
      </c>
      <c r="D382" s="160">
        <v>1.893</v>
      </c>
    </row>
    <row r="383" spans="1:4" x14ac:dyDescent="0.25">
      <c r="A383" s="159">
        <v>42419</v>
      </c>
      <c r="B383" s="165">
        <v>8.0820000000000007</v>
      </c>
      <c r="C383" s="159">
        <v>42447</v>
      </c>
      <c r="D383" s="160">
        <v>1.871</v>
      </c>
    </row>
    <row r="384" spans="1:4" x14ac:dyDescent="0.25">
      <c r="A384" s="159">
        <v>42412</v>
      </c>
      <c r="B384" s="165">
        <v>7.9530000000000003</v>
      </c>
      <c r="C384" s="159">
        <v>42440</v>
      </c>
      <c r="D384" s="160">
        <v>1.9770000000000001</v>
      </c>
    </row>
    <row r="385" spans="1:4" x14ac:dyDescent="0.25">
      <c r="A385" s="159">
        <v>42405</v>
      </c>
      <c r="B385" s="165">
        <v>8.0380000000000003</v>
      </c>
      <c r="C385" s="159">
        <v>42433</v>
      </c>
      <c r="D385" s="160">
        <v>1.883</v>
      </c>
    </row>
    <row r="386" spans="1:4" x14ac:dyDescent="0.25">
      <c r="A386" s="159">
        <v>42398</v>
      </c>
      <c r="B386" s="165">
        <v>8.2769999999999992</v>
      </c>
      <c r="C386" s="159">
        <v>42426</v>
      </c>
      <c r="D386" s="160">
        <v>1.764</v>
      </c>
    </row>
    <row r="387" spans="1:4" x14ac:dyDescent="0.25">
      <c r="A387" s="159">
        <v>42391</v>
      </c>
      <c r="B387" s="165">
        <v>8.49</v>
      </c>
      <c r="C387" s="159">
        <v>42419</v>
      </c>
      <c r="D387" s="160">
        <v>1.748</v>
      </c>
    </row>
    <row r="388" spans="1:4" x14ac:dyDescent="0.25">
      <c r="A388" s="159">
        <v>42384</v>
      </c>
      <c r="B388" s="165">
        <v>8.5410000000000004</v>
      </c>
      <c r="C388" s="159">
        <v>42412</v>
      </c>
      <c r="D388" s="160">
        <v>1.746</v>
      </c>
    </row>
    <row r="389" spans="1:4" x14ac:dyDescent="0.25">
      <c r="A389" s="159">
        <v>42377</v>
      </c>
      <c r="B389" s="165">
        <v>8.7789999999999999</v>
      </c>
      <c r="C389" s="159">
        <v>42405</v>
      </c>
      <c r="D389" s="160">
        <v>1.8480000000000001</v>
      </c>
    </row>
    <row r="390" spans="1:4" x14ac:dyDescent="0.25">
      <c r="A390" s="159">
        <v>42370</v>
      </c>
      <c r="B390" s="165">
        <v>8.8719999999999999</v>
      </c>
      <c r="C390" s="159">
        <v>42398</v>
      </c>
      <c r="D390" s="160">
        <v>1.93</v>
      </c>
    </row>
    <row r="391" spans="1:4" x14ac:dyDescent="0.25">
      <c r="A391" s="159">
        <v>42363</v>
      </c>
      <c r="B391" s="165">
        <v>8.7669999999999995</v>
      </c>
      <c r="C391" s="159">
        <v>42391</v>
      </c>
      <c r="D391" s="160">
        <v>2.048</v>
      </c>
    </row>
    <row r="392" spans="1:4" x14ac:dyDescent="0.25">
      <c r="A392" s="159">
        <v>42356</v>
      </c>
      <c r="B392" s="165">
        <v>8.7989999999999995</v>
      </c>
      <c r="C392" s="159">
        <v>42384</v>
      </c>
      <c r="D392" s="160">
        <v>2.0329999999999999</v>
      </c>
    </row>
    <row r="393" spans="1:4" x14ac:dyDescent="0.25">
      <c r="A393" s="159">
        <v>42349</v>
      </c>
      <c r="B393" s="165">
        <v>8.6340000000000003</v>
      </c>
      <c r="C393" s="159">
        <v>42377</v>
      </c>
      <c r="D393" s="160">
        <v>2.1309999999999998</v>
      </c>
    </row>
    <row r="394" spans="1:4" x14ac:dyDescent="0.25">
      <c r="A394" s="159">
        <v>42342</v>
      </c>
      <c r="B394" s="165">
        <v>8.5039999999999996</v>
      </c>
      <c r="C394" s="159">
        <v>42370</v>
      </c>
      <c r="D394" s="160">
        <v>2.2749999999999999</v>
      </c>
    </row>
    <row r="395" spans="1:4" x14ac:dyDescent="0.25">
      <c r="A395" s="159">
        <v>42335</v>
      </c>
      <c r="B395" s="165">
        <v>8.5879999999999992</v>
      </c>
      <c r="C395" s="159">
        <v>42363</v>
      </c>
      <c r="D395" s="160">
        <v>2.2429999999999999</v>
      </c>
    </row>
    <row r="396" spans="1:4" x14ac:dyDescent="0.25">
      <c r="A396" s="159">
        <v>42328</v>
      </c>
      <c r="B396" s="165">
        <v>8.657</v>
      </c>
      <c r="C396" s="159">
        <v>42356</v>
      </c>
      <c r="D396" s="160">
        <v>2.1970000000000001</v>
      </c>
    </row>
    <row r="397" spans="1:4" x14ac:dyDescent="0.25">
      <c r="A397" s="159">
        <v>42321</v>
      </c>
      <c r="B397" s="165">
        <v>8.67</v>
      </c>
      <c r="C397" s="159">
        <v>42349</v>
      </c>
      <c r="D397" s="160">
        <v>2.1389999999999998</v>
      </c>
    </row>
    <row r="398" spans="1:4" x14ac:dyDescent="0.25">
      <c r="A398" s="159">
        <v>42314</v>
      </c>
      <c r="B398" s="165">
        <v>8.6349999999999998</v>
      </c>
      <c r="C398" s="159">
        <v>42342</v>
      </c>
      <c r="D398" s="160">
        <v>2.2749999999999999</v>
      </c>
    </row>
    <row r="399" spans="1:4" x14ac:dyDescent="0.25">
      <c r="A399" s="159">
        <v>42307</v>
      </c>
      <c r="B399" s="165">
        <v>8.8030000000000008</v>
      </c>
      <c r="C399" s="159">
        <v>42335</v>
      </c>
      <c r="D399" s="160">
        <v>2.2250000000000001</v>
      </c>
    </row>
    <row r="400" spans="1:4" x14ac:dyDescent="0.25">
      <c r="A400" s="159">
        <v>42300</v>
      </c>
      <c r="B400" s="165">
        <v>8.7050000000000001</v>
      </c>
      <c r="C400" s="159">
        <v>42328</v>
      </c>
      <c r="D400" s="160">
        <v>2.262</v>
      </c>
    </row>
    <row r="401" spans="1:4" x14ac:dyDescent="0.25">
      <c r="A401" s="159">
        <v>42293</v>
      </c>
      <c r="B401" s="165">
        <v>8.6820000000000004</v>
      </c>
      <c r="C401" s="159">
        <v>42321</v>
      </c>
      <c r="D401" s="160">
        <v>2.2799999999999998</v>
      </c>
    </row>
    <row r="402" spans="1:4" x14ac:dyDescent="0.25">
      <c r="A402" s="159">
        <v>42286</v>
      </c>
      <c r="B402" s="165">
        <v>8.6989999999999998</v>
      </c>
      <c r="C402" s="159">
        <v>42314</v>
      </c>
      <c r="D402" s="160">
        <v>2.3330000000000002</v>
      </c>
    </row>
    <row r="403" spans="1:4" x14ac:dyDescent="0.25">
      <c r="A403" s="159">
        <v>42279</v>
      </c>
      <c r="B403" s="165">
        <v>9.3699999999999992</v>
      </c>
      <c r="C403" s="159">
        <v>42307</v>
      </c>
      <c r="D403" s="160">
        <v>2.1509999999999998</v>
      </c>
    </row>
    <row r="404" spans="1:4" x14ac:dyDescent="0.25">
      <c r="A404" s="159">
        <v>42272</v>
      </c>
      <c r="B404" s="165">
        <v>9.5090000000000003</v>
      </c>
      <c r="C404" s="159">
        <v>42300</v>
      </c>
      <c r="D404" s="160">
        <v>2.0830000000000002</v>
      </c>
    </row>
    <row r="405" spans="1:4" x14ac:dyDescent="0.25">
      <c r="A405" s="159">
        <v>42265</v>
      </c>
      <c r="B405" s="165">
        <v>9.1080000000000005</v>
      </c>
      <c r="C405" s="159">
        <v>42293</v>
      </c>
      <c r="D405" s="160">
        <v>2.0230000000000001</v>
      </c>
    </row>
    <row r="406" spans="1:4" x14ac:dyDescent="0.25">
      <c r="A406" s="159">
        <v>42258</v>
      </c>
      <c r="B406" s="165">
        <v>9.2539999999999996</v>
      </c>
      <c r="C406" s="159">
        <v>42286</v>
      </c>
      <c r="D406" s="160">
        <v>2.0990000000000002</v>
      </c>
    </row>
    <row r="407" spans="1:4" x14ac:dyDescent="0.25">
      <c r="A407" s="159">
        <v>42251</v>
      </c>
      <c r="B407" s="165">
        <v>8.9309999999999992</v>
      </c>
      <c r="C407" s="159">
        <v>42279</v>
      </c>
      <c r="D407" s="160">
        <v>1.9890000000000001</v>
      </c>
    </row>
    <row r="408" spans="1:4" x14ac:dyDescent="0.25">
      <c r="A408" s="159">
        <v>42244</v>
      </c>
      <c r="B408" s="165">
        <v>8.7460000000000004</v>
      </c>
      <c r="C408" s="159">
        <v>42272</v>
      </c>
      <c r="D408" s="160">
        <v>2.1680000000000001</v>
      </c>
    </row>
    <row r="409" spans="1:4" x14ac:dyDescent="0.25">
      <c r="A409" s="159">
        <v>42237</v>
      </c>
      <c r="B409" s="165">
        <v>8.8810000000000002</v>
      </c>
      <c r="C409" s="159">
        <v>42265</v>
      </c>
      <c r="D409" s="160">
        <v>2.1320000000000001</v>
      </c>
    </row>
    <row r="410" spans="1:4" x14ac:dyDescent="0.25">
      <c r="A410" s="159">
        <v>42230</v>
      </c>
      <c r="B410" s="165">
        <v>8.6880000000000006</v>
      </c>
      <c r="C410" s="159">
        <v>42258</v>
      </c>
      <c r="D410" s="160">
        <v>2.1829999999999998</v>
      </c>
    </row>
    <row r="411" spans="1:4" x14ac:dyDescent="0.25">
      <c r="A411" s="159">
        <v>42223</v>
      </c>
      <c r="B411" s="165">
        <v>8.4559999999999995</v>
      </c>
      <c r="C411" s="159">
        <v>42251</v>
      </c>
      <c r="D411" s="160">
        <v>2.1280000000000001</v>
      </c>
    </row>
    <row r="412" spans="1:4" x14ac:dyDescent="0.25">
      <c r="A412" s="159">
        <v>42216</v>
      </c>
      <c r="B412" s="165">
        <v>8.6029999999999998</v>
      </c>
      <c r="C412" s="159">
        <v>42244</v>
      </c>
      <c r="D412" s="160">
        <v>2.1840000000000002</v>
      </c>
    </row>
    <row r="413" spans="1:4" x14ac:dyDescent="0.25">
      <c r="A413" s="159">
        <v>42209</v>
      </c>
      <c r="B413" s="165">
        <v>8.2799999999999994</v>
      </c>
      <c r="C413" s="159">
        <v>42237</v>
      </c>
      <c r="D413" s="160">
        <v>2.0499999999999998</v>
      </c>
    </row>
    <row r="414" spans="1:4" x14ac:dyDescent="0.25">
      <c r="A414" s="159">
        <v>42202</v>
      </c>
      <c r="B414" s="165">
        <v>8.3000000000000007</v>
      </c>
      <c r="C414" s="159">
        <v>42230</v>
      </c>
      <c r="D414" s="160">
        <v>2.198</v>
      </c>
    </row>
    <row r="415" spans="1:4" x14ac:dyDescent="0.25">
      <c r="A415" s="159">
        <v>42195</v>
      </c>
      <c r="B415" s="165">
        <v>8.3930000000000007</v>
      </c>
      <c r="C415" s="159">
        <v>42223</v>
      </c>
      <c r="D415" s="160">
        <v>2.1749999999999998</v>
      </c>
    </row>
    <row r="416" spans="1:4" x14ac:dyDescent="0.25">
      <c r="A416" s="159">
        <v>42188</v>
      </c>
      <c r="B416" s="165">
        <v>8.2680000000000007</v>
      </c>
      <c r="C416" s="159">
        <v>42216</v>
      </c>
      <c r="D416" s="160">
        <v>2.2050000000000001</v>
      </c>
    </row>
    <row r="417" spans="1:4" x14ac:dyDescent="0.25">
      <c r="A417" s="159">
        <v>42181</v>
      </c>
      <c r="B417" s="165">
        <v>8.3119999999999994</v>
      </c>
      <c r="C417" s="159">
        <v>42209</v>
      </c>
      <c r="D417" s="160">
        <v>2.2730000000000001</v>
      </c>
    </row>
    <row r="418" spans="1:4" x14ac:dyDescent="0.25">
      <c r="A418" s="159">
        <v>42174</v>
      </c>
      <c r="B418" s="165">
        <v>8.4700000000000006</v>
      </c>
      <c r="C418" s="159">
        <v>42202</v>
      </c>
      <c r="D418" s="160">
        <v>2.3490000000000002</v>
      </c>
    </row>
    <row r="419" spans="1:4" x14ac:dyDescent="0.25">
      <c r="A419" s="159">
        <v>42167</v>
      </c>
      <c r="B419" s="165">
        <v>8.673</v>
      </c>
      <c r="C419" s="159">
        <v>42195</v>
      </c>
      <c r="D419" s="160">
        <v>2.415</v>
      </c>
    </row>
    <row r="420" spans="1:4" x14ac:dyDescent="0.25">
      <c r="A420" s="159">
        <v>42160</v>
      </c>
      <c r="B420" s="165">
        <v>8.4450000000000003</v>
      </c>
      <c r="C420" s="159">
        <v>42188</v>
      </c>
      <c r="D420" s="160">
        <v>2.391</v>
      </c>
    </row>
    <row r="421" spans="1:4" x14ac:dyDescent="0.25">
      <c r="A421" s="159">
        <v>42153</v>
      </c>
      <c r="B421" s="165">
        <v>8.1660000000000004</v>
      </c>
      <c r="C421" s="159">
        <v>42181</v>
      </c>
      <c r="D421" s="160">
        <v>2.476</v>
      </c>
    </row>
    <row r="422" spans="1:4" x14ac:dyDescent="0.25">
      <c r="A422" s="159">
        <v>42146</v>
      </c>
      <c r="B422" s="165">
        <v>8.0860000000000003</v>
      </c>
      <c r="C422" s="159">
        <v>42174</v>
      </c>
      <c r="D422" s="160">
        <v>2.2669999999999999</v>
      </c>
    </row>
    <row r="423" spans="1:4" x14ac:dyDescent="0.25">
      <c r="A423" s="159">
        <v>42139</v>
      </c>
      <c r="B423" s="165">
        <v>8.0909999999999993</v>
      </c>
      <c r="C423" s="159">
        <v>42167</v>
      </c>
      <c r="D423" s="160">
        <v>2.3849999999999998</v>
      </c>
    </row>
    <row r="424" spans="1:4" x14ac:dyDescent="0.25">
      <c r="A424" s="159">
        <v>42132</v>
      </c>
      <c r="B424" s="165">
        <v>8.2010000000000005</v>
      </c>
      <c r="C424" s="159">
        <v>42160</v>
      </c>
      <c r="D424" s="160">
        <v>2.4</v>
      </c>
    </row>
    <row r="425" spans="1:4" x14ac:dyDescent="0.25">
      <c r="A425" s="159">
        <v>42125</v>
      </c>
      <c r="B425" s="165">
        <v>7.6920000000000002</v>
      </c>
      <c r="C425" s="159">
        <v>42153</v>
      </c>
      <c r="D425" s="160">
        <v>2.0950000000000002</v>
      </c>
    </row>
    <row r="426" spans="1:4" x14ac:dyDescent="0.25">
      <c r="A426" s="159">
        <v>42118</v>
      </c>
      <c r="B426" s="165">
        <v>7.5209999999999999</v>
      </c>
      <c r="C426" s="159">
        <v>42146</v>
      </c>
      <c r="D426" s="160">
        <v>2.2290000000000001</v>
      </c>
    </row>
    <row r="427" spans="1:4" x14ac:dyDescent="0.25">
      <c r="A427" s="159">
        <v>42111</v>
      </c>
      <c r="B427" s="165">
        <v>7.54</v>
      </c>
      <c r="C427" s="159">
        <v>42139</v>
      </c>
      <c r="D427" s="160">
        <v>2.141</v>
      </c>
    </row>
    <row r="428" spans="1:4" x14ac:dyDescent="0.25">
      <c r="A428" s="159">
        <v>42104</v>
      </c>
      <c r="B428" s="165">
        <v>7.2320000000000002</v>
      </c>
      <c r="C428" s="159">
        <v>42132</v>
      </c>
      <c r="D428" s="160">
        <v>2.15</v>
      </c>
    </row>
    <row r="429" spans="1:4" x14ac:dyDescent="0.25">
      <c r="A429" s="159">
        <v>42097</v>
      </c>
      <c r="B429" s="165">
        <v>7.39</v>
      </c>
      <c r="C429" s="159">
        <v>42125</v>
      </c>
      <c r="D429" s="160">
        <v>2.117</v>
      </c>
    </row>
    <row r="430" spans="1:4" x14ac:dyDescent="0.25">
      <c r="A430" s="159">
        <v>42090</v>
      </c>
      <c r="B430" s="165">
        <v>7.3040000000000003</v>
      </c>
      <c r="C430" s="159">
        <v>42118</v>
      </c>
      <c r="D430" s="160">
        <v>1.917</v>
      </c>
    </row>
    <row r="431" spans="1:4" x14ac:dyDescent="0.25">
      <c r="A431" s="159">
        <v>42083</v>
      </c>
      <c r="B431" s="165">
        <v>7.3529999999999998</v>
      </c>
      <c r="C431" s="159">
        <v>42111</v>
      </c>
      <c r="D431" s="160">
        <v>1.85</v>
      </c>
    </row>
    <row r="432" spans="1:4" x14ac:dyDescent="0.25">
      <c r="A432" s="159">
        <v>42076</v>
      </c>
      <c r="B432" s="165">
        <v>7.4219999999999997</v>
      </c>
      <c r="C432" s="159">
        <v>42104</v>
      </c>
      <c r="D432" s="160">
        <v>1.9530000000000001</v>
      </c>
    </row>
    <row r="433" spans="1:4" x14ac:dyDescent="0.25">
      <c r="A433" s="159">
        <v>42069</v>
      </c>
      <c r="B433" s="165">
        <v>7.3259999999999996</v>
      </c>
      <c r="C433" s="159">
        <v>42097</v>
      </c>
      <c r="D433" s="160">
        <v>1.8420000000000001</v>
      </c>
    </row>
    <row r="434" spans="1:4" x14ac:dyDescent="0.25">
      <c r="A434" s="159">
        <v>42062</v>
      </c>
      <c r="B434" s="165">
        <v>6.9020000000000001</v>
      </c>
      <c r="C434" s="159">
        <v>42090</v>
      </c>
      <c r="D434" s="160">
        <v>1.948</v>
      </c>
    </row>
    <row r="435" spans="1:4" x14ac:dyDescent="0.25">
      <c r="A435" s="159">
        <v>42055</v>
      </c>
      <c r="B435" s="165">
        <v>7.0880000000000001</v>
      </c>
      <c r="C435" s="159">
        <v>42083</v>
      </c>
      <c r="D435" s="160">
        <v>1.93</v>
      </c>
    </row>
    <row r="436" spans="1:4" x14ac:dyDescent="0.25">
      <c r="A436" s="159">
        <v>42048</v>
      </c>
      <c r="B436" s="165">
        <v>7.42</v>
      </c>
      <c r="C436" s="159">
        <v>42076</v>
      </c>
      <c r="D436" s="160">
        <v>2.11</v>
      </c>
    </row>
    <row r="437" spans="1:4" x14ac:dyDescent="0.25">
      <c r="A437" s="159">
        <v>42041</v>
      </c>
      <c r="B437" s="165">
        <v>7.0419999999999998</v>
      </c>
      <c r="C437" s="159">
        <v>42069</v>
      </c>
      <c r="D437" s="160">
        <v>2.2400000000000002</v>
      </c>
    </row>
    <row r="438" spans="1:4" x14ac:dyDescent="0.25">
      <c r="A438" s="159">
        <v>42034</v>
      </c>
      <c r="B438" s="165">
        <v>7.0410000000000004</v>
      </c>
      <c r="C438" s="159">
        <v>42062</v>
      </c>
      <c r="D438" s="160">
        <v>2.0019999999999998</v>
      </c>
    </row>
    <row r="439" spans="1:4" x14ac:dyDescent="0.25">
      <c r="A439" s="159">
        <v>42027</v>
      </c>
      <c r="B439" s="165">
        <v>7.1219999999999999</v>
      </c>
      <c r="C439" s="159">
        <v>42055</v>
      </c>
      <c r="D439" s="160">
        <v>2.133</v>
      </c>
    </row>
    <row r="440" spans="1:4" x14ac:dyDescent="0.25">
      <c r="A440" s="159">
        <v>42020</v>
      </c>
      <c r="B440" s="165">
        <v>7.6040000000000001</v>
      </c>
      <c r="C440" s="159">
        <v>42048</v>
      </c>
      <c r="D440" s="160">
        <v>2.0209999999999999</v>
      </c>
    </row>
    <row r="441" spans="1:4" x14ac:dyDescent="0.25">
      <c r="A441" s="159">
        <v>42013</v>
      </c>
      <c r="B441" s="165">
        <v>7.7370000000000001</v>
      </c>
      <c r="C441" s="159">
        <v>42041</v>
      </c>
      <c r="D441" s="160">
        <v>1.9379999999999999</v>
      </c>
    </row>
    <row r="442" spans="1:4" x14ac:dyDescent="0.25">
      <c r="A442" s="159">
        <v>42006</v>
      </c>
      <c r="B442" s="165">
        <v>7.8129999999999997</v>
      </c>
      <c r="C442" s="159">
        <v>42034</v>
      </c>
      <c r="D442" s="160">
        <v>1.68</v>
      </c>
    </row>
    <row r="443" spans="1:4" x14ac:dyDescent="0.25">
      <c r="A443" s="159">
        <v>41999</v>
      </c>
      <c r="B443" s="165">
        <v>7.8650000000000002</v>
      </c>
      <c r="C443" s="159">
        <v>42027</v>
      </c>
      <c r="D443" s="160">
        <v>1.8180000000000001</v>
      </c>
    </row>
    <row r="444" spans="1:4" x14ac:dyDescent="0.25">
      <c r="A444" s="159">
        <v>41992</v>
      </c>
      <c r="B444" s="165">
        <v>8.1029999999999998</v>
      </c>
      <c r="C444" s="159">
        <v>42020</v>
      </c>
      <c r="D444" s="160">
        <v>1.8149999999999999</v>
      </c>
    </row>
    <row r="445" spans="1:4" x14ac:dyDescent="0.25">
      <c r="A445" s="159">
        <v>41985</v>
      </c>
      <c r="B445" s="165">
        <v>8.0869999999999997</v>
      </c>
      <c r="C445" s="159">
        <v>42013</v>
      </c>
      <c r="D445" s="160">
        <v>1.9690000000000001</v>
      </c>
    </row>
    <row r="446" spans="1:4" x14ac:dyDescent="0.25">
      <c r="A446" s="159">
        <v>41978</v>
      </c>
      <c r="B446" s="165">
        <v>7.8540000000000001</v>
      </c>
      <c r="C446" s="159">
        <v>42006</v>
      </c>
      <c r="D446" s="160">
        <v>2.1230000000000002</v>
      </c>
    </row>
    <row r="447" spans="1:4" x14ac:dyDescent="0.25">
      <c r="A447" s="159">
        <v>41971</v>
      </c>
      <c r="B447" s="165">
        <v>7.6959999999999997</v>
      </c>
      <c r="C447" s="159">
        <v>41999</v>
      </c>
      <c r="D447" s="160">
        <v>2.25</v>
      </c>
    </row>
    <row r="448" spans="1:4" x14ac:dyDescent="0.25">
      <c r="A448" s="159">
        <v>41964</v>
      </c>
      <c r="B448" s="165">
        <v>7.8070000000000004</v>
      </c>
      <c r="C448" s="159">
        <v>41992</v>
      </c>
      <c r="D448" s="160">
        <v>2.1760000000000002</v>
      </c>
    </row>
    <row r="449" spans="1:4" x14ac:dyDescent="0.25">
      <c r="A449" s="159">
        <v>41957</v>
      </c>
      <c r="B449" s="165">
        <v>7.944</v>
      </c>
      <c r="C449" s="159">
        <v>41985</v>
      </c>
      <c r="D449" s="160">
        <v>2.1030000000000002</v>
      </c>
    </row>
    <row r="450" spans="1:4" x14ac:dyDescent="0.25">
      <c r="A450" s="159">
        <v>41950</v>
      </c>
      <c r="B450" s="165">
        <v>7.9969999999999999</v>
      </c>
      <c r="C450" s="159">
        <v>41978</v>
      </c>
      <c r="D450" s="160">
        <v>2.3069999999999999</v>
      </c>
    </row>
    <row r="451" spans="1:4" x14ac:dyDescent="0.25">
      <c r="A451" s="159">
        <v>41943</v>
      </c>
      <c r="B451" s="165">
        <v>8.0489999999999995</v>
      </c>
      <c r="C451" s="159">
        <v>41971</v>
      </c>
      <c r="D451" s="160">
        <v>2.1960000000000002</v>
      </c>
    </row>
    <row r="452" spans="1:4" x14ac:dyDescent="0.25">
      <c r="A452" s="159">
        <v>41936</v>
      </c>
      <c r="B452" s="165">
        <v>8.01</v>
      </c>
      <c r="C452" s="159">
        <v>41964</v>
      </c>
      <c r="D452" s="160">
        <v>2.3149999999999999</v>
      </c>
    </row>
    <row r="453" spans="1:4" x14ac:dyDescent="0.25">
      <c r="A453" s="159">
        <v>41929</v>
      </c>
      <c r="B453" s="165">
        <v>8.327</v>
      </c>
      <c r="C453" s="159">
        <v>41957</v>
      </c>
      <c r="D453" s="160">
        <v>2.3199999999999998</v>
      </c>
    </row>
    <row r="454" spans="1:4" x14ac:dyDescent="0.25">
      <c r="A454" s="159">
        <v>41922</v>
      </c>
      <c r="B454" s="165">
        <v>8.3659999999999997</v>
      </c>
      <c r="C454" s="159">
        <v>41950</v>
      </c>
      <c r="D454" s="160">
        <v>2.3119999999999998</v>
      </c>
    </row>
    <row r="455" spans="1:4" x14ac:dyDescent="0.25">
      <c r="A455" s="159">
        <v>41915</v>
      </c>
      <c r="B455" s="165">
        <v>8.4550000000000001</v>
      </c>
      <c r="C455" s="159">
        <v>41943</v>
      </c>
      <c r="D455" s="160">
        <v>2.335</v>
      </c>
    </row>
    <row r="456" spans="1:4" x14ac:dyDescent="0.25">
      <c r="A456" s="159">
        <v>41908</v>
      </c>
      <c r="B456" s="165">
        <v>8.2200000000000006</v>
      </c>
      <c r="C456" s="159">
        <v>41936</v>
      </c>
      <c r="D456" s="160">
        <v>2.2730000000000001</v>
      </c>
    </row>
    <row r="457" spans="1:4" x14ac:dyDescent="0.25">
      <c r="A457" s="159">
        <v>41901</v>
      </c>
      <c r="B457" s="165">
        <v>8.1850000000000005</v>
      </c>
      <c r="C457" s="159">
        <v>41929</v>
      </c>
      <c r="D457" s="160">
        <v>2.1989999999999998</v>
      </c>
    </row>
    <row r="458" spans="1:4" x14ac:dyDescent="0.25">
      <c r="A458" s="159">
        <v>41894</v>
      </c>
      <c r="B458" s="165">
        <v>8.17</v>
      </c>
      <c r="C458" s="159">
        <v>41922</v>
      </c>
      <c r="D458" s="160">
        <v>2.3050000000000002</v>
      </c>
    </row>
    <row r="459" spans="1:4" x14ac:dyDescent="0.25">
      <c r="A459" s="159">
        <v>41887</v>
      </c>
      <c r="B459" s="165">
        <v>7.976</v>
      </c>
      <c r="C459" s="159">
        <v>41915</v>
      </c>
      <c r="D459" s="160">
        <v>2.4470000000000001</v>
      </c>
    </row>
    <row r="460" spans="1:4" x14ac:dyDescent="0.25">
      <c r="A460" s="159">
        <v>41880</v>
      </c>
      <c r="B460" s="165">
        <v>8.2200000000000006</v>
      </c>
      <c r="C460" s="159">
        <v>41908</v>
      </c>
      <c r="D460" s="160">
        <v>2.5350000000000001</v>
      </c>
    </row>
    <row r="461" spans="1:4" x14ac:dyDescent="0.25">
      <c r="A461" s="159">
        <v>41873</v>
      </c>
      <c r="B461" s="165">
        <v>8.2739999999999991</v>
      </c>
      <c r="C461" s="159">
        <v>41901</v>
      </c>
      <c r="D461" s="160">
        <v>2.5870000000000002</v>
      </c>
    </row>
    <row r="462" spans="1:4" x14ac:dyDescent="0.25">
      <c r="A462" s="159">
        <v>41866</v>
      </c>
      <c r="B462" s="165">
        <v>8.2089999999999996</v>
      </c>
      <c r="C462" s="159">
        <v>41894</v>
      </c>
      <c r="D462" s="160">
        <v>2.6139999999999999</v>
      </c>
    </row>
    <row r="463" spans="1:4" x14ac:dyDescent="0.25">
      <c r="A463" s="159">
        <v>41859</v>
      </c>
      <c r="B463" s="165">
        <v>8.2829999999999995</v>
      </c>
      <c r="C463" s="159">
        <v>41887</v>
      </c>
      <c r="D463" s="160">
        <v>2.46</v>
      </c>
    </row>
    <row r="464" spans="1:4" x14ac:dyDescent="0.25">
      <c r="A464" s="159">
        <v>41852</v>
      </c>
      <c r="B464" s="165">
        <v>8.0250000000000004</v>
      </c>
      <c r="C464" s="159">
        <v>41880</v>
      </c>
      <c r="D464" s="160">
        <v>2.3450000000000002</v>
      </c>
    </row>
    <row r="465" spans="1:4" x14ac:dyDescent="0.25">
      <c r="A465" s="159">
        <v>41845</v>
      </c>
      <c r="B465" s="165">
        <v>8.0250000000000004</v>
      </c>
      <c r="C465" s="159">
        <v>41873</v>
      </c>
      <c r="D465" s="160">
        <v>2.403</v>
      </c>
    </row>
    <row r="466" spans="1:4" x14ac:dyDescent="0.25">
      <c r="A466" s="159">
        <v>41838</v>
      </c>
      <c r="B466" s="165">
        <v>8.06</v>
      </c>
      <c r="C466" s="159">
        <v>41866</v>
      </c>
      <c r="D466" s="160">
        <v>2.3450000000000002</v>
      </c>
    </row>
    <row r="467" spans="1:4" x14ac:dyDescent="0.25">
      <c r="A467" s="159">
        <v>41831</v>
      </c>
      <c r="B467" s="165">
        <v>8.0630000000000006</v>
      </c>
      <c r="C467" s="159">
        <v>41859</v>
      </c>
      <c r="D467" s="160">
        <v>2.415</v>
      </c>
    </row>
    <row r="468" spans="1:4" x14ac:dyDescent="0.25">
      <c r="A468" s="159">
        <v>41824</v>
      </c>
      <c r="B468" s="165">
        <v>8.1349999999999998</v>
      </c>
      <c r="C468" s="159">
        <v>41852</v>
      </c>
      <c r="D468" s="160">
        <v>2.5049999999999999</v>
      </c>
    </row>
    <row r="469" spans="1:4" x14ac:dyDescent="0.25">
      <c r="A469" s="159">
        <v>41817</v>
      </c>
      <c r="B469" s="165">
        <v>8.2940000000000005</v>
      </c>
      <c r="C469" s="159">
        <v>41845</v>
      </c>
      <c r="D469" s="160">
        <v>2.4689999999999999</v>
      </c>
    </row>
    <row r="470" spans="1:4" x14ac:dyDescent="0.25">
      <c r="A470" s="159">
        <v>41810</v>
      </c>
      <c r="B470" s="165">
        <v>8.1050000000000004</v>
      </c>
      <c r="C470" s="159">
        <v>41838</v>
      </c>
      <c r="D470" s="160">
        <v>2.484</v>
      </c>
    </row>
    <row r="471" spans="1:4" x14ac:dyDescent="0.25">
      <c r="A471" s="159">
        <v>41803</v>
      </c>
      <c r="B471" s="165">
        <v>8.0169999999999995</v>
      </c>
      <c r="C471" s="159">
        <v>41831</v>
      </c>
      <c r="D471" s="160">
        <v>2.52</v>
      </c>
    </row>
    <row r="472" spans="1:4" x14ac:dyDescent="0.25">
      <c r="A472" s="159">
        <v>41796</v>
      </c>
      <c r="B472" s="165">
        <v>8.016</v>
      </c>
      <c r="C472" s="159">
        <v>41824</v>
      </c>
      <c r="D472" s="160">
        <v>2.6480000000000001</v>
      </c>
    </row>
    <row r="473" spans="1:4" x14ac:dyDescent="0.25">
      <c r="A473" s="159">
        <v>41789</v>
      </c>
      <c r="B473" s="165">
        <v>8.0609999999999999</v>
      </c>
      <c r="C473" s="159">
        <v>41817</v>
      </c>
      <c r="D473" s="160">
        <v>2.532</v>
      </c>
    </row>
    <row r="474" spans="1:4" x14ac:dyDescent="0.25">
      <c r="A474" s="159">
        <v>41782</v>
      </c>
      <c r="B474" s="165">
        <v>8.0220000000000002</v>
      </c>
      <c r="C474" s="159">
        <v>41810</v>
      </c>
      <c r="D474" s="160">
        <v>2.6240000000000001</v>
      </c>
    </row>
    <row r="475" spans="1:4" x14ac:dyDescent="0.25">
      <c r="A475" s="159">
        <v>41775</v>
      </c>
      <c r="B475" s="165">
        <v>7.9169999999999998</v>
      </c>
      <c r="C475" s="159">
        <v>41803</v>
      </c>
      <c r="D475" s="160">
        <v>2.6040000000000001</v>
      </c>
    </row>
    <row r="476" spans="1:4" x14ac:dyDescent="0.25">
      <c r="A476" s="159">
        <v>41768</v>
      </c>
      <c r="B476" s="165">
        <v>8.048</v>
      </c>
      <c r="C476" s="159">
        <v>41796</v>
      </c>
      <c r="D476" s="160">
        <v>2.597</v>
      </c>
    </row>
    <row r="477" spans="1:4" x14ac:dyDescent="0.25">
      <c r="A477" s="159">
        <v>41761</v>
      </c>
      <c r="B477" s="165">
        <v>7.9459999999999997</v>
      </c>
      <c r="C477" s="159">
        <v>41789</v>
      </c>
      <c r="D477" s="160">
        <v>2.4569999999999999</v>
      </c>
    </row>
    <row r="478" spans="1:4" x14ac:dyDescent="0.25">
      <c r="A478" s="159">
        <v>41754</v>
      </c>
      <c r="B478" s="165">
        <v>7.9710000000000001</v>
      </c>
      <c r="C478" s="159">
        <v>41782</v>
      </c>
      <c r="D478" s="160">
        <v>2.5339999999999998</v>
      </c>
    </row>
    <row r="479" spans="1:4" x14ac:dyDescent="0.25">
      <c r="A479" s="159">
        <v>41747</v>
      </c>
      <c r="B479" s="165">
        <v>7.9050000000000002</v>
      </c>
      <c r="C479" s="159">
        <v>41775</v>
      </c>
      <c r="D479" s="160">
        <v>2.5179999999999998</v>
      </c>
    </row>
    <row r="480" spans="1:4" x14ac:dyDescent="0.25">
      <c r="A480" s="159">
        <v>41740</v>
      </c>
      <c r="B480" s="165">
        <v>7.8570000000000002</v>
      </c>
      <c r="C480" s="159">
        <v>41768</v>
      </c>
      <c r="D480" s="160">
        <v>2.6230000000000002</v>
      </c>
    </row>
    <row r="481" spans="1:4" x14ac:dyDescent="0.25">
      <c r="A481" s="159">
        <v>41733</v>
      </c>
      <c r="B481" s="165">
        <v>7.883</v>
      </c>
      <c r="C481" s="159">
        <v>41761</v>
      </c>
      <c r="D481" s="160">
        <v>2.593</v>
      </c>
    </row>
    <row r="482" spans="1:4" x14ac:dyDescent="0.25">
      <c r="A482" s="159">
        <v>41726</v>
      </c>
      <c r="B482" s="165">
        <v>7.9690000000000003</v>
      </c>
      <c r="C482" s="159">
        <v>41754</v>
      </c>
      <c r="D482" s="160">
        <v>2.6659999999999999</v>
      </c>
    </row>
    <row r="483" spans="1:4" x14ac:dyDescent="0.25">
      <c r="A483" s="159">
        <v>41719</v>
      </c>
      <c r="B483" s="165">
        <v>8.0709999999999997</v>
      </c>
      <c r="C483" s="159">
        <v>41747</v>
      </c>
      <c r="D483" s="160">
        <v>2.7210000000000001</v>
      </c>
    </row>
    <row r="484" spans="1:4" x14ac:dyDescent="0.25">
      <c r="A484" s="159">
        <v>41712</v>
      </c>
      <c r="B484" s="165">
        <v>8.0419999999999998</v>
      </c>
      <c r="C484" s="159">
        <v>41740</v>
      </c>
      <c r="D484" s="160">
        <v>2.6190000000000002</v>
      </c>
    </row>
    <row r="485" spans="1:4" x14ac:dyDescent="0.25">
      <c r="A485" s="159">
        <v>41705</v>
      </c>
      <c r="B485" s="165">
        <v>8.0419999999999998</v>
      </c>
      <c r="C485" s="159">
        <v>41733</v>
      </c>
      <c r="D485" s="160">
        <v>2.726</v>
      </c>
    </row>
    <row r="486" spans="1:4" x14ac:dyDescent="0.25">
      <c r="A486" s="159">
        <v>41698</v>
      </c>
      <c r="B486" s="165">
        <v>8.3889999999999993</v>
      </c>
      <c r="C486" s="159">
        <v>41726</v>
      </c>
      <c r="D486" s="160">
        <v>2.7120000000000002</v>
      </c>
    </row>
    <row r="487" spans="1:4" x14ac:dyDescent="0.25">
      <c r="A487" s="159">
        <v>41691</v>
      </c>
      <c r="B487" s="165">
        <v>8.3420000000000005</v>
      </c>
      <c r="C487" s="159">
        <v>41719</v>
      </c>
      <c r="D487" s="160">
        <v>2.75</v>
      </c>
    </row>
    <row r="488" spans="1:4" x14ac:dyDescent="0.25">
      <c r="A488" s="159">
        <v>41684</v>
      </c>
      <c r="B488" s="165">
        <v>8.7100000000000009</v>
      </c>
      <c r="C488" s="159">
        <v>41712</v>
      </c>
      <c r="D488" s="160">
        <v>2.645</v>
      </c>
    </row>
    <row r="489" spans="1:4" x14ac:dyDescent="0.25">
      <c r="A489" s="159">
        <v>41677</v>
      </c>
      <c r="B489" s="165">
        <v>9.0250000000000004</v>
      </c>
      <c r="C489" s="159">
        <v>41705</v>
      </c>
      <c r="D489" s="160">
        <v>2.7919999999999998</v>
      </c>
    </row>
    <row r="490" spans="1:4" x14ac:dyDescent="0.25">
      <c r="A490" s="159">
        <v>41670</v>
      </c>
      <c r="B490" s="165">
        <v>8.8870000000000005</v>
      </c>
      <c r="C490" s="159">
        <v>41698</v>
      </c>
      <c r="D490" s="160">
        <v>2.66</v>
      </c>
    </row>
    <row r="491" spans="1:4" x14ac:dyDescent="0.25">
      <c r="A491" s="159">
        <v>41663</v>
      </c>
      <c r="B491" s="165">
        <v>8.7880000000000003</v>
      </c>
      <c r="C491" s="159">
        <v>41691</v>
      </c>
      <c r="D491" s="160">
        <v>2.734</v>
      </c>
    </row>
    <row r="492" spans="1:4" x14ac:dyDescent="0.25">
      <c r="A492" s="159">
        <v>41656</v>
      </c>
      <c r="B492" s="165">
        <v>8.4510000000000005</v>
      </c>
      <c r="C492" s="159">
        <v>41684</v>
      </c>
      <c r="D492" s="160">
        <v>2.7450000000000001</v>
      </c>
    </row>
    <row r="493" spans="1:4" x14ac:dyDescent="0.25">
      <c r="A493" s="159">
        <v>41649</v>
      </c>
      <c r="B493" s="165">
        <v>8.8360000000000003</v>
      </c>
      <c r="C493" s="159">
        <v>41677</v>
      </c>
      <c r="D493" s="160">
        <v>2.6749999999999998</v>
      </c>
    </row>
    <row r="494" spans="1:4" x14ac:dyDescent="0.25">
      <c r="A494" s="159">
        <v>41642</v>
      </c>
      <c r="B494" s="165">
        <v>8.5500000000000007</v>
      </c>
      <c r="C494" s="159">
        <v>41670</v>
      </c>
      <c r="D494" s="160">
        <v>2.6659999999999999</v>
      </c>
    </row>
    <row r="495" spans="1:4" x14ac:dyDescent="0.25">
      <c r="A495" s="159">
        <v>41635</v>
      </c>
      <c r="B495" s="165">
        <v>8.5069999999999997</v>
      </c>
      <c r="C495" s="159">
        <v>41663</v>
      </c>
      <c r="D495" s="160">
        <v>2.7349999999999999</v>
      </c>
    </row>
    <row r="496" spans="1:4" x14ac:dyDescent="0.25">
      <c r="A496" s="159">
        <v>41628</v>
      </c>
      <c r="B496" s="165">
        <v>8.4580000000000002</v>
      </c>
      <c r="C496" s="159">
        <v>41656</v>
      </c>
      <c r="D496" s="160">
        <v>2.827</v>
      </c>
    </row>
    <row r="497" spans="1:4" x14ac:dyDescent="0.25">
      <c r="A497" s="159">
        <v>41621</v>
      </c>
      <c r="B497" s="165">
        <v>8.6319999999999997</v>
      </c>
      <c r="C497" s="159">
        <v>41649</v>
      </c>
      <c r="D497" s="160">
        <v>2.86</v>
      </c>
    </row>
    <row r="498" spans="1:4" x14ac:dyDescent="0.25">
      <c r="A498" s="159">
        <v>41614</v>
      </c>
      <c r="B498" s="165">
        <v>8.7899999999999991</v>
      </c>
      <c r="C498" s="159">
        <v>41642</v>
      </c>
      <c r="D498" s="160">
        <v>2.9950000000000001</v>
      </c>
    </row>
    <row r="499" spans="1:4" x14ac:dyDescent="0.25">
      <c r="A499" s="159">
        <v>41607</v>
      </c>
      <c r="B499" s="165">
        <v>8.6910000000000007</v>
      </c>
      <c r="C499" s="159">
        <v>41635</v>
      </c>
      <c r="D499" s="160">
        <v>3.0059999999999998</v>
      </c>
    </row>
    <row r="500" spans="1:4" x14ac:dyDescent="0.25">
      <c r="A500" s="159">
        <v>41600</v>
      </c>
      <c r="B500" s="165">
        <v>8.6389999999999993</v>
      </c>
      <c r="C500" s="159">
        <v>41628</v>
      </c>
      <c r="D500" s="160">
        <v>2.8849999999999998</v>
      </c>
    </row>
    <row r="501" spans="1:4" x14ac:dyDescent="0.25">
      <c r="A501" s="159">
        <v>41593</v>
      </c>
      <c r="B501" s="165">
        <v>8.4169999999999998</v>
      </c>
      <c r="C501" s="159">
        <v>41621</v>
      </c>
      <c r="D501" s="160">
        <v>2.8679999999999999</v>
      </c>
    </row>
    <row r="502" spans="1:4" x14ac:dyDescent="0.25">
      <c r="A502" s="159">
        <v>41586</v>
      </c>
      <c r="B502" s="165">
        <v>7.8719999999999999</v>
      </c>
      <c r="C502" s="159">
        <v>41614</v>
      </c>
      <c r="D502" s="160">
        <v>2.8809999999999998</v>
      </c>
    </row>
    <row r="503" spans="1:4" x14ac:dyDescent="0.25">
      <c r="A503" s="159">
        <v>41579</v>
      </c>
      <c r="B503" s="165">
        <v>7.5629999999999997</v>
      </c>
      <c r="C503" s="159">
        <v>41607</v>
      </c>
      <c r="D503" s="160">
        <v>2.7410000000000001</v>
      </c>
    </row>
    <row r="504" spans="1:4" x14ac:dyDescent="0.25">
      <c r="A504" s="159">
        <v>41572</v>
      </c>
      <c r="B504" s="165">
        <v>7.1260000000000003</v>
      </c>
      <c r="C504" s="159">
        <v>41600</v>
      </c>
      <c r="D504" s="160">
        <v>2.754</v>
      </c>
    </row>
    <row r="505" spans="1:4" x14ac:dyDescent="0.25">
      <c r="A505" s="159">
        <v>41565</v>
      </c>
      <c r="B505" s="165">
        <v>7.5039999999999996</v>
      </c>
      <c r="C505" s="159">
        <v>41593</v>
      </c>
      <c r="D505" s="160">
        <v>2.7069999999999999</v>
      </c>
    </row>
    <row r="506" spans="1:4" x14ac:dyDescent="0.25">
      <c r="A506" s="159">
        <v>41558</v>
      </c>
      <c r="B506" s="165">
        <v>8.0020000000000007</v>
      </c>
      <c r="C506" s="159">
        <v>41586</v>
      </c>
      <c r="D506" s="160">
        <v>2.746</v>
      </c>
    </row>
    <row r="507" spans="1:4" x14ac:dyDescent="0.25">
      <c r="A507" s="159">
        <v>41551</v>
      </c>
      <c r="B507" s="165">
        <v>8.1240000000000006</v>
      </c>
      <c r="C507" s="159">
        <v>41579</v>
      </c>
      <c r="D507" s="160">
        <v>2.62</v>
      </c>
    </row>
    <row r="508" spans="1:4" x14ac:dyDescent="0.25">
      <c r="A508" s="159">
        <v>41544</v>
      </c>
      <c r="B508" s="165">
        <v>8.2279999999999998</v>
      </c>
      <c r="C508" s="159">
        <v>41572</v>
      </c>
      <c r="D508" s="160">
        <v>2.5030000000000001</v>
      </c>
    </row>
    <row r="509" spans="1:4" x14ac:dyDescent="0.25">
      <c r="A509" s="159">
        <v>41537</v>
      </c>
      <c r="B509" s="165">
        <v>7.8840000000000003</v>
      </c>
      <c r="C509" s="159">
        <v>41565</v>
      </c>
      <c r="D509" s="160">
        <v>2.589</v>
      </c>
    </row>
    <row r="510" spans="1:4" x14ac:dyDescent="0.25">
      <c r="A510" s="159">
        <v>41530</v>
      </c>
      <c r="B510" s="165">
        <v>8.4179999999999993</v>
      </c>
      <c r="C510" s="159">
        <v>41558</v>
      </c>
      <c r="D510" s="160">
        <v>2.6819999999999999</v>
      </c>
    </row>
    <row r="511" spans="1:4" x14ac:dyDescent="0.25">
      <c r="A511" s="159">
        <v>41523</v>
      </c>
      <c r="B511" s="165">
        <v>8.8740000000000006</v>
      </c>
      <c r="C511" s="159">
        <v>41551</v>
      </c>
      <c r="D511" s="160">
        <v>2.645</v>
      </c>
    </row>
    <row r="512" spans="1:4" x14ac:dyDescent="0.25">
      <c r="A512" s="159">
        <v>41516</v>
      </c>
      <c r="B512" s="165">
        <v>8.6110000000000007</v>
      </c>
      <c r="C512" s="159">
        <v>41544</v>
      </c>
      <c r="D512" s="160">
        <v>2.6280000000000001</v>
      </c>
    </row>
    <row r="513" spans="1:4" x14ac:dyDescent="0.25">
      <c r="A513" s="159">
        <v>41509</v>
      </c>
      <c r="B513" s="165">
        <v>8.4740000000000002</v>
      </c>
      <c r="C513" s="159">
        <v>41537</v>
      </c>
      <c r="D513" s="160">
        <v>2.7360000000000002</v>
      </c>
    </row>
    <row r="514" spans="1:4" x14ac:dyDescent="0.25">
      <c r="A514" s="159">
        <v>41502</v>
      </c>
      <c r="B514" s="165">
        <v>8.1300000000000008</v>
      </c>
      <c r="C514" s="159">
        <v>41530</v>
      </c>
      <c r="D514" s="160">
        <v>2.89</v>
      </c>
    </row>
    <row r="515" spans="1:4" x14ac:dyDescent="0.25">
      <c r="A515" s="159">
        <v>41488</v>
      </c>
      <c r="B515" s="165">
        <v>7.6289999999999996</v>
      </c>
      <c r="C515" s="159">
        <v>41523</v>
      </c>
      <c r="D515" s="160">
        <v>2.9380000000000002</v>
      </c>
    </row>
    <row r="516" spans="1:4" x14ac:dyDescent="0.25">
      <c r="A516" s="159">
        <v>41481</v>
      </c>
      <c r="B516" s="165">
        <v>7.9669999999999996</v>
      </c>
      <c r="C516" s="159">
        <v>41516</v>
      </c>
      <c r="D516" s="160">
        <v>2.7890000000000001</v>
      </c>
    </row>
    <row r="517" spans="1:4" x14ac:dyDescent="0.25">
      <c r="A517" s="159">
        <v>41474</v>
      </c>
      <c r="B517" s="165">
        <v>7.9130000000000003</v>
      </c>
      <c r="C517" s="159">
        <v>41509</v>
      </c>
      <c r="D517" s="160">
        <v>2.8180000000000001</v>
      </c>
    </row>
    <row r="518" spans="1:4" x14ac:dyDescent="0.25">
      <c r="A518" s="159">
        <v>41467</v>
      </c>
      <c r="B518" s="165">
        <v>7.98</v>
      </c>
      <c r="C518" s="159">
        <v>41502</v>
      </c>
      <c r="D518" s="160">
        <v>2.8250000000000002</v>
      </c>
    </row>
    <row r="519" spans="1:4" ht="15.75" thickBot="1" x14ac:dyDescent="0.3">
      <c r="A519" s="161">
        <v>41460</v>
      </c>
      <c r="B519" s="166">
        <v>7.3789999999999996</v>
      </c>
      <c r="C519" s="159">
        <v>41495</v>
      </c>
      <c r="D519" s="160">
        <v>2.58</v>
      </c>
    </row>
    <row r="520" spans="1:4" x14ac:dyDescent="0.25">
      <c r="C520" s="159">
        <v>41488</v>
      </c>
      <c r="D520" s="160">
        <v>2.5979999999999999</v>
      </c>
    </row>
    <row r="521" spans="1:4" x14ac:dyDescent="0.25">
      <c r="C521" s="159">
        <v>41481</v>
      </c>
      <c r="D521" s="160">
        <v>2.5640000000000001</v>
      </c>
    </row>
    <row r="522" spans="1:4" x14ac:dyDescent="0.25">
      <c r="C522" s="159">
        <v>41474</v>
      </c>
      <c r="D522" s="160">
        <v>2.4820000000000002</v>
      </c>
    </row>
    <row r="523" spans="1:4" x14ac:dyDescent="0.25">
      <c r="C523" s="159">
        <v>41467</v>
      </c>
      <c r="D523" s="160">
        <v>2.5920000000000001</v>
      </c>
    </row>
    <row r="524" spans="1:4" ht="15.75" thickBot="1" x14ac:dyDescent="0.3">
      <c r="C524" s="161">
        <v>41460</v>
      </c>
      <c r="D524" s="162">
        <v>2.7360000000000002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26</vt:i4>
      </vt:variant>
    </vt:vector>
  </HeadingPairs>
  <TitlesOfParts>
    <vt:vector size="39" baseType="lpstr">
      <vt:lpstr>USDIDR</vt:lpstr>
      <vt:lpstr>USD IDR 3m FWD</vt:lpstr>
      <vt:lpstr>Current Account ID - A</vt:lpstr>
      <vt:lpstr>Current account ID - B</vt:lpstr>
      <vt:lpstr>US Current Account</vt:lpstr>
      <vt:lpstr>Trade Balance ID - US</vt:lpstr>
      <vt:lpstr>US CPI</vt:lpstr>
      <vt:lpstr>Indonesia CPI</vt:lpstr>
      <vt:lpstr>BI 7 days Repo Rate</vt:lpstr>
      <vt:lpstr>Fed Fund Target rate</vt:lpstr>
      <vt:lpstr>FX Reserve ID</vt:lpstr>
      <vt:lpstr>REER IDR</vt:lpstr>
      <vt:lpstr>Bond Yield</vt:lpstr>
      <vt:lpstr>ASK</vt:lpstr>
      <vt:lpstr>BAR</vt:lpstr>
      <vt:lpstr>BDN</vt:lpstr>
      <vt:lpstr>BID</vt:lpstr>
      <vt:lpstr>chartTableData</vt:lpstr>
      <vt:lpstr>chartTableHeader</vt:lpstr>
      <vt:lpstr>chartTableName</vt:lpstr>
      <vt:lpstr>chartTableTotal</vt:lpstr>
      <vt:lpstr>DAT</vt:lpstr>
      <vt:lpstr>filterValues</vt:lpstr>
      <vt:lpstr>HIG</vt:lpstr>
      <vt:lpstr>LOW</vt:lpstr>
      <vt:lpstr>OPN</vt:lpstr>
      <vt:lpstr>phTableData</vt:lpstr>
      <vt:lpstr>phTableHeader</vt:lpstr>
      <vt:lpstr>phTableName</vt:lpstr>
      <vt:lpstr>sheetHeader</vt:lpstr>
      <vt:lpstr>statPriceChangeTableData</vt:lpstr>
      <vt:lpstr>statPriceChangeTableHeader</vt:lpstr>
      <vt:lpstr>statPriceTableData</vt:lpstr>
      <vt:lpstr>statPriceTableHeader</vt:lpstr>
      <vt:lpstr>statTableName</vt:lpstr>
      <vt:lpstr>statUpDownTableData</vt:lpstr>
      <vt:lpstr>statUpDownTableHeader</vt:lpstr>
      <vt:lpstr>statVolumeTableData</vt:lpstr>
      <vt:lpstr>statVolumeTableHeader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Hartawan, Soufat</dc:creator>
  <cp:lastModifiedBy>Hartawan, Soufat</cp:lastModifiedBy>
  <dcterms:created xsi:type="dcterms:W3CDTF">2023-06-26T06:41:34Z</dcterms:created>
  <dcterms:modified xsi:type="dcterms:W3CDTF">2023-06-26T10:16:22Z</dcterms:modified>
</cp:coreProperties>
</file>